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theme/theme1.xml" ContentType="application/vnd.openxmlformats-officedocument.theme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 de déploiement" sheetId="1" state="visible" r:id="rId3"/>
    <sheet name="Feuille1" sheetId="2" state="visible" r:id="rId4"/>
  </sheets>
  <externalReferences>
    <externalReference r:id="rId5"/>
  </externalReferences>
  <definedNames>
    <definedName function="false" hidden="true" localSheetId="0" name="_xlnm._FilterDatabase" vbProcedure="false">'Plan de déploiement'!$A$1:$AJ$1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<sst xmlns="http://schemas.openxmlformats.org/spreadsheetml/2006/main" count="959" uniqueCount="170">
  <si>
    <r>
      <rPr>
        <sz val="11"/>
        <color theme="1"/>
        <rFont val="Helvetica 55 Roman"/>
        <family val="0"/>
        <charset val="1"/>
      </rPr>
      <t xml:space="preserve">Référence Action
</t>
    </r>
  </si>
  <si>
    <r>
      <rPr>
        <sz val="11"/>
        <color theme="1"/>
        <rFont val="Helvetica 55 Roman"/>
        <family val="0"/>
        <charset val="1"/>
      </rPr>
      <t xml:space="preserve">Pilote
</t>
    </r>
  </si>
  <si>
    <t xml:space="preserve">Intitulé de Formation</t>
  </si>
  <si>
    <t xml:space="preserve">N° de session</t>
  </si>
  <si>
    <r>
      <rPr>
        <sz val="11"/>
        <color theme="1"/>
        <rFont val="Helvetica 55 Roman"/>
        <family val="0"/>
        <charset val="1"/>
      </rPr>
      <t xml:space="preserve">Le programme
</t>
    </r>
  </si>
  <si>
    <r>
      <rPr>
        <sz val="11"/>
        <color theme="1"/>
        <rFont val="Helvetica 55 Roman"/>
        <family val="0"/>
        <charset val="1"/>
      </rPr>
      <t xml:space="preserve">Référence du Programme associé (le cas échéant)
</t>
    </r>
  </si>
  <si>
    <t xml:space="preserve">Stratégie ou Business</t>
  </si>
  <si>
    <r>
      <rPr>
        <sz val="11"/>
        <color theme="1"/>
        <rFont val="Helvetica 55 Roman"/>
        <family val="0"/>
        <charset val="1"/>
      </rPr>
      <t xml:space="preserve">Catégorie de compétence à développer
</t>
    </r>
  </si>
  <si>
    <r>
      <rPr>
        <sz val="11"/>
        <color theme="1"/>
        <rFont val="Helvetica 55 Roman"/>
        <family val="0"/>
        <charset val="1"/>
      </rPr>
      <t xml:space="preserve">La compétence à développer
</t>
    </r>
  </si>
  <si>
    <r>
      <rPr>
        <sz val="11"/>
        <color theme="1"/>
        <rFont val="Helvetica 55 Roman"/>
        <family val="0"/>
        <charset val="1"/>
      </rPr>
      <t xml:space="preserve">Mode d'apprentissage
</t>
    </r>
  </si>
  <si>
    <r>
      <rPr>
        <sz val="11"/>
        <color theme="1"/>
        <rFont val="Helvetica 55 Roman"/>
        <family val="0"/>
        <charset val="1"/>
      </rPr>
      <t xml:space="preserve">Modalité d'apprentissage
</t>
    </r>
  </si>
  <si>
    <r>
      <rPr>
        <sz val="11"/>
        <color theme="1"/>
        <rFont val="Helvetica 55 Roman"/>
        <family val="0"/>
        <charset val="1"/>
      </rPr>
      <t xml:space="preserve">Mode de formation
</t>
    </r>
  </si>
  <si>
    <r>
      <rPr>
        <sz val="11"/>
        <color theme="1"/>
        <rFont val="Helvetica 55 Roman"/>
        <family val="0"/>
        <charset val="1"/>
      </rPr>
      <t xml:space="preserve">Prestataire
</t>
    </r>
    <r>
      <rPr>
        <sz val="9"/>
        <color theme="0"/>
        <rFont val="Helvetica 55 Roman"/>
        <family val="0"/>
        <charset val="1"/>
      </rPr>
      <t xml:space="preserve">(Liste déroulante)</t>
    </r>
  </si>
  <si>
    <t xml:space="preserve">Nom du prestataire</t>
  </si>
  <si>
    <r>
      <rPr>
        <sz val="11"/>
        <color theme="1"/>
        <rFont val="Helvetica 55 Roman"/>
        <family val="0"/>
        <charset val="1"/>
      </rPr>
      <t xml:space="preserve">Certfication
</t>
    </r>
  </si>
  <si>
    <r>
      <rPr>
        <sz val="11"/>
        <color theme="1"/>
        <rFont val="Helvetica 55 Roman"/>
        <family val="0"/>
        <charset val="1"/>
      </rPr>
      <t xml:space="preserve">Mode de financement
</t>
    </r>
  </si>
  <si>
    <r>
      <rPr>
        <sz val="11"/>
        <color theme="1"/>
        <rFont val="Helvetica 55 Roman"/>
        <family val="0"/>
        <charset val="1"/>
      </rPr>
      <t xml:space="preserve">TFP
</t>
    </r>
  </si>
  <si>
    <r>
      <rPr>
        <sz val="11"/>
        <color theme="1"/>
        <rFont val="Helvetica 55 Roman"/>
        <family val="0"/>
        <charset val="1"/>
      </rPr>
      <t xml:space="preserve">Réalisation
</t>
    </r>
  </si>
  <si>
    <t xml:space="preserve">Date de réalisation</t>
  </si>
  <si>
    <r>
      <rPr>
        <b val="true"/>
        <sz val="11"/>
        <color theme="1"/>
        <rFont val="Helvetica 55 Roman"/>
        <family val="0"/>
        <charset val="1"/>
      </rPr>
      <t xml:space="preserve">Mois de réalisation
</t>
    </r>
  </si>
  <si>
    <t xml:space="preserve">Durée en Heures</t>
  </si>
  <si>
    <r>
      <rPr>
        <b val="true"/>
        <sz val="11"/>
        <color theme="1"/>
        <rFont val="Helvetica 55 Roman"/>
        <family val="0"/>
        <charset val="1"/>
      </rPr>
      <t xml:space="preserve">Durée en Jours
</t>
    </r>
  </si>
  <si>
    <r>
      <rPr>
        <sz val="11"/>
        <color theme="1"/>
        <rFont val="Helvetica 55 Roman"/>
        <family val="0"/>
        <charset val="1"/>
      </rPr>
      <t xml:space="preserve">Nombre prévisionnels de participants </t>
    </r>
    <r>
      <rPr>
        <b val="true"/>
        <sz val="11"/>
        <color theme="1"/>
        <rFont val="Helvetica 55 Roman"/>
        <family val="0"/>
        <charset val="1"/>
      </rPr>
      <t xml:space="preserve">(Invités)</t>
    </r>
  </si>
  <si>
    <t xml:space="preserve">Nombre réel de participants</t>
  </si>
  <si>
    <r>
      <rPr>
        <b val="true"/>
        <sz val="11"/>
        <color theme="1"/>
        <rFont val="Helvetica 55 Roman"/>
        <family val="0"/>
        <charset val="1"/>
      </rPr>
      <t xml:space="preserve">Taux d'absentéisme
</t>
    </r>
  </si>
  <si>
    <r>
      <rPr>
        <sz val="11"/>
        <color theme="1"/>
        <rFont val="Helvetica 55 Roman"/>
        <family val="0"/>
        <charset val="1"/>
      </rPr>
      <t xml:space="preserve">Local
</t>
    </r>
  </si>
  <si>
    <r>
      <rPr>
        <sz val="11"/>
        <color theme="1"/>
        <rFont val="Helvetica 55 Roman"/>
        <family val="0"/>
        <charset val="1"/>
      </rPr>
      <t xml:space="preserve">Pauses
</t>
    </r>
  </si>
  <si>
    <t xml:space="preserve">Matériel requis</t>
  </si>
  <si>
    <t xml:space="preserve">Coût Global Frais annexes</t>
  </si>
  <si>
    <t xml:space="preserve">N° BC Frais annexes</t>
  </si>
  <si>
    <r>
      <rPr>
        <sz val="11"/>
        <color theme="1"/>
        <rFont val="Helvetica 55 Roman"/>
        <family val="0"/>
        <charset val="1"/>
      </rPr>
      <t xml:space="preserve">Coût réel de la Prestation en </t>
    </r>
    <r>
      <rPr>
        <b val="true"/>
        <sz val="11"/>
        <color theme="1"/>
        <rFont val="Helvetica 55 Roman"/>
        <family val="0"/>
        <charset val="1"/>
      </rPr>
      <t xml:space="preserve">Dinars</t>
    </r>
  </si>
  <si>
    <r>
      <rPr>
        <sz val="11"/>
        <color theme="1"/>
        <rFont val="Helvetica 55 Roman"/>
        <family val="0"/>
        <charset val="1"/>
      </rPr>
      <t xml:space="preserve">Coût Unitaire de la formation par collaborateur en </t>
    </r>
    <r>
      <rPr>
        <b val="true"/>
        <sz val="11"/>
        <color theme="1"/>
        <rFont val="Helvetica 55 Roman"/>
        <family val="0"/>
        <charset val="1"/>
      </rPr>
      <t xml:space="preserve">Dinars</t>
    </r>
  </si>
  <si>
    <t xml:space="preserve">N° BC Prestation</t>
  </si>
  <si>
    <t xml:space="preserve">N° Facture</t>
  </si>
  <si>
    <t xml:space="preserve">Référence Melek (TFP)</t>
  </si>
  <si>
    <t xml:space="preserve">Nom &amp; Prénom Formateur</t>
  </si>
  <si>
    <t xml:space="preserve">Racha BR.</t>
  </si>
  <si>
    <t xml:space="preserve">Formation PMP</t>
  </si>
  <si>
    <t xml:space="preserve">Session 1</t>
  </si>
  <si>
    <t xml:space="preserve">Présentiel</t>
  </si>
  <si>
    <t xml:space="preserve">Formation</t>
  </si>
  <si>
    <t xml:space="preserve">Intra-entreprises</t>
  </si>
  <si>
    <t xml:space="preserve">Cabinet</t>
  </si>
  <si>
    <t xml:space="preserve">MPO</t>
  </si>
  <si>
    <t xml:space="preserve">Oui</t>
  </si>
  <si>
    <t xml:space="preserve">Opex</t>
  </si>
  <si>
    <t xml:space="preserve">Réalisée</t>
  </si>
  <si>
    <t xml:space="preserve">Local Cabinet</t>
  </si>
  <si>
    <t xml:space="preserve">24/03147</t>
  </si>
  <si>
    <t xml:space="preserve">AHMED SASSI</t>
  </si>
  <si>
    <t xml:space="preserve">FortiGate Infrastructure &amp; Security 7.4</t>
  </si>
  <si>
    <t xml:space="preserve">Advancia Training</t>
  </si>
  <si>
    <t xml:space="preserve">24/03688</t>
  </si>
  <si>
    <t xml:space="preserve">Formation Python</t>
  </si>
  <si>
    <t xml:space="preserve">Linsoft</t>
  </si>
  <si>
    <t xml:space="preserve">24/</t>
  </si>
  <si>
    <t xml:space="preserve">Formation VOIP Managée GoVoice</t>
  </si>
  <si>
    <t xml:space="preserve">Gomybiz</t>
  </si>
  <si>
    <t xml:space="preserve">Non</t>
  </si>
  <si>
    <t xml:space="preserve">Capex</t>
  </si>
  <si>
    <t xml:space="preserve">Site Orange</t>
  </si>
  <si>
    <t xml:space="preserve">1 pause simple</t>
  </si>
  <si>
    <t xml:space="preserve">Session 2</t>
  </si>
  <si>
    <t xml:space="preserve">Planification et Ingénierie de Conception </t>
  </si>
  <si>
    <t xml:space="preserve">Huawei</t>
  </si>
  <si>
    <t xml:space="preserve">ISBC</t>
  </si>
  <si>
    <t xml:space="preserve">Risk Management </t>
  </si>
  <si>
    <t xml:space="preserve">Intelligent Security</t>
  </si>
  <si>
    <t xml:space="preserve">Hôtel</t>
  </si>
  <si>
    <t xml:space="preserve">Pause déjeuner incluse</t>
  </si>
  <si>
    <t xml:space="preserve">iMaster NCE RTN Network Monitoring Training</t>
  </si>
  <si>
    <t xml:space="preserve">VOLTE</t>
  </si>
  <si>
    <t xml:space="preserve">MCI</t>
  </si>
  <si>
    <t xml:space="preserve">VOIP Managée GoVoice</t>
  </si>
  <si>
    <t xml:space="preserve">UDM: Signalisation</t>
  </si>
  <si>
    <t xml:space="preserve">Aziz M.</t>
  </si>
  <si>
    <t xml:space="preserve">#OTC: Parcours BIG DATA: Les Fondamentaux - Apprentissage Asynchrone_Rezgui Imen_022025</t>
  </si>
  <si>
    <t xml:space="preserve">#OTC: Parcours BIG DATA -Les Fondamentaux-  24-25</t>
  </si>
  <si>
    <t xml:space="preserve">Digital (OL, Coursera, Udemy, EF)</t>
  </si>
  <si>
    <t xml:space="preserve">Auto-apprentissage</t>
  </si>
  <si>
    <t xml:space="preserve">Interne</t>
  </si>
  <si>
    <t xml:space="preserve">Groupe</t>
  </si>
  <si>
    <t xml:space="preserve">Coursera</t>
  </si>
  <si>
    <t xml:space="preserve">Imen O.</t>
  </si>
  <si>
    <t xml:space="preserve">Level UP Process Com Managers G1</t>
  </si>
  <si>
    <t xml:space="preserve">Level UP B2B</t>
  </si>
  <si>
    <t xml:space="preserve">2025_Level UP B2B_Im</t>
  </si>
  <si>
    <t xml:space="preserve">Psynapse</t>
  </si>
  <si>
    <t xml:space="preserve">Level UP Module 1 PNL Managers</t>
  </si>
  <si>
    <t xml:space="preserve">session 1</t>
  </si>
  <si>
    <t xml:space="preserve">Level UP Module 1 PNL COM&amp;FID G1</t>
  </si>
  <si>
    <t xml:space="preserve">Level UP Module 1 PNL COM&amp;FID G2</t>
  </si>
  <si>
    <t xml:space="preserve">session 2</t>
  </si>
  <si>
    <t xml:space="preserve">Level UP Module 2 PNL COM&amp;FID G1</t>
  </si>
  <si>
    <t xml:space="preserve">Level UP Module 2 PNL COM&amp;FID G2</t>
  </si>
  <si>
    <t xml:space="preserve">Level UP Module 2 PNL Managers</t>
  </si>
  <si>
    <t xml:space="preserve">#OTC: Formateur Référent TOT</t>
  </si>
  <si>
    <t xml:space="preserve">Formateurs Référents OTC: 24-25</t>
  </si>
  <si>
    <t xml:space="preserve">KeyWay</t>
  </si>
  <si>
    <t xml:space="preserve">Loi de Finance 2025 S1</t>
  </si>
  <si>
    <t xml:space="preserve">Loi de Finance</t>
  </si>
  <si>
    <t xml:space="preserve">Biat</t>
  </si>
  <si>
    <t xml:space="preserve">oui</t>
  </si>
  <si>
    <t xml:space="preserve">Loi de Finance 2025 S2</t>
  </si>
  <si>
    <t xml:space="preserve">Loi de Finance 2025 S3</t>
  </si>
  <si>
    <t xml:space="preserve">Session 3</t>
  </si>
  <si>
    <t xml:space="preserve">5G **Equipes **IT**</t>
  </si>
  <si>
    <t xml:space="preserve">Déploiement 5G</t>
  </si>
  <si>
    <t xml:space="preserve">OTC</t>
  </si>
  <si>
    <t xml:space="preserve">Orange Training Center</t>
  </si>
  <si>
    <t xml:space="preserve">2 pauses simple</t>
  </si>
  <si>
    <t xml:space="preserve">Rim Saadi</t>
  </si>
  <si>
    <t xml:space="preserve">5G **Equipes **Sales**</t>
  </si>
  <si>
    <t xml:space="preserve">oumaima Mansouri</t>
  </si>
  <si>
    <t xml:space="preserve">Sana Chibani</t>
  </si>
  <si>
    <t xml:space="preserve">Formation Commerciale Porte à Porte</t>
  </si>
  <si>
    <t xml:space="preserve">service formation relation client et force de vente</t>
  </si>
  <si>
    <t xml:space="preserve">#OTC: Parcours Data Scientist  24-25: Workshop 3</t>
  </si>
  <si>
    <t xml:space="preserve">#OTC: Parcours Data Scientist  24-25</t>
  </si>
  <si>
    <t xml:space="preserve">Mentorat</t>
  </si>
  <si>
    <t xml:space="preserve">5G **Equipes **Support**</t>
  </si>
  <si>
    <t xml:space="preserve">#OTC: Parcours BIG DATA: DATA SCIENTIST - Session 3</t>
  </si>
  <si>
    <t xml:space="preserve">S2T</t>
  </si>
  <si>
    <t xml:space="preserve">#OTC: Parcours BIG DATA: Les Fondamentaux - Session 3</t>
  </si>
  <si>
    <t xml:space="preserve">#OTC: Parcours BIG DATA: Les Fondamentaux: EXAMEN FINAL</t>
  </si>
  <si>
    <t xml:space="preserve">#OTC: Parcours BE ING BY Orange: Séminaire 8 th international workshop  on robotics  * IOt &amp; IA *</t>
  </si>
  <si>
    <t xml:space="preserve">#OTC: Parcours BE_Ing By Orange</t>
  </si>
  <si>
    <t xml:space="preserve">Conférence- Séminaire</t>
  </si>
  <si>
    <t xml:space="preserve">Suptech</t>
  </si>
  <si>
    <t xml:space="preserve">#OTC: Parcours Formateurs Référents 24-25 ** Follow up workshop</t>
  </si>
  <si>
    <t xml:space="preserve">Coaching</t>
  </si>
  <si>
    <t xml:space="preserve">Aziz Madiouni</t>
  </si>
  <si>
    <t xml:space="preserve">#OTC: Parcours BIG DATA: Les Fondamentaux - Apprentissage Asynchrone_Riadh Bahri_012025</t>
  </si>
  <si>
    <t xml:space="preserve">#OTC: Parcours BIG DATA: Les Fondamentaux - Apprentissage Asynchrone_Walid Ben Amor_012025</t>
  </si>
  <si>
    <t xml:space="preserve">#OTC: Parcours BIG DATA: Les Fondamentaux - Apprentissage Asynchrone_Ben Taieb, Mohamed Ali_012025</t>
  </si>
  <si>
    <t xml:space="preserve">#OTC: Parcours BIG DATA: Les Fondamentaux - Apprentissage Asynchrone_Imeb Beya_012025</t>
  </si>
  <si>
    <t xml:space="preserve">#OTC: Parcours BIG DATA: Les Fondamentaux - Apprentissage Asynchrone_Fatma Kraeim_012025</t>
  </si>
  <si>
    <t xml:space="preserve">#OTC: Parcours BIG DATA: Les Fondamentaux - Apprentissage Asynchrone_Nabil Hachana_012025</t>
  </si>
  <si>
    <t xml:space="preserve">#OTC: Parcours BIG DATA: Les Fondamentaux - Apprentissage Asynchrone_Assidi, Hela_022025</t>
  </si>
  <si>
    <t xml:space="preserve">#OTC: Parcours BIG DATA: Les Fondamentaux - Apprentissage Asynchrone_Afef ayari_022025</t>
  </si>
  <si>
    <t xml:space="preserve">#OTC: Parcours BIG DATA: Les Fondamentaux - Apprentissage Asynchrone_Riadh Bahri_022025</t>
  </si>
  <si>
    <t xml:space="preserve">#OTC: Parcours BIG DATA: Les Fondamentaux - Apprentissage Asynchrone_Jihed Mnarki_022025</t>
  </si>
  <si>
    <t xml:space="preserve">#OTC: Parcours BIG DATA: Les Fondamentaux - Apprentissage Asynchrone_Fatma Mejri_022025</t>
  </si>
  <si>
    <t xml:space="preserve">#OTC: Parcours BIG DATA: DATA SCINTIST - Apprentissage Asynchrone_Oueld Elhadj, Antar_022025</t>
  </si>
  <si>
    <t xml:space="preserve">#OTC: Parcours BIG DATA: Les Fondamentaux - Apprentissage Asynchrone_Sana Chihi_032025</t>
  </si>
  <si>
    <t xml:space="preserve">#OTC: Parcours BIG DATA: Les Fondamentaux - Apprentissage Asynchrone_Ben Taieb, Mohamed Ali_032025</t>
  </si>
  <si>
    <t xml:space="preserve">Formuler un brief de communication efficace</t>
  </si>
  <si>
    <t xml:space="preserve">Classe virtuelle</t>
  </si>
  <si>
    <t xml:space="preserve">Orange Campus Communication</t>
  </si>
  <si>
    <t xml:space="preserve">Découvrir la protection de la vie privée au quotidien</t>
  </si>
  <si>
    <t xml:space="preserve">Orange Campus Cyber</t>
  </si>
  <si>
    <t xml:space="preserve">Ateliers Softskills pour Tous / CFA - Re-Up skilling</t>
  </si>
  <si>
    <t xml:space="preserve">Développement des Compétences France</t>
  </si>
  <si>
    <t xml:space="preserve">Je découvre Planner/To Do / Viva Engage</t>
  </si>
  <si>
    <t xml:space="preserve">Orange Collaborative</t>
  </si>
  <si>
    <t xml:space="preserve">J'installe le gestionnaire de mots de passe KeePass</t>
  </si>
  <si>
    <t xml:space="preserve">Microsoft 365 :  je m'exerce sur Teams en toute sécurité</t>
  </si>
  <si>
    <t xml:space="preserve">VISA MANDATORY 2025: Cyber </t>
  </si>
  <si>
    <t xml:space="preserve">Orange Learning</t>
  </si>
  <si>
    <t xml:space="preserve">VISA MANDATORY 2025: Ethique des affaires : prendre la bonne décision</t>
  </si>
  <si>
    <t xml:space="preserve">Appretissage Digital_Udemy_Mohamed Rahal_032025</t>
  </si>
  <si>
    <t xml:space="preserve">Udemy</t>
  </si>
  <si>
    <t xml:space="preserve">Appretissage Digital_Udemy_Ahmed Zeiri_032025</t>
  </si>
  <si>
    <t xml:space="preserve">Appretissage Digital_Udemy_Aymen Mejri_032025</t>
  </si>
  <si>
    <t xml:space="preserve">Appretissage Digital_Udemy_Anis Sanssa_032025</t>
  </si>
  <si>
    <t xml:space="preserve">Appretissage Digital_Udemy_omar.abdelali_032025</t>
  </si>
  <si>
    <t xml:space="preserve">#LW: La Roue des compétences Soft Skills</t>
  </si>
  <si>
    <t xml:space="preserve">Learning Week OMEA</t>
  </si>
  <si>
    <t xml:space="preserve">Sofiene Arfaoui</t>
  </si>
  <si>
    <t xml:space="preserve">Faten Ayari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</si>
</sst>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m/dd/yyyy"/>
    <numFmt numFmtId="166" formatCode="0.00"/>
    <numFmt numFmtId="167" formatCode="mmm\ dd"/>
    <numFmt numFmtId="168" formatCode="0%"/>
    <numFmt numFmtId="169" formatCode="General"/>
  </numFmts>
  <fonts count="9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Helvetica 55 Roman"/>
      <family val="0"/>
      <charset val="1"/>
    </font>
    <font>
      <sz val="9"/>
      <color theme="0"/>
      <name val="Helvetica 55 Roman"/>
      <family val="0"/>
      <charset val="1"/>
    </font>
    <font>
      <b val="true"/>
      <sz val="11"/>
      <color theme="1"/>
      <name val="Helvetica 55 Roman"/>
      <family val="0"/>
      <charset val="1"/>
    </font>
    <font>
      <sz val="10"/>
      <color theme="1"/>
      <name val="Helvetica 55 Roman"/>
      <family val="0"/>
      <charset val="1"/>
    </font>
    <font>
      <sz val="9"/>
      <color theme="1"/>
      <name val="Helvetica 55 Roman"/>
      <family val="0"/>
      <charset val="1"/>
    </font>
  </fonts>
  <fills count="10">
    <fill>
      <patternFill patternType="none"/>
    </fill>
    <fill>
      <patternFill patternType="gray125"/>
    </fill>
    <fill>
      <patternFill patternType="solid">
        <fgColor rgb="FFFF7900"/>
        <bgColor rgb="FFFF9900"/>
      </patternFill>
    </fill>
    <fill>
      <patternFill patternType="solid">
        <fgColor rgb="FF4BB4E6"/>
        <bgColor rgb="FF50BE87"/>
      </patternFill>
    </fill>
    <fill>
      <patternFill patternType="solid">
        <fgColor rgb="FF50BE87"/>
        <bgColor rgb="FF4BB4E6"/>
      </patternFill>
    </fill>
    <fill>
      <patternFill patternType="solid">
        <fgColor rgb="FFA885D8"/>
        <bgColor rgb="FF969696"/>
      </patternFill>
    </fill>
    <fill>
      <patternFill patternType="solid">
        <fgColor rgb="FFFFB400"/>
        <bgColor rgb="FFFF9900"/>
      </patternFill>
    </fill>
    <fill>
      <patternFill patternType="solid">
        <fgColor theme="0" tint="-0.15"/>
        <bgColor rgb="FFD3D3D3"/>
      </patternFill>
    </fill>
    <fill>
      <patternFill patternType="solid">
        <fgColor theme="0" tint="-0.05"/>
        <bgColor rgb="FFFFFFFF"/>
      </patternFill>
    </fill>
    <fill>
      <patternFill patternType="solid">
        <fgColor rgb="FFFFFFFF"/>
        <bgColor rgb="FFF2F2F2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dashed"/>
      <right style="dashed"/>
      <top style="dashed"/>
      <bottom style="dashed"/>
      <diagonal/>
    </border>
    <border diagonalUp="false" diagonalDown="false"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fals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4" fillId="0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9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">
    <dxf>
      <fill>
        <patternFill patternType="solid">
          <fgColor rgb="FFFF7900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4BB4E6"/>
          <bgColor rgb="FF000000"/>
        </patternFill>
      </fill>
    </dxf>
    <dxf>
      <fill>
        <patternFill patternType="solid">
          <fgColor rgb="FF50BE87"/>
          <bgColor rgb="FF000000"/>
        </patternFill>
      </fill>
    </dxf>
    <dxf>
      <fill>
        <patternFill patternType="solid">
          <fgColor rgb="FFA885D8"/>
          <bgColor rgb="FF000000"/>
        </patternFill>
      </fill>
    </dxf>
    <dxf>
      <fill>
        <patternFill patternType="solid">
          <fgColor rgb="FFFFB400"/>
          <bgColor rgb="FF000000"/>
        </patternFill>
      </fill>
    </dxf>
    <dxf>
      <fill>
        <patternFill patternType="solid">
          <fgColor rgb="FFD9D9D9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A885D8"/>
      <rgbColor rgb="FF993366"/>
      <rgbColor rgb="FFF2F2F2"/>
      <rgbColor rgb="FFCCFFFF"/>
      <rgbColor rgb="FF660066"/>
      <rgbColor rgb="FFFF8080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4BB4E6"/>
      <rgbColor rgb="FF99CC00"/>
      <rgbColor rgb="FFFFB400"/>
      <rgbColor rgb="FFFF9900"/>
      <rgbColor rgb="FFFF7900"/>
      <rgbColor rgb="FF666699"/>
      <rgbColor rgb="FF969696"/>
      <rgbColor rgb="FF003366"/>
      <rgbColor rgb="FF50BE8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externalLink" Target="externalLinks/externalLink1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Downloads/Learning%20&amp;%20developpement%20Dashboard%202025%20V1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ogramme d'accompagnement"/>
      <sheetName val="Plan de déploiement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Vérification"/>
      <sheetName val="BO"/>
      <sheetName val="BO avancé"/>
      <sheetName val="Arborescence Compétences"/>
    </sheetNames>
    <sheetDataSet>
      <sheetData sheetId="0">
        <row r="3">
          <cell r="B3" t="str">
            <v>Pour garder l'intégrité des données please:
-Ne pas insérer des lignes
-Ne pas sauter des lignes = étaler les filtres avant toute saisie
-Veillez à ce que vous saisissez toujours la bonne référence , matricule etc</v>
          </cell>
        </row>
        <row r="5">
          <cell r="B5" t="str">
            <v>Référence Programme
(Champs automatique)</v>
          </cell>
        </row>
        <row r="6">
          <cell r="B6" t="str">
            <v>2025_Level UP B2B_Im</v>
          </cell>
        </row>
        <row r="7">
          <cell r="B7" t="str">
            <v>2024_Formateurs Référents OTC: 24-25_Az</v>
          </cell>
        </row>
        <row r="7">
          <cell r="D7" t="str">
            <v>Intitulé du programme</v>
          </cell>
        </row>
        <row r="8">
          <cell r="B8" t="str">
            <v>2025_Déploiement 5G_Az</v>
          </cell>
        </row>
        <row r="8">
          <cell r="D8" t="str">
            <v>Level UP B2B</v>
          </cell>
        </row>
        <row r="9">
          <cell r="B9" t="str">
            <v>--_#OTC: Parcours Data Scientist  24-25_Az</v>
          </cell>
        </row>
        <row r="9">
          <cell r="D9" t="str">
            <v>Formateurs Référents OTC: 24-25</v>
          </cell>
        </row>
        <row r="10">
          <cell r="B10" t="str">
            <v>--_#OTC: Parcours BIG DATA -Les Fondamentaux-  24-25_Az</v>
          </cell>
        </row>
        <row r="10">
          <cell r="D10" t="str">
            <v>Déploiement 5G</v>
          </cell>
        </row>
        <row r="11">
          <cell r="B11" t="str">
            <v>--_#OTC: Parcours BE_Ing By Orange_Az</v>
          </cell>
        </row>
        <row r="11">
          <cell r="D11" t="str">
            <v>#OTC: Parcours Data Scientist  24-25</v>
          </cell>
        </row>
        <row r="12">
          <cell r="B12" t="str">
            <v>--_Orange Collaborative_Az</v>
          </cell>
        </row>
        <row r="12">
          <cell r="D12" t="str">
            <v>#OTC: Parcours BIG DATA -Les Fondamentaux-  24-25</v>
          </cell>
        </row>
        <row r="13">
          <cell r="B13" t="str">
            <v>2025_Learning Week OMEA_Az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7900"/>
    <pageSetUpPr fitToPage="false"/>
  </sheetPr>
  <dimension ref="A1:AJ71"/>
  <sheetViews>
    <sheetView showFormulas="false" showGridLines="true" showRowColHeaders="true" showZeros="true" rightToLeft="false" tabSelected="true" showOutlineSymbols="true" defaultGridColor="true" view="normal" topLeftCell="AA1" colorId="64" zoomScale="100" zoomScaleNormal="100" zoomScalePageLayoutView="100" workbookViewId="0">
      <selection pane="topLeft" activeCell="AJ7" activeCellId="0" sqref="AJ7"/>
    </sheetView>
  </sheetViews>
  <sheetFormatPr defaultColWidth="11.5625" defaultRowHeight="13.8" zeroHeight="false" outlineLevelRow="0" outlineLevelCol="0"/>
  <cols>
    <col collapsed="false" customWidth="true" hidden="false" outlineLevel="0" max="1" min="1" style="1" width="60.67"/>
    <col collapsed="false" customWidth="true" hidden="false" outlineLevel="0" max="2" min="2" style="1" width="18.56"/>
    <col collapsed="false" customWidth="true" hidden="false" outlineLevel="0" max="3" min="3" style="1" width="32.56"/>
    <col collapsed="false" customWidth="true" hidden="false" outlineLevel="0" max="4" min="4" style="1" width="17.67"/>
    <col collapsed="false" customWidth="true" hidden="false" outlineLevel="0" max="5" min="5" style="1" width="18.67"/>
    <col collapsed="false" customWidth="true" hidden="false" outlineLevel="0" max="6" min="6" style="1" width="28.88"/>
    <col collapsed="false" customWidth="true" hidden="false" outlineLevel="0" max="7" min="7" style="1" width="25.33"/>
    <col collapsed="false" customWidth="true" hidden="false" outlineLevel="0" max="8" min="8" style="1" width="30.88"/>
    <col collapsed="false" customWidth="true" hidden="false" outlineLevel="0" max="9" min="9" style="1" width="22.44"/>
    <col collapsed="false" customWidth="true" hidden="false" outlineLevel="0" max="10" min="10" style="1" width="25.67"/>
    <col collapsed="false" customWidth="true" hidden="false" outlineLevel="0" max="11" min="11" style="1" width="28.33"/>
    <col collapsed="false" customWidth="true" hidden="false" outlineLevel="0" max="12" min="12" style="1" width="22.67"/>
    <col collapsed="false" customWidth="true" hidden="false" outlineLevel="0" max="13" min="13" style="1" width="18.56"/>
    <col collapsed="false" customWidth="true" hidden="false" outlineLevel="0" max="14" min="14" style="1" width="22.88"/>
    <col collapsed="false" customWidth="true" hidden="false" outlineLevel="0" max="15" min="15" style="1" width="16"/>
    <col collapsed="false" customWidth="true" hidden="false" outlineLevel="0" max="16" min="16" style="1" width="18.56"/>
    <col collapsed="false" customWidth="true" hidden="false" outlineLevel="0" max="17" min="17" style="1" width="14"/>
    <col collapsed="false" customWidth="true" hidden="false" outlineLevel="0" max="18" min="18" style="1" width="15.33"/>
    <col collapsed="false" customWidth="true" hidden="false" outlineLevel="0" max="19" min="19" style="1" width="14.67"/>
    <col collapsed="false" customWidth="true" hidden="false" outlineLevel="0" max="20" min="20" style="1" width="15.66"/>
    <col collapsed="false" customWidth="true" hidden="false" outlineLevel="0" max="21" min="21" style="1" width="13.67"/>
    <col collapsed="false" customWidth="true" hidden="false" outlineLevel="0" max="22" min="22" style="1" width="14"/>
    <col collapsed="false" customWidth="true" hidden="false" outlineLevel="0" max="23" min="23" style="1" width="19.88"/>
    <col collapsed="false" customWidth="true" hidden="false" outlineLevel="0" max="24" min="24" style="1" width="16"/>
    <col collapsed="false" customWidth="true" hidden="false" outlineLevel="0" max="25" min="25" style="1" width="25"/>
    <col collapsed="false" customWidth="true" hidden="false" outlineLevel="0" max="26" min="26" style="1" width="18.56"/>
    <col collapsed="false" customWidth="true" hidden="false" outlineLevel="0" max="27" min="27" style="1" width="22"/>
    <col collapsed="false" customWidth="true" hidden="false" outlineLevel="0" max="28" min="28" style="1" width="12.67"/>
    <col collapsed="false" customWidth="true" hidden="false" outlineLevel="0" max="29" min="29" style="1" width="21.11"/>
    <col collapsed="false" customWidth="true" hidden="false" outlineLevel="0" max="30" min="30" style="1" width="15.88"/>
    <col collapsed="false" customWidth="true" hidden="false" outlineLevel="0" max="31" min="31" style="1" width="18.56"/>
    <col collapsed="false" customWidth="true" hidden="false" outlineLevel="0" max="32" min="32" style="1" width="22.33"/>
    <col collapsed="false" customWidth="true" hidden="false" outlineLevel="0" max="33" min="33" style="1" width="20.66"/>
    <col collapsed="false" customWidth="true" hidden="false" outlineLevel="0" max="34" min="34" style="1" width="15.11"/>
    <col collapsed="false" customWidth="true" hidden="false" outlineLevel="0" max="35" min="35" style="1" width="16"/>
    <col collapsed="false" customWidth="true" hidden="false" outlineLevel="0" max="36" min="36" style="1" width="29.33"/>
  </cols>
  <sheetData>
    <row r="1" customFormat="false" ht="54.8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4" t="s">
        <v>20</v>
      </c>
      <c r="V1" s="5" t="s">
        <v>21</v>
      </c>
      <c r="W1" s="4" t="s">
        <v>22</v>
      </c>
      <c r="X1" s="4" t="s">
        <v>23</v>
      </c>
      <c r="Y1" s="5" t="s">
        <v>24</v>
      </c>
      <c r="Z1" s="6" t="s">
        <v>25</v>
      </c>
      <c r="AA1" s="6" t="s">
        <v>26</v>
      </c>
      <c r="AB1" s="6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8" t="s">
        <v>35</v>
      </c>
    </row>
    <row r="2" customFormat="false" ht="69.75" hidden="false" customHeight="true" outlineLevel="0" collapsed="false">
      <c r="A2" s="9" t="str">
        <f aca="false">IFERROR(_xlfn.CONCAT(LEFT(B2,2),"_",C2,"_",D2,"_",DAY(S2),"_",T2),"--")</f>
        <v>Ra_Formation PMP_Session 1_6_January</v>
      </c>
      <c r="B2" s="10" t="s">
        <v>36</v>
      </c>
      <c r="C2" s="10" t="s">
        <v>37</v>
      </c>
      <c r="D2" s="10" t="s">
        <v>38</v>
      </c>
      <c r="E2" s="11"/>
      <c r="F2" s="10" t="str">
        <f aca="false">IFERROR(INDEX('[1]Programme d''accompagnement'!B$1:B$1048576,MATCH(E2,'[1]Programme d''accompagnement'!D$1:D$1048576,0)),"--")</f>
        <v>--</v>
      </c>
      <c r="G2" s="10"/>
      <c r="H2" s="10"/>
      <c r="I2" s="10"/>
      <c r="J2" s="10" t="s">
        <v>39</v>
      </c>
      <c r="K2" s="10" t="s">
        <v>40</v>
      </c>
      <c r="L2" s="10" t="s">
        <v>41</v>
      </c>
      <c r="M2" s="10" t="s">
        <v>42</v>
      </c>
      <c r="N2" s="10" t="s">
        <v>43</v>
      </c>
      <c r="O2" s="10" t="s">
        <v>44</v>
      </c>
      <c r="P2" s="10" t="s">
        <v>45</v>
      </c>
      <c r="Q2" s="10" t="s">
        <v>44</v>
      </c>
      <c r="R2" s="10" t="s">
        <v>46</v>
      </c>
      <c r="S2" s="12" t="n">
        <v>45663</v>
      </c>
      <c r="T2" s="10" t="str">
        <f aca="false">IF(S2="","--",TEXT(S2,"mmmm"))</f>
        <v>January</v>
      </c>
      <c r="U2" s="13" t="n">
        <v>30</v>
      </c>
      <c r="V2" s="14" t="n">
        <f aca="false">IFERROR(U2/6,"--")</f>
        <v>5</v>
      </c>
      <c r="W2" s="10" t="n">
        <v>9</v>
      </c>
      <c r="X2" s="10" t="n">
        <v>9</v>
      </c>
      <c r="Y2" s="10"/>
      <c r="Z2" s="10" t="s">
        <v>47</v>
      </c>
      <c r="AA2" s="11"/>
      <c r="AB2" s="10"/>
      <c r="AC2" s="10"/>
      <c r="AD2" s="10"/>
      <c r="AE2" s="10" t="n">
        <v>10000</v>
      </c>
      <c r="AF2" s="14" t="n">
        <f aca="false">IFERROR(AE2/W2,"--")</f>
        <v>1111.11111111111</v>
      </c>
      <c r="AG2" s="10" t="s">
        <v>48</v>
      </c>
      <c r="AH2" s="10"/>
      <c r="AI2" s="10"/>
      <c r="AJ2" s="10" t="s">
        <v>49</v>
      </c>
    </row>
    <row r="3" customFormat="false" ht="13.8" hidden="false" customHeight="false" outlineLevel="0" collapsed="false">
      <c r="A3" s="9" t="str">
        <f aca="false">IFERROR(_xlfn.CONCAT(LEFT(B3,2),"_",C3,"_",D3,"_",DAY(S3),"_",T3),"--")</f>
        <v>Ra_FortiGate Infrastructure &amp; Security 7.4_Session 1_20_January</v>
      </c>
      <c r="B3" s="10" t="s">
        <v>36</v>
      </c>
      <c r="C3" s="10" t="s">
        <v>50</v>
      </c>
      <c r="D3" s="10" t="s">
        <v>38</v>
      </c>
      <c r="E3" s="11"/>
      <c r="F3" s="10" t="str">
        <f aca="false">IFERROR(INDEX('[1]Programme d''accompagnement'!B$1:B$1048576,MATCH(E3,'[1]Programme d''accompagnement'!D$1:D$1048576,0)),"--")</f>
        <v>--</v>
      </c>
      <c r="G3" s="10"/>
      <c r="H3" s="15"/>
      <c r="I3" s="15"/>
      <c r="J3" s="10" t="s">
        <v>39</v>
      </c>
      <c r="K3" s="10" t="s">
        <v>40</v>
      </c>
      <c r="L3" s="10" t="s">
        <v>41</v>
      </c>
      <c r="M3" s="10" t="s">
        <v>42</v>
      </c>
      <c r="N3" s="10" t="s">
        <v>51</v>
      </c>
      <c r="O3" s="10" t="s">
        <v>44</v>
      </c>
      <c r="P3" s="10" t="s">
        <v>45</v>
      </c>
      <c r="Q3" s="10" t="s">
        <v>44</v>
      </c>
      <c r="R3" s="10" t="s">
        <v>46</v>
      </c>
      <c r="S3" s="16" t="n">
        <v>45677</v>
      </c>
      <c r="T3" s="10" t="str">
        <f aca="false">IF(S3="","--",TEXT(S3,"mmmm"))</f>
        <v>January</v>
      </c>
      <c r="U3" s="13" t="n">
        <v>30</v>
      </c>
      <c r="V3" s="14" t="n">
        <f aca="false">IFERROR(U3/6,"--")</f>
        <v>5</v>
      </c>
      <c r="W3" s="15" t="n">
        <v>7</v>
      </c>
      <c r="X3" s="15" t="n">
        <v>7</v>
      </c>
      <c r="Y3" s="15"/>
      <c r="Z3" s="15" t="s">
        <v>47</v>
      </c>
      <c r="AA3" s="15"/>
      <c r="AB3" s="15"/>
      <c r="AC3" s="15"/>
      <c r="AD3" s="15"/>
      <c r="AE3" s="15" t="n">
        <v>31815</v>
      </c>
      <c r="AF3" s="14" t="n">
        <f aca="false">IFERROR(AE3/W3,"--")</f>
        <v>4545</v>
      </c>
      <c r="AG3" s="15" t="s">
        <v>52</v>
      </c>
      <c r="AH3" s="15"/>
      <c r="AI3" s="10"/>
      <c r="AJ3" s="10"/>
    </row>
    <row r="4" customFormat="false" ht="13.8" hidden="false" customHeight="false" outlineLevel="0" collapsed="false">
      <c r="A4" s="9" t="str">
        <f aca="false">IFERROR(_xlfn.CONCAT(LEFT(B4,2),"_",C4,"_",D4,"_",DAY(S4),"_",T4),"--")</f>
        <v>Ra_Formation Python_Session 1_27_January</v>
      </c>
      <c r="B4" s="10" t="s">
        <v>36</v>
      </c>
      <c r="C4" s="10" t="s">
        <v>53</v>
      </c>
      <c r="D4" s="10" t="s">
        <v>38</v>
      </c>
      <c r="E4" s="11"/>
      <c r="F4" s="10" t="str">
        <f aca="false">IFERROR(INDEX('[1]Programme d''accompagnement'!B$1:B$1048576,MATCH(E4,'[1]Programme d''accompagnement'!D$1:D$1048576,0)),"--")</f>
        <v>--</v>
      </c>
      <c r="G4" s="15"/>
      <c r="H4" s="15"/>
      <c r="I4" s="15"/>
      <c r="J4" s="10" t="s">
        <v>39</v>
      </c>
      <c r="K4" s="10" t="s">
        <v>40</v>
      </c>
      <c r="L4" s="10" t="s">
        <v>41</v>
      </c>
      <c r="M4" s="10" t="s">
        <v>42</v>
      </c>
      <c r="N4" s="10" t="s">
        <v>54</v>
      </c>
      <c r="O4" s="10" t="s">
        <v>44</v>
      </c>
      <c r="P4" s="10" t="s">
        <v>45</v>
      </c>
      <c r="Q4" s="10" t="s">
        <v>44</v>
      </c>
      <c r="R4" s="10" t="s">
        <v>46</v>
      </c>
      <c r="S4" s="16" t="n">
        <v>45684</v>
      </c>
      <c r="T4" s="10" t="str">
        <f aca="false">IF(S4="","--",TEXT(S4,"mmmm"))</f>
        <v>January</v>
      </c>
      <c r="U4" s="13" t="n">
        <v>24</v>
      </c>
      <c r="V4" s="14" t="n">
        <f aca="false">IFERROR(U4/6,"--")</f>
        <v>4</v>
      </c>
      <c r="W4" s="15" t="n">
        <v>7</v>
      </c>
      <c r="X4" s="15" t="n">
        <v>7</v>
      </c>
      <c r="Y4" s="15"/>
      <c r="Z4" s="15" t="s">
        <v>47</v>
      </c>
      <c r="AA4" s="15"/>
      <c r="AB4" s="15"/>
      <c r="AC4" s="15"/>
      <c r="AD4" s="15"/>
      <c r="AE4" s="15" t="n">
        <v>11000</v>
      </c>
      <c r="AF4" s="14" t="n">
        <f aca="false">IFERROR(AE4/W4,"--")</f>
        <v>1571.42857142857</v>
      </c>
      <c r="AG4" s="17" t="s">
        <v>55</v>
      </c>
      <c r="AI4" s="10"/>
      <c r="AJ4" s="10"/>
    </row>
    <row r="5" customFormat="false" ht="15" hidden="false" customHeight="true" outlineLevel="0" collapsed="false">
      <c r="A5" s="9" t="str">
        <f aca="false">IFERROR(_xlfn.CONCAT(LEFT(B5,2),"_",C5,"_",D5,"_",DAY(S5),"_",T5),"--")</f>
        <v>Ra_Formation VOIP Managée GoVoice_Session 1_30_January</v>
      </c>
      <c r="B5" s="10" t="s">
        <v>36</v>
      </c>
      <c r="C5" s="15" t="s">
        <v>56</v>
      </c>
      <c r="D5" s="10" t="s">
        <v>38</v>
      </c>
      <c r="E5" s="11"/>
      <c r="F5" s="10" t="str">
        <f aca="false">IFERROR(INDEX('[1]Programme d''accompagnement'!B$1:B$1048576,MATCH(E5,'[1]Programme d''accompagnement'!D$1:D$1048576,0)),"--")</f>
        <v>--</v>
      </c>
      <c r="G5" s="15"/>
      <c r="H5" s="15"/>
      <c r="I5" s="15"/>
      <c r="J5" s="10" t="s">
        <v>39</v>
      </c>
      <c r="K5" s="10" t="s">
        <v>40</v>
      </c>
      <c r="L5" s="10" t="s">
        <v>41</v>
      </c>
      <c r="M5" s="10" t="s">
        <v>42</v>
      </c>
      <c r="N5" s="15" t="s">
        <v>57</v>
      </c>
      <c r="O5" s="15" t="s">
        <v>58</v>
      </c>
      <c r="P5" s="15" t="s">
        <v>59</v>
      </c>
      <c r="Q5" s="15" t="s">
        <v>58</v>
      </c>
      <c r="R5" s="10" t="s">
        <v>46</v>
      </c>
      <c r="S5" s="16" t="n">
        <v>45687</v>
      </c>
      <c r="T5" s="10" t="str">
        <f aca="false">IF(S5="","--",TEXT(S5,"mmmm"))</f>
        <v>January</v>
      </c>
      <c r="U5" s="13" t="n">
        <v>12</v>
      </c>
      <c r="V5" s="14" t="n">
        <f aca="false">IFERROR(U5/6,"--")</f>
        <v>2</v>
      </c>
      <c r="W5" s="15" t="n">
        <v>9</v>
      </c>
      <c r="X5" s="15" t="n">
        <v>9</v>
      </c>
      <c r="Y5" s="15"/>
      <c r="Z5" s="15" t="s">
        <v>60</v>
      </c>
      <c r="AA5" s="15" t="s">
        <v>61</v>
      </c>
      <c r="AB5" s="15"/>
      <c r="AC5" s="15"/>
      <c r="AD5" s="15"/>
      <c r="AE5" s="15"/>
      <c r="AF5" s="14" t="n">
        <f aca="false">IFERROR(AE5/W5,"--")</f>
        <v>0</v>
      </c>
      <c r="AG5" s="15"/>
      <c r="AH5" s="15"/>
      <c r="AI5" s="10"/>
      <c r="AJ5" s="10"/>
    </row>
    <row r="6" customFormat="false" ht="54.75" hidden="false" customHeight="false" outlineLevel="0" collapsed="false">
      <c r="A6" s="9" t="str">
        <f aca="false">IFERROR(_xlfn.CONCAT(LEFT(B6,2),"_",C6,"_",D6,"_",DAY(S6),"_",T6),"--")</f>
        <v>Ra_Formation VOIP Managée GoVoice_Session 2_3_February</v>
      </c>
      <c r="B6" s="10" t="s">
        <v>36</v>
      </c>
      <c r="C6" s="15" t="s">
        <v>56</v>
      </c>
      <c r="D6" s="10" t="s">
        <v>62</v>
      </c>
      <c r="E6" s="11"/>
      <c r="F6" s="10" t="str">
        <f aca="false">IFERROR(INDEX('[1]Programme d''accompagnement'!B$1:B$1048576,MATCH(E6,'[1]Programme d''accompagnement'!D$1:D$1048576,0)),"--")</f>
        <v>--</v>
      </c>
      <c r="G6" s="15"/>
      <c r="H6" s="15"/>
      <c r="I6" s="15"/>
      <c r="J6" s="10" t="s">
        <v>39</v>
      </c>
      <c r="K6" s="10" t="s">
        <v>40</v>
      </c>
      <c r="L6" s="10" t="s">
        <v>41</v>
      </c>
      <c r="M6" s="10" t="s">
        <v>42</v>
      </c>
      <c r="N6" s="15" t="s">
        <v>57</v>
      </c>
      <c r="O6" s="15" t="s">
        <v>58</v>
      </c>
      <c r="P6" s="15" t="s">
        <v>59</v>
      </c>
      <c r="Q6" s="15" t="s">
        <v>58</v>
      </c>
      <c r="R6" s="10" t="s">
        <v>46</v>
      </c>
      <c r="S6" s="16" t="n">
        <v>45691</v>
      </c>
      <c r="T6" s="10" t="str">
        <f aca="false">IF(S6="","--",TEXT(S6,"mmmm"))</f>
        <v>February</v>
      </c>
      <c r="U6" s="13" t="n">
        <v>12</v>
      </c>
      <c r="V6" s="14" t="n">
        <f aca="false">IFERROR(U6/6,"--")</f>
        <v>2</v>
      </c>
      <c r="W6" s="15" t="n">
        <v>8</v>
      </c>
      <c r="X6" s="15" t="n">
        <v>8</v>
      </c>
      <c r="Y6" s="15"/>
      <c r="Z6" s="15" t="s">
        <v>60</v>
      </c>
      <c r="AA6" s="15" t="s">
        <v>61</v>
      </c>
      <c r="AB6" s="15"/>
      <c r="AC6" s="15"/>
      <c r="AD6" s="15"/>
      <c r="AE6" s="15"/>
      <c r="AF6" s="14" t="n">
        <f aca="false">IFERROR(AE6/W6,"--")</f>
        <v>0</v>
      </c>
      <c r="AG6" s="15"/>
      <c r="AH6" s="15"/>
      <c r="AI6" s="10"/>
      <c r="AJ6" s="10"/>
    </row>
    <row r="7" customFormat="false" ht="12" hidden="false" customHeight="true" outlineLevel="0" collapsed="false">
      <c r="A7" s="9" t="str">
        <f aca="false">IFERROR(_xlfn.CONCAT(LEFT(B7,2),"_",C7,"_",D7,"_",DAY(S7),"_",T7),"--")</f>
        <v>Ra_Planification et Ingénierie de Conception _Session 1_10_February</v>
      </c>
      <c r="B7" s="10" t="s">
        <v>36</v>
      </c>
      <c r="C7" s="15" t="s">
        <v>63</v>
      </c>
      <c r="D7" s="10" t="s">
        <v>38</v>
      </c>
      <c r="E7" s="11"/>
      <c r="F7" s="10" t="str">
        <f aca="false">IFERROR(INDEX('[1]Programme d''accompagnement'!B$1:B$1048576,MATCH(E7,'[1]Programme d''accompagnement'!D$1:D$1048576,0)),"--")</f>
        <v>--</v>
      </c>
      <c r="G7" s="15"/>
      <c r="H7" s="15"/>
      <c r="I7" s="15"/>
      <c r="J7" s="10" t="s">
        <v>39</v>
      </c>
      <c r="K7" s="10" t="s">
        <v>40</v>
      </c>
      <c r="L7" s="10" t="s">
        <v>41</v>
      </c>
      <c r="M7" s="10" t="s">
        <v>42</v>
      </c>
      <c r="N7" s="15" t="s">
        <v>64</v>
      </c>
      <c r="O7" s="15" t="s">
        <v>58</v>
      </c>
      <c r="P7" s="15" t="s">
        <v>59</v>
      </c>
      <c r="Q7" s="15" t="s">
        <v>58</v>
      </c>
      <c r="R7" s="10" t="s">
        <v>46</v>
      </c>
      <c r="S7" s="16" t="n">
        <v>45698</v>
      </c>
      <c r="T7" s="10" t="str">
        <f aca="false">IF(S7="","--",TEXT(S7,"mmmm"))</f>
        <v>February</v>
      </c>
      <c r="U7" s="13" t="n">
        <v>24</v>
      </c>
      <c r="V7" s="14" t="n">
        <f aca="false">IFERROR(U7/6,"--")</f>
        <v>4</v>
      </c>
      <c r="W7" s="15" t="n">
        <v>6</v>
      </c>
      <c r="X7" s="15" t="n">
        <v>6</v>
      </c>
      <c r="Y7" s="15"/>
      <c r="Z7" s="15" t="s">
        <v>60</v>
      </c>
      <c r="AA7" s="15" t="s">
        <v>61</v>
      </c>
      <c r="AB7" s="15"/>
      <c r="AC7" s="15"/>
      <c r="AD7" s="15"/>
      <c r="AE7" s="15"/>
      <c r="AF7" s="14" t="n">
        <f aca="false">IFERROR(AE7/W7,"--")</f>
        <v>0</v>
      </c>
      <c r="AG7" s="15"/>
      <c r="AH7" s="15"/>
      <c r="AI7" s="10"/>
      <c r="AJ7" s="10"/>
    </row>
    <row r="8" customFormat="false" ht="13.8" hidden="false" customHeight="false" outlineLevel="0" collapsed="false">
      <c r="A8" s="9" t="str">
        <f aca="false">IFERROR(_xlfn.CONCAT(LEFT(B8,2),"_",C8,"_",D8,"_",DAY(S8),"_",T8),"--")</f>
        <v>Ra_Planification et Ingénierie de Conception _Session 2_14_February</v>
      </c>
      <c r="B8" s="10" t="s">
        <v>36</v>
      </c>
      <c r="C8" s="15" t="s">
        <v>63</v>
      </c>
      <c r="D8" s="10" t="s">
        <v>62</v>
      </c>
      <c r="E8" s="11"/>
      <c r="F8" s="10" t="str">
        <f aca="false">IFERROR(INDEX('[1]Programme d''accompagnement'!B$1:B$1048576,MATCH(E8,'[1]Programme d''accompagnement'!D$1:D$1048576,0)),"--")</f>
        <v>--</v>
      </c>
      <c r="G8" s="15"/>
      <c r="H8" s="15"/>
      <c r="I8" s="15"/>
      <c r="J8" s="10" t="s">
        <v>39</v>
      </c>
      <c r="K8" s="10" t="s">
        <v>40</v>
      </c>
      <c r="L8" s="10" t="s">
        <v>41</v>
      </c>
      <c r="M8" s="10" t="s">
        <v>42</v>
      </c>
      <c r="N8" s="15" t="s">
        <v>64</v>
      </c>
      <c r="O8" s="15" t="s">
        <v>58</v>
      </c>
      <c r="P8" s="15" t="s">
        <v>59</v>
      </c>
      <c r="Q8" s="15" t="s">
        <v>58</v>
      </c>
      <c r="R8" s="15" t="s">
        <v>46</v>
      </c>
      <c r="S8" s="16" t="n">
        <v>45702</v>
      </c>
      <c r="T8" s="10" t="str">
        <f aca="false">IF(S8="","--",TEXT(S8,"mmmm"))</f>
        <v>February</v>
      </c>
      <c r="U8" s="13" t="n">
        <v>24</v>
      </c>
      <c r="V8" s="14" t="n">
        <f aca="false">IFERROR(U8/6,"--")</f>
        <v>4</v>
      </c>
      <c r="W8" s="15" t="n">
        <v>7</v>
      </c>
      <c r="X8" s="15" t="n">
        <v>7</v>
      </c>
      <c r="Y8" s="15"/>
      <c r="Z8" s="15" t="s">
        <v>60</v>
      </c>
      <c r="AA8" s="15" t="s">
        <v>61</v>
      </c>
      <c r="AB8" s="15"/>
      <c r="AC8" s="15"/>
      <c r="AD8" s="15"/>
      <c r="AE8" s="15"/>
      <c r="AF8" s="14" t="n">
        <f aca="false">IFERROR(AE8/W8,"--")</f>
        <v>0</v>
      </c>
      <c r="AG8" s="15"/>
      <c r="AH8" s="15"/>
      <c r="AI8" s="10"/>
      <c r="AJ8" s="10"/>
    </row>
    <row r="9" customFormat="false" ht="13.8" hidden="false" customHeight="false" outlineLevel="0" collapsed="false">
      <c r="A9" s="9" t="str">
        <f aca="false">IFERROR(_xlfn.CONCAT(LEFT(B9,2),"_",C9,"_",D9,"_",DAY(S9),"_",T9),"--")</f>
        <v>Ra_ISBC_Session 1_11_February</v>
      </c>
      <c r="B9" s="10" t="s">
        <v>36</v>
      </c>
      <c r="C9" s="15" t="s">
        <v>65</v>
      </c>
      <c r="D9" s="10" t="s">
        <v>38</v>
      </c>
      <c r="E9" s="11"/>
      <c r="F9" s="10" t="str">
        <f aca="false">IFERROR(INDEX('[1]Programme d''accompagnement'!B$1:B$1048576,MATCH(E9,'[1]Programme d''accompagnement'!D$1:D$1048576,0)),"--")</f>
        <v>--</v>
      </c>
      <c r="G9" s="15"/>
      <c r="H9" s="15"/>
      <c r="I9" s="15"/>
      <c r="J9" s="10" t="s">
        <v>39</v>
      </c>
      <c r="K9" s="10" t="s">
        <v>40</v>
      </c>
      <c r="L9" s="10" t="s">
        <v>41</v>
      </c>
      <c r="M9" s="10" t="s">
        <v>42</v>
      </c>
      <c r="N9" s="15" t="s">
        <v>64</v>
      </c>
      <c r="O9" s="15" t="s">
        <v>58</v>
      </c>
      <c r="P9" s="15" t="s">
        <v>59</v>
      </c>
      <c r="Q9" s="15" t="s">
        <v>58</v>
      </c>
      <c r="R9" s="15" t="s">
        <v>46</v>
      </c>
      <c r="S9" s="16" t="n">
        <v>45699</v>
      </c>
      <c r="T9" s="10" t="str">
        <f aca="false">IF(S9="","--",TEXT(S9,"mmmm"))</f>
        <v>February</v>
      </c>
      <c r="U9" s="13" t="n">
        <v>12</v>
      </c>
      <c r="V9" s="14" t="n">
        <f aca="false">IFERROR(U9/6,"--")</f>
        <v>2</v>
      </c>
      <c r="W9" s="15" t="n">
        <v>13</v>
      </c>
      <c r="X9" s="15" t="n">
        <v>11</v>
      </c>
      <c r="Y9" s="15"/>
      <c r="Z9" s="15" t="s">
        <v>60</v>
      </c>
      <c r="AA9" s="15" t="s">
        <v>61</v>
      </c>
      <c r="AB9" s="15"/>
      <c r="AC9" s="15"/>
      <c r="AD9" s="15"/>
      <c r="AE9" s="15"/>
      <c r="AF9" s="14" t="n">
        <f aca="false">IFERROR(AE9/W9,"--")</f>
        <v>0</v>
      </c>
      <c r="AG9" s="15"/>
      <c r="AH9" s="15"/>
      <c r="AI9" s="10"/>
      <c r="AJ9" s="10"/>
    </row>
    <row r="10" customFormat="false" ht="13.8" hidden="false" customHeight="false" outlineLevel="0" collapsed="false">
      <c r="A10" s="9" t="str">
        <f aca="false">IFERROR(_xlfn.CONCAT(LEFT(B10,2),"_",C10,"_",D10,"_",DAY(S10),"_",T10),"--")</f>
        <v>Ra_Risk Management _Session 1_17_February</v>
      </c>
      <c r="B10" s="10" t="s">
        <v>36</v>
      </c>
      <c r="C10" s="15" t="s">
        <v>66</v>
      </c>
      <c r="D10" s="10" t="s">
        <v>38</v>
      </c>
      <c r="E10" s="11"/>
      <c r="F10" s="10" t="str">
        <f aca="false">IFERROR(INDEX('[1]Programme d''accompagnement'!B$1:B$1048576,MATCH(E10,'[1]Programme d''accompagnement'!D$1:D$1048576,0)),"--")</f>
        <v>--</v>
      </c>
      <c r="G10" s="15"/>
      <c r="H10" s="15"/>
      <c r="I10" s="15"/>
      <c r="J10" s="10" t="s">
        <v>39</v>
      </c>
      <c r="K10" s="10" t="s">
        <v>40</v>
      </c>
      <c r="L10" s="10" t="s">
        <v>41</v>
      </c>
      <c r="M10" s="10" t="s">
        <v>42</v>
      </c>
      <c r="N10" s="15" t="s">
        <v>67</v>
      </c>
      <c r="O10" s="15" t="s">
        <v>44</v>
      </c>
      <c r="P10" s="15" t="s">
        <v>45</v>
      </c>
      <c r="Q10" s="15" t="s">
        <v>44</v>
      </c>
      <c r="R10" s="15" t="s">
        <v>46</v>
      </c>
      <c r="S10" s="16" t="n">
        <v>45705</v>
      </c>
      <c r="T10" s="10" t="str">
        <f aca="false">IF(S10="","--",TEXT(S10,"mmmm"))</f>
        <v>February</v>
      </c>
      <c r="U10" s="13" t="n">
        <v>18</v>
      </c>
      <c r="V10" s="14" t="n">
        <f aca="false">IFERROR(U10/6,"--")</f>
        <v>3</v>
      </c>
      <c r="W10" s="15" t="n">
        <v>5</v>
      </c>
      <c r="X10" s="15" t="n">
        <v>5</v>
      </c>
      <c r="Y10" s="15"/>
      <c r="Z10" s="15" t="s">
        <v>68</v>
      </c>
      <c r="AA10" s="15" t="s">
        <v>69</v>
      </c>
      <c r="AB10" s="15"/>
      <c r="AC10" s="15"/>
      <c r="AD10" s="15"/>
      <c r="AE10" s="15"/>
      <c r="AF10" s="14" t="n">
        <f aca="false">IFERROR(AE10/W10,"--")</f>
        <v>0</v>
      </c>
      <c r="AG10" s="15"/>
      <c r="AH10" s="15"/>
      <c r="AI10" s="10"/>
      <c r="AJ10" s="10"/>
    </row>
    <row r="11" customFormat="false" ht="13.8" hidden="false" customHeight="false" outlineLevel="0" collapsed="false">
      <c r="A11" s="9" t="str">
        <f aca="false">IFERROR(_xlfn.CONCAT(LEFT(B11,2),"_",C11,"_",D11,"_",DAY(S11),"_",T11),"--")</f>
        <v>Ra_iMaster NCE RTN Network Monitoring Training_Session 1_20_February</v>
      </c>
      <c r="B11" s="10" t="s">
        <v>36</v>
      </c>
      <c r="C11" s="15" t="s">
        <v>70</v>
      </c>
      <c r="D11" s="10" t="s">
        <v>38</v>
      </c>
      <c r="E11" s="11"/>
      <c r="F11" s="10" t="str">
        <f aca="false">IFERROR(INDEX('[1]Programme d''accompagnement'!B$1:B$1048576,MATCH(E11,'[1]Programme d''accompagnement'!D$1:D$1048576,0)),"--")</f>
        <v>--</v>
      </c>
      <c r="G11" s="15"/>
      <c r="H11" s="15"/>
      <c r="I11" s="15"/>
      <c r="J11" s="10" t="s">
        <v>39</v>
      </c>
      <c r="K11" s="10" t="s">
        <v>40</v>
      </c>
      <c r="L11" s="10" t="s">
        <v>41</v>
      </c>
      <c r="M11" s="10" t="s">
        <v>42</v>
      </c>
      <c r="N11" s="15"/>
      <c r="O11" s="15" t="s">
        <v>58</v>
      </c>
      <c r="P11" s="15" t="s">
        <v>59</v>
      </c>
      <c r="Q11" s="15" t="s">
        <v>44</v>
      </c>
      <c r="R11" s="15" t="s">
        <v>46</v>
      </c>
      <c r="S11" s="16" t="n">
        <v>45708</v>
      </c>
      <c r="T11" s="10" t="str">
        <f aca="false">IF(S11="","--",TEXT(S11,"mmmm"))</f>
        <v>February</v>
      </c>
      <c r="U11" s="13" t="n">
        <v>6</v>
      </c>
      <c r="V11" s="14" t="n">
        <f aca="false">IFERROR(U11/6,"--")</f>
        <v>1</v>
      </c>
      <c r="W11" s="15" t="n">
        <v>6</v>
      </c>
      <c r="X11" s="15" t="n">
        <v>6</v>
      </c>
      <c r="Y11" s="15"/>
      <c r="Z11" s="15" t="s">
        <v>60</v>
      </c>
      <c r="AA11" s="15" t="s">
        <v>61</v>
      </c>
      <c r="AB11" s="15"/>
      <c r="AC11" s="15"/>
      <c r="AD11" s="15"/>
      <c r="AE11" s="15"/>
      <c r="AF11" s="14" t="n">
        <f aca="false">IFERROR(AE11/W11,"--")</f>
        <v>0</v>
      </c>
      <c r="AG11" s="15"/>
      <c r="AH11" s="15"/>
      <c r="AI11" s="10"/>
      <c r="AJ11" s="10"/>
    </row>
    <row r="12" customFormat="false" ht="13.8" hidden="false" customHeight="false" outlineLevel="0" collapsed="false">
      <c r="A12" s="9" t="str">
        <f aca="false">IFERROR(_xlfn.CONCAT(LEFT(B12,2),"_",C12,"_",D12,"_",DAY(S12),"_",T12),"--")</f>
        <v>Ra_VOLTE_Session 1_25_February</v>
      </c>
      <c r="B12" s="10" t="s">
        <v>36</v>
      </c>
      <c r="C12" s="15" t="s">
        <v>71</v>
      </c>
      <c r="D12" s="10" t="s">
        <v>38</v>
      </c>
      <c r="E12" s="11"/>
      <c r="F12" s="10" t="str">
        <f aca="false">IFERROR(INDEX('[1]Programme d''accompagnement'!B$1:B$1048576,MATCH(E12,'[1]Programme d''accompagnement'!D$1:D$1048576,0)),"--")</f>
        <v>--</v>
      </c>
      <c r="G12" s="15"/>
      <c r="H12" s="15"/>
      <c r="I12" s="15"/>
      <c r="J12" s="10" t="s">
        <v>39</v>
      </c>
      <c r="K12" s="10" t="s">
        <v>40</v>
      </c>
      <c r="L12" s="10" t="s">
        <v>41</v>
      </c>
      <c r="M12" s="10" t="s">
        <v>42</v>
      </c>
      <c r="N12" s="15" t="s">
        <v>72</v>
      </c>
      <c r="O12" s="15" t="s">
        <v>58</v>
      </c>
      <c r="P12" s="15" t="s">
        <v>45</v>
      </c>
      <c r="Q12" s="15" t="s">
        <v>44</v>
      </c>
      <c r="R12" s="15" t="s">
        <v>46</v>
      </c>
      <c r="S12" s="16" t="n">
        <v>45713</v>
      </c>
      <c r="T12" s="10" t="str">
        <f aca="false">IF(S12="","--",TEXT(S12,"mmmm"))</f>
        <v>February</v>
      </c>
      <c r="U12" s="13" t="n">
        <v>18</v>
      </c>
      <c r="V12" s="14" t="n">
        <f aca="false">IFERROR(U12/6,"--")</f>
        <v>3</v>
      </c>
      <c r="W12" s="15" t="n">
        <v>13</v>
      </c>
      <c r="X12" s="15" t="n">
        <v>13</v>
      </c>
      <c r="Y12" s="15"/>
      <c r="Z12" s="15" t="s">
        <v>60</v>
      </c>
      <c r="AA12" s="15" t="s">
        <v>61</v>
      </c>
      <c r="AB12" s="15"/>
      <c r="AC12" s="15"/>
      <c r="AD12" s="15"/>
      <c r="AE12" s="15"/>
      <c r="AF12" s="14" t="n">
        <f aca="false">IFERROR(AE12/W12,"--")</f>
        <v>0</v>
      </c>
      <c r="AG12" s="15"/>
      <c r="AH12" s="15"/>
      <c r="AI12" s="10"/>
      <c r="AJ12" s="10"/>
    </row>
    <row r="13" customFormat="false" ht="13.8" hidden="false" customHeight="false" outlineLevel="0" collapsed="false">
      <c r="A13" s="9" t="str">
        <f aca="false">IFERROR(_xlfn.CONCAT(LEFT(B13,2),"_",C13,"_",D13,"_",DAY(S13),"_",T13),"--")</f>
        <v>Ra_VOIP Managée GoVoice_Session 1_26_February</v>
      </c>
      <c r="B13" s="10" t="s">
        <v>36</v>
      </c>
      <c r="C13" s="18" t="s">
        <v>73</v>
      </c>
      <c r="D13" s="10" t="s">
        <v>38</v>
      </c>
      <c r="E13" s="11"/>
      <c r="F13" s="10" t="str">
        <f aca="false">IFERROR(INDEX('[1]Programme d''accompagnement'!B$1:B$1048576,MATCH(E13,'[1]Programme d''accompagnement'!D$1:D$1048576,0)),"--")</f>
        <v>--</v>
      </c>
      <c r="G13" s="15"/>
      <c r="H13" s="15"/>
      <c r="I13" s="15"/>
      <c r="J13" s="10" t="s">
        <v>39</v>
      </c>
      <c r="K13" s="10" t="s">
        <v>40</v>
      </c>
      <c r="L13" s="10" t="s">
        <v>41</v>
      </c>
      <c r="M13" s="10" t="s">
        <v>42</v>
      </c>
      <c r="N13" s="15" t="s">
        <v>57</v>
      </c>
      <c r="O13" s="15" t="s">
        <v>58</v>
      </c>
      <c r="P13" s="15" t="s">
        <v>59</v>
      </c>
      <c r="Q13" s="15" t="s">
        <v>58</v>
      </c>
      <c r="R13" s="15" t="s">
        <v>46</v>
      </c>
      <c r="S13" s="16" t="n">
        <v>45714</v>
      </c>
      <c r="T13" s="10" t="str">
        <f aca="false">IF(S13="","--",TEXT(S13,"mmmm"))</f>
        <v>February</v>
      </c>
      <c r="U13" s="13" t="n">
        <v>18</v>
      </c>
      <c r="V13" s="14" t="n">
        <f aca="false">IFERROR(U13/6,"--")</f>
        <v>3</v>
      </c>
      <c r="W13" s="15" t="n">
        <v>7</v>
      </c>
      <c r="X13" s="15" t="n">
        <v>7</v>
      </c>
      <c r="Y13" s="15"/>
      <c r="Z13" s="15" t="s">
        <v>60</v>
      </c>
      <c r="AA13" s="15" t="s">
        <v>61</v>
      </c>
      <c r="AB13" s="15"/>
      <c r="AC13" s="15"/>
      <c r="AD13" s="15"/>
      <c r="AE13" s="15"/>
      <c r="AF13" s="14" t="n">
        <f aca="false">IFERROR(AE13/W13,"--")</f>
        <v>0</v>
      </c>
      <c r="AG13" s="15"/>
      <c r="AH13" s="15"/>
      <c r="AI13" s="10"/>
      <c r="AJ13" s="10"/>
    </row>
    <row r="14" customFormat="false" ht="13.8" hidden="false" customHeight="false" outlineLevel="0" collapsed="false">
      <c r="A14" s="9" t="str">
        <f aca="false">IFERROR(_xlfn.CONCAT(LEFT(B14,2),"_",C14,"_",D14,"_",DAY(S14),"_",T14),"--")</f>
        <v>Ra_UDM: Signalisation_Session 1_24_March</v>
      </c>
      <c r="B14" s="10" t="s">
        <v>36</v>
      </c>
      <c r="C14" s="15" t="s">
        <v>74</v>
      </c>
      <c r="D14" s="10" t="s">
        <v>38</v>
      </c>
      <c r="E14" s="11"/>
      <c r="F14" s="10" t="str">
        <f aca="false">IFERROR(INDEX('[1]Programme d''accompagnement'!B$1:B$1048576,MATCH(E14,'[1]Programme d''accompagnement'!D$1:D$1048576,0)),"--")</f>
        <v>--</v>
      </c>
      <c r="G14" s="15"/>
      <c r="H14" s="15"/>
      <c r="I14" s="15"/>
      <c r="J14" s="10" t="s">
        <v>39</v>
      </c>
      <c r="K14" s="10" t="s">
        <v>40</v>
      </c>
      <c r="L14" s="10" t="s">
        <v>41</v>
      </c>
      <c r="M14" s="10" t="s">
        <v>42</v>
      </c>
      <c r="N14" s="15" t="s">
        <v>64</v>
      </c>
      <c r="O14" s="15" t="s">
        <v>58</v>
      </c>
      <c r="P14" s="15" t="s">
        <v>59</v>
      </c>
      <c r="Q14" s="15" t="s">
        <v>58</v>
      </c>
      <c r="R14" s="15" t="s">
        <v>46</v>
      </c>
      <c r="S14" s="16" t="n">
        <v>45740</v>
      </c>
      <c r="T14" s="10" t="str">
        <f aca="false">IF(S14="","--",TEXT(S14,"mmmm"))</f>
        <v>March</v>
      </c>
      <c r="U14" s="13" t="n">
        <v>30</v>
      </c>
      <c r="V14" s="14" t="n">
        <f aca="false">IFERROR(U14/6,"--")</f>
        <v>5</v>
      </c>
      <c r="W14" s="15" t="n">
        <v>16</v>
      </c>
      <c r="X14" s="15" t="n">
        <v>14</v>
      </c>
      <c r="Y14" s="15"/>
      <c r="Z14" s="15" t="s">
        <v>60</v>
      </c>
      <c r="AA14" s="15"/>
      <c r="AB14" s="15"/>
      <c r="AC14" s="15"/>
      <c r="AD14" s="15"/>
      <c r="AE14" s="15"/>
      <c r="AF14" s="14" t="n">
        <f aca="false">IFERROR(AE14/W14,"--")</f>
        <v>0</v>
      </c>
      <c r="AG14" s="15"/>
      <c r="AH14" s="15"/>
      <c r="AI14" s="10"/>
      <c r="AJ14" s="10"/>
    </row>
    <row r="15" customFormat="false" ht="13.8" hidden="false" customHeight="false" outlineLevel="0" collapsed="false">
      <c r="A15" s="9" t="str">
        <f aca="false">IFERROR(_xlfn.CONCAT(LEFT(B15,2),"_",C15,"_",D15,"_",DAY(S15),"_",T15),"--")</f>
        <v>Az_#OTC: Parcours BIG DATA: Les Fondamentaux - Apprentissage Asynchrone_Rezgui Imen_022025__3_February</v>
      </c>
      <c r="B15" s="10" t="s">
        <v>75</v>
      </c>
      <c r="C15" s="15" t="s">
        <v>76</v>
      </c>
      <c r="D15" s="10"/>
      <c r="E15" s="11" t="s">
        <v>77</v>
      </c>
      <c r="F15" s="10"/>
      <c r="G15" s="15"/>
      <c r="H15" s="15"/>
      <c r="I15" s="15"/>
      <c r="J15" s="10" t="s">
        <v>78</v>
      </c>
      <c r="K15" s="10" t="s">
        <v>79</v>
      </c>
      <c r="L15" s="10" t="s">
        <v>80</v>
      </c>
      <c r="M15" s="10" t="s">
        <v>81</v>
      </c>
      <c r="N15" s="15" t="s">
        <v>82</v>
      </c>
      <c r="O15" s="15" t="s">
        <v>44</v>
      </c>
      <c r="P15" s="15" t="s">
        <v>45</v>
      </c>
      <c r="Q15" s="15" t="s">
        <v>58</v>
      </c>
      <c r="R15" s="15" t="s">
        <v>46</v>
      </c>
      <c r="S15" s="16" t="n">
        <v>45691</v>
      </c>
      <c r="T15" s="10" t="str">
        <f aca="false">IF(S15="","--",TEXT(S15,"mmmm"))</f>
        <v>February</v>
      </c>
      <c r="U15" s="13" t="n">
        <v>72</v>
      </c>
      <c r="V15" s="14" t="n">
        <f aca="false">IFERROR(U15/6,"--")</f>
        <v>12</v>
      </c>
      <c r="W15" s="15" t="n">
        <v>1</v>
      </c>
      <c r="X15" s="15" t="n">
        <v>1</v>
      </c>
      <c r="Y15" s="15"/>
      <c r="Z15" s="15"/>
      <c r="AA15" s="15"/>
      <c r="AB15" s="15"/>
      <c r="AC15" s="15"/>
      <c r="AD15" s="15"/>
      <c r="AE15" s="15"/>
      <c r="AF15" s="14" t="n">
        <f aca="false">IFERROR(AE15/W15,"--")</f>
        <v>0</v>
      </c>
      <c r="AG15" s="15"/>
      <c r="AH15" s="15"/>
      <c r="AI15" s="10"/>
      <c r="AJ15" s="10"/>
    </row>
    <row r="16" customFormat="false" ht="13.8" hidden="false" customHeight="false" outlineLevel="0" collapsed="false">
      <c r="A16" s="9" t="str">
        <f aca="false">IFERROR(_xlfn.CONCAT(LEFT(B16,2),"_",C16,"_",D16,"_",DAY(S16),"_",T16),"--")</f>
        <v>Im_Level UP Process Com Managers G1_Session 1_14_January</v>
      </c>
      <c r="B16" s="10" t="s">
        <v>83</v>
      </c>
      <c r="C16" s="15" t="s">
        <v>84</v>
      </c>
      <c r="D16" s="10" t="s">
        <v>38</v>
      </c>
      <c r="E16" s="11" t="s">
        <v>85</v>
      </c>
      <c r="F16" s="10" t="s">
        <v>86</v>
      </c>
      <c r="G16" s="15"/>
      <c r="H16" s="15"/>
      <c r="I16" s="15"/>
      <c r="J16" s="10" t="s">
        <v>39</v>
      </c>
      <c r="K16" s="10" t="s">
        <v>40</v>
      </c>
      <c r="L16" s="10" t="s">
        <v>41</v>
      </c>
      <c r="M16" s="10" t="s">
        <v>42</v>
      </c>
      <c r="N16" s="15" t="s">
        <v>87</v>
      </c>
      <c r="O16" s="15" t="s">
        <v>44</v>
      </c>
      <c r="P16" s="15" t="s">
        <v>45</v>
      </c>
      <c r="Q16" s="15" t="s">
        <v>44</v>
      </c>
      <c r="R16" s="15" t="s">
        <v>46</v>
      </c>
      <c r="S16" s="16" t="n">
        <v>45671</v>
      </c>
      <c r="T16" s="10" t="str">
        <f aca="false">IF(S16="","--",TEXT(S16,"mmmm"))</f>
        <v>January</v>
      </c>
      <c r="U16" s="13" t="n">
        <v>12</v>
      </c>
      <c r="V16" s="14" t="n">
        <f aca="false">IFERROR(U16/6,"--")</f>
        <v>2</v>
      </c>
      <c r="W16" s="15" t="n">
        <v>9</v>
      </c>
      <c r="X16" s="15" t="n">
        <v>9</v>
      </c>
      <c r="Y16" s="15"/>
      <c r="Z16" s="15" t="s">
        <v>47</v>
      </c>
      <c r="AA16" s="15" t="s">
        <v>61</v>
      </c>
      <c r="AB16" s="15"/>
      <c r="AC16" s="15"/>
      <c r="AD16" s="15"/>
      <c r="AE16" s="15"/>
      <c r="AF16" s="14" t="n">
        <f aca="false">IFERROR(AE16/W16,"--")</f>
        <v>0</v>
      </c>
      <c r="AG16" s="15"/>
      <c r="AH16" s="15"/>
      <c r="AI16" s="10"/>
      <c r="AJ16" s="10"/>
    </row>
    <row r="17" customFormat="false" ht="13.8" hidden="false" customHeight="false" outlineLevel="0" collapsed="false">
      <c r="A17" s="9" t="str">
        <f aca="false">IFERROR(_xlfn.CONCAT(LEFT(B17,2),"_",C17,"_",D17,"_",DAY(S17),"_",T17),"--")</f>
        <v>Im_Level UP Module 1 PNL Managers_session 1_30_January</v>
      </c>
      <c r="B17" s="10" t="s">
        <v>83</v>
      </c>
      <c r="C17" s="15" t="s">
        <v>88</v>
      </c>
      <c r="D17" s="10" t="s">
        <v>89</v>
      </c>
      <c r="E17" s="11" t="s">
        <v>85</v>
      </c>
      <c r="F17" s="10" t="s">
        <v>86</v>
      </c>
      <c r="G17" s="10"/>
      <c r="H17" s="10"/>
      <c r="I17" s="10"/>
      <c r="J17" s="10" t="s">
        <v>39</v>
      </c>
      <c r="K17" s="10" t="s">
        <v>40</v>
      </c>
      <c r="L17" s="10" t="s">
        <v>41</v>
      </c>
      <c r="M17" s="10" t="s">
        <v>42</v>
      </c>
      <c r="N17" s="15" t="s">
        <v>87</v>
      </c>
      <c r="O17" s="15" t="s">
        <v>44</v>
      </c>
      <c r="P17" s="15" t="s">
        <v>45</v>
      </c>
      <c r="Q17" s="15" t="s">
        <v>44</v>
      </c>
      <c r="R17" s="15" t="s">
        <v>46</v>
      </c>
      <c r="S17" s="16" t="n">
        <v>45687</v>
      </c>
      <c r="T17" s="10" t="str">
        <f aca="false">IF(S17="","--",TEXT(S17,"mmmm"))</f>
        <v>January</v>
      </c>
      <c r="U17" s="13" t="n">
        <v>12</v>
      </c>
      <c r="V17" s="14" t="n">
        <f aca="false">IFERROR(U17/6,"--")</f>
        <v>2</v>
      </c>
      <c r="W17" s="15" t="n">
        <v>9</v>
      </c>
      <c r="X17" s="15" t="n">
        <v>9</v>
      </c>
      <c r="Y17" s="10"/>
      <c r="Z17" s="15" t="s">
        <v>47</v>
      </c>
      <c r="AA17" s="15" t="s">
        <v>61</v>
      </c>
      <c r="AB17" s="15"/>
      <c r="AC17" s="15"/>
      <c r="AD17" s="15"/>
      <c r="AE17" s="15"/>
      <c r="AF17" s="14"/>
      <c r="AG17" s="15"/>
      <c r="AH17" s="15"/>
      <c r="AI17" s="10"/>
      <c r="AJ17" s="10"/>
    </row>
    <row r="18" customFormat="false" ht="13.8" hidden="false" customHeight="false" outlineLevel="0" collapsed="false">
      <c r="A18" s="9" t="str">
        <f aca="false">IFERROR(_xlfn.CONCAT(LEFT(B18,2),"_",C18,"_",D18,"_",DAY(S18),"_",T18),"--")</f>
        <v>Im_Level UP Module 1 PNL COM&amp;FID G1_session 1_3_February</v>
      </c>
      <c r="B18" s="10" t="s">
        <v>83</v>
      </c>
      <c r="C18" s="15" t="s">
        <v>90</v>
      </c>
      <c r="D18" s="10" t="s">
        <v>89</v>
      </c>
      <c r="E18" s="11" t="s">
        <v>85</v>
      </c>
      <c r="F18" s="10" t="str">
        <f aca="false">IFERROR(INDEX('[1]Programme d''accompagnement'!B$1:B$1048576,MATCH(E18,'[1]Programme d''accompagnement'!D$1:D$1048576,0)),"--")</f>
        <v>2025_Level UP B2B_Im</v>
      </c>
      <c r="G18" s="15"/>
      <c r="H18" s="15"/>
      <c r="I18" s="15"/>
      <c r="J18" s="10" t="s">
        <v>39</v>
      </c>
      <c r="K18" s="10" t="s">
        <v>40</v>
      </c>
      <c r="L18" s="10" t="s">
        <v>41</v>
      </c>
      <c r="M18" s="10" t="s">
        <v>42</v>
      </c>
      <c r="N18" s="15" t="s">
        <v>87</v>
      </c>
      <c r="O18" s="15" t="s">
        <v>44</v>
      </c>
      <c r="P18" s="15" t="s">
        <v>45</v>
      </c>
      <c r="Q18" s="15" t="s">
        <v>44</v>
      </c>
      <c r="R18" s="15" t="s">
        <v>46</v>
      </c>
      <c r="S18" s="16" t="n">
        <v>45691</v>
      </c>
      <c r="T18" s="10" t="str">
        <f aca="false">IF(S18="","--",TEXT(S18,"mmmm"))</f>
        <v>February</v>
      </c>
      <c r="U18" s="13" t="n">
        <v>12</v>
      </c>
      <c r="V18" s="14" t="n">
        <f aca="false">IFERROR(U18/6,"--")</f>
        <v>2</v>
      </c>
      <c r="W18" s="15" t="n">
        <v>15</v>
      </c>
      <c r="X18" s="15" t="n">
        <v>15</v>
      </c>
      <c r="Y18" s="15"/>
      <c r="Z18" s="15" t="s">
        <v>47</v>
      </c>
      <c r="AA18" s="15" t="s">
        <v>61</v>
      </c>
      <c r="AB18" s="15"/>
      <c r="AC18" s="15"/>
      <c r="AD18" s="15"/>
      <c r="AE18" s="15"/>
      <c r="AF18" s="14" t="n">
        <f aca="false">IFERROR(AE18/W18,"--")</f>
        <v>0</v>
      </c>
      <c r="AG18" s="15"/>
      <c r="AH18" s="15"/>
      <c r="AI18" s="10"/>
      <c r="AJ18" s="10"/>
    </row>
    <row r="19" customFormat="false" ht="13.8" hidden="false" customHeight="false" outlineLevel="0" collapsed="false">
      <c r="A19" s="9" t="str">
        <f aca="false">IFERROR(_xlfn.CONCAT(LEFT(B19,2),"_",C19,"_",D19,"_",DAY(S19),"_",T19),"--")</f>
        <v>Im_Level UP Module 1 PNL COM&amp;FID G2_session 2_10_February</v>
      </c>
      <c r="B19" s="10" t="s">
        <v>83</v>
      </c>
      <c r="C19" s="15" t="s">
        <v>91</v>
      </c>
      <c r="D19" s="10" t="s">
        <v>92</v>
      </c>
      <c r="E19" s="11" t="s">
        <v>85</v>
      </c>
      <c r="F19" s="10" t="str">
        <f aca="false">IFERROR(INDEX('[1]Programme d''accompagnement'!B$1:B$1048576,MATCH(E19,'[1]Programme d''accompagnement'!D$1:D$1048576,0)),"--")</f>
        <v>2025_Level UP B2B_Im</v>
      </c>
      <c r="G19" s="15"/>
      <c r="H19" s="15"/>
      <c r="I19" s="15"/>
      <c r="J19" s="10" t="s">
        <v>39</v>
      </c>
      <c r="K19" s="10" t="s">
        <v>40</v>
      </c>
      <c r="L19" s="10" t="s">
        <v>41</v>
      </c>
      <c r="M19" s="10" t="s">
        <v>42</v>
      </c>
      <c r="N19" s="15" t="s">
        <v>87</v>
      </c>
      <c r="O19" s="15" t="s">
        <v>44</v>
      </c>
      <c r="P19" s="15" t="s">
        <v>45</v>
      </c>
      <c r="Q19" s="15" t="s">
        <v>44</v>
      </c>
      <c r="R19" s="15" t="s">
        <v>46</v>
      </c>
      <c r="S19" s="16" t="n">
        <v>45698</v>
      </c>
      <c r="T19" s="10" t="str">
        <f aca="false">IF(S19="","--",TEXT(S19,"mmmm"))</f>
        <v>February</v>
      </c>
      <c r="U19" s="13" t="n">
        <v>12</v>
      </c>
      <c r="V19" s="14" t="n">
        <f aca="false">IFERROR(U19/6,"--")</f>
        <v>2</v>
      </c>
      <c r="W19" s="15" t="n">
        <v>19</v>
      </c>
      <c r="X19" s="15" t="n">
        <v>19</v>
      </c>
      <c r="Y19" s="15"/>
      <c r="Z19" s="15" t="s">
        <v>47</v>
      </c>
      <c r="AA19" s="15" t="s">
        <v>61</v>
      </c>
      <c r="AB19" s="15"/>
      <c r="AC19" s="15"/>
      <c r="AD19" s="15"/>
      <c r="AE19" s="15"/>
      <c r="AF19" s="14" t="n">
        <f aca="false">IFERROR(AE19/W19,"--")</f>
        <v>0</v>
      </c>
      <c r="AG19" s="15"/>
      <c r="AH19" s="15"/>
      <c r="AI19" s="10"/>
      <c r="AJ19" s="10"/>
    </row>
    <row r="20" customFormat="false" ht="13.8" hidden="false" customHeight="false" outlineLevel="0" collapsed="false">
      <c r="A20" s="9" t="str">
        <f aca="false">IFERROR(_xlfn.CONCAT(LEFT(B20,2),"_",C20,"_",D20,"_",DAY(S20),"_",T20),"--")</f>
        <v>Im_Level UP Module 2 PNL COM&amp;FID G1_session 1_12_February</v>
      </c>
      <c r="B20" s="10" t="s">
        <v>83</v>
      </c>
      <c r="C20" s="15" t="s">
        <v>93</v>
      </c>
      <c r="D20" s="10" t="s">
        <v>89</v>
      </c>
      <c r="E20" s="11" t="s">
        <v>85</v>
      </c>
      <c r="F20" s="10" t="str">
        <f aca="false">IFERROR(INDEX('[1]Programme d''accompagnement'!B$1:B$1048576,MATCH(E20,'[1]Programme d''accompagnement'!D$1:D$1048576,0)),"--")</f>
        <v>2025_Level UP B2B_Im</v>
      </c>
      <c r="G20" s="15"/>
      <c r="H20" s="15"/>
      <c r="I20" s="15"/>
      <c r="J20" s="10" t="s">
        <v>39</v>
      </c>
      <c r="K20" s="10" t="s">
        <v>40</v>
      </c>
      <c r="L20" s="10" t="s">
        <v>41</v>
      </c>
      <c r="M20" s="10" t="s">
        <v>42</v>
      </c>
      <c r="N20" s="15" t="s">
        <v>87</v>
      </c>
      <c r="O20" s="15" t="s">
        <v>44</v>
      </c>
      <c r="P20" s="15" t="s">
        <v>45</v>
      </c>
      <c r="Q20" s="15" t="s">
        <v>44</v>
      </c>
      <c r="R20" s="15" t="s">
        <v>46</v>
      </c>
      <c r="S20" s="16" t="n">
        <v>45700</v>
      </c>
      <c r="T20" s="10" t="str">
        <f aca="false">IF(S20="","--",TEXT(S20,"mmmm"))</f>
        <v>February</v>
      </c>
      <c r="U20" s="13" t="n">
        <v>12</v>
      </c>
      <c r="V20" s="14" t="n">
        <f aca="false">IFERROR(U20/6,"--")</f>
        <v>2</v>
      </c>
      <c r="W20" s="15" t="n">
        <v>15</v>
      </c>
      <c r="X20" s="15" t="n">
        <v>15</v>
      </c>
      <c r="Y20" s="15"/>
      <c r="Z20" s="15" t="s">
        <v>47</v>
      </c>
      <c r="AA20" s="15" t="s">
        <v>61</v>
      </c>
      <c r="AB20" s="15"/>
      <c r="AC20" s="15"/>
      <c r="AD20" s="15"/>
      <c r="AE20" s="15"/>
      <c r="AF20" s="14" t="n">
        <f aca="false">IFERROR(AE20/W20,"--")</f>
        <v>0</v>
      </c>
      <c r="AG20" s="15"/>
      <c r="AH20" s="15"/>
      <c r="AI20" s="10"/>
      <c r="AJ20" s="10"/>
    </row>
    <row r="21" customFormat="false" ht="13.8" hidden="false" customHeight="false" outlineLevel="0" collapsed="false">
      <c r="A21" s="9" t="str">
        <f aca="false">IFERROR(_xlfn.CONCAT(LEFT(B21,2),"_",C21,"_",D21,"_",DAY(S21),"_",T21),"--")</f>
        <v>Im_Level UP Module 2 PNL COM&amp;FID G2_session 2_12_March</v>
      </c>
      <c r="B21" s="10" t="s">
        <v>83</v>
      </c>
      <c r="C21" s="15" t="s">
        <v>94</v>
      </c>
      <c r="D21" s="10" t="s">
        <v>92</v>
      </c>
      <c r="E21" s="11" t="s">
        <v>85</v>
      </c>
      <c r="F21" s="10" t="str">
        <f aca="false">IFERROR(INDEX('[1]Programme d''accompagnement'!B$1:B$1048576,MATCH(E21,'[1]Programme d''accompagnement'!D$1:D$1048576,0)),"--")</f>
        <v>2025_Level UP B2B_Im</v>
      </c>
      <c r="G21" s="15"/>
      <c r="H21" s="15"/>
      <c r="I21" s="15"/>
      <c r="J21" s="10" t="s">
        <v>39</v>
      </c>
      <c r="K21" s="10" t="s">
        <v>40</v>
      </c>
      <c r="L21" s="10" t="s">
        <v>41</v>
      </c>
      <c r="M21" s="10" t="s">
        <v>42</v>
      </c>
      <c r="N21" s="15" t="s">
        <v>87</v>
      </c>
      <c r="O21" s="15" t="s">
        <v>44</v>
      </c>
      <c r="P21" s="15" t="s">
        <v>45</v>
      </c>
      <c r="Q21" s="15" t="s">
        <v>44</v>
      </c>
      <c r="R21" s="15" t="s">
        <v>46</v>
      </c>
      <c r="S21" s="16" t="n">
        <v>45728</v>
      </c>
      <c r="T21" s="10" t="str">
        <f aca="false">IF(S21="","--",TEXT(S21,"mmmm"))</f>
        <v>March</v>
      </c>
      <c r="U21" s="13" t="n">
        <v>12</v>
      </c>
      <c r="V21" s="14" t="n">
        <f aca="false">IFERROR(U21/6,"--")</f>
        <v>2</v>
      </c>
      <c r="W21" s="15" t="n">
        <v>19</v>
      </c>
      <c r="X21" s="15" t="n">
        <v>19</v>
      </c>
      <c r="Y21" s="15"/>
      <c r="Z21" s="15" t="s">
        <v>47</v>
      </c>
      <c r="AA21" s="15" t="s">
        <v>61</v>
      </c>
      <c r="AB21" s="15"/>
      <c r="AC21" s="15"/>
      <c r="AD21" s="15"/>
      <c r="AE21" s="15"/>
      <c r="AF21" s="14" t="n">
        <f aca="false">IFERROR(AE21/W21,"--")</f>
        <v>0</v>
      </c>
      <c r="AG21" s="15"/>
      <c r="AH21" s="15"/>
      <c r="AI21" s="10"/>
      <c r="AJ21" s="10"/>
    </row>
    <row r="22" customFormat="false" ht="13.8" hidden="false" customHeight="false" outlineLevel="0" collapsed="false">
      <c r="A22" s="9" t="str">
        <f aca="false">IFERROR(_xlfn.CONCAT(LEFT(B22,2),"_",C22,"_",D22,"_",DAY(S22),"_",T22),"--")</f>
        <v>Im_Level UP Module 2 PNL Managers_session 1_10_March</v>
      </c>
      <c r="B22" s="10" t="s">
        <v>83</v>
      </c>
      <c r="C22" s="15" t="s">
        <v>95</v>
      </c>
      <c r="D22" s="10" t="s">
        <v>89</v>
      </c>
      <c r="E22" s="11" t="s">
        <v>85</v>
      </c>
      <c r="F22" s="10" t="str">
        <f aca="false">IFERROR(INDEX('[1]Programme d''accompagnement'!B$1:B$1048576,MATCH(E22,'[1]Programme d''accompagnement'!D$1:D$1048576,0)),"--")</f>
        <v>2025_Level UP B2B_Im</v>
      </c>
      <c r="G22" s="15"/>
      <c r="H22" s="15"/>
      <c r="I22" s="15"/>
      <c r="J22" s="10" t="s">
        <v>39</v>
      </c>
      <c r="K22" s="10" t="s">
        <v>40</v>
      </c>
      <c r="L22" s="10" t="s">
        <v>41</v>
      </c>
      <c r="M22" s="10" t="s">
        <v>42</v>
      </c>
      <c r="N22" s="15" t="s">
        <v>87</v>
      </c>
      <c r="O22" s="15" t="s">
        <v>44</v>
      </c>
      <c r="P22" s="15" t="s">
        <v>45</v>
      </c>
      <c r="Q22" s="15" t="s">
        <v>44</v>
      </c>
      <c r="R22" s="15" t="s">
        <v>46</v>
      </c>
      <c r="S22" s="16" t="n">
        <v>45726</v>
      </c>
      <c r="T22" s="10" t="str">
        <f aca="false">IF(S22="","--",TEXT(S22,"mmmm"))</f>
        <v>March</v>
      </c>
      <c r="U22" s="13" t="n">
        <v>12</v>
      </c>
      <c r="V22" s="14" t="n">
        <f aca="false">IFERROR(U22/6,"--")</f>
        <v>2</v>
      </c>
      <c r="W22" s="15" t="n">
        <v>9</v>
      </c>
      <c r="X22" s="15" t="n">
        <v>9</v>
      </c>
      <c r="Y22" s="15"/>
      <c r="Z22" s="15" t="s">
        <v>47</v>
      </c>
      <c r="AA22" s="15" t="s">
        <v>61</v>
      </c>
      <c r="AB22" s="15"/>
      <c r="AC22" s="15"/>
      <c r="AD22" s="15"/>
      <c r="AE22" s="15"/>
      <c r="AF22" s="14" t="n">
        <f aca="false">IFERROR(AE22/W22,"--")</f>
        <v>0</v>
      </c>
      <c r="AG22" s="15"/>
      <c r="AH22" s="15"/>
      <c r="AI22" s="10"/>
      <c r="AJ22" s="10"/>
    </row>
    <row r="23" customFormat="false" ht="13.8" hidden="false" customHeight="false" outlineLevel="0" collapsed="false">
      <c r="A23" s="9" t="str">
        <f aca="false">IFERROR(_xlfn.CONCAT(LEFT(B23,2),"_",C23,"_",D23,"_",DAY(S23),"_",T23),"--")</f>
        <v>Az_#OTC: Formateur Référent TOT_Session 1_9_January</v>
      </c>
      <c r="B23" s="10" t="s">
        <v>75</v>
      </c>
      <c r="C23" s="18" t="s">
        <v>96</v>
      </c>
      <c r="D23" s="10" t="s">
        <v>38</v>
      </c>
      <c r="E23" s="11" t="s">
        <v>97</v>
      </c>
      <c r="F23" s="10" t="str">
        <f aca="false">IFERROR(INDEX('[1]Programme d''accompagnement'!B$1:B$1048576,MATCH(E23,'[1]Programme d''accompagnement'!D$1:D$1048576,0)),"--")</f>
        <v>2024_Formateurs Référents OTC: 24-25_Az</v>
      </c>
      <c r="G23" s="15"/>
      <c r="H23" s="15"/>
      <c r="I23" s="15"/>
      <c r="J23" s="10" t="s">
        <v>39</v>
      </c>
      <c r="K23" s="10" t="s">
        <v>40</v>
      </c>
      <c r="L23" s="10" t="s">
        <v>41</v>
      </c>
      <c r="M23" s="10" t="s">
        <v>42</v>
      </c>
      <c r="N23" s="19" t="s">
        <v>98</v>
      </c>
      <c r="O23" s="15" t="s">
        <v>44</v>
      </c>
      <c r="P23" s="15" t="s">
        <v>45</v>
      </c>
      <c r="Q23" s="15" t="s">
        <v>44</v>
      </c>
      <c r="R23" s="15" t="s">
        <v>46</v>
      </c>
      <c r="S23" s="16" t="n">
        <v>45666</v>
      </c>
      <c r="T23" s="10" t="str">
        <f aca="false">IF(S23="","--",TEXT(S23,"mmmm"))</f>
        <v>January</v>
      </c>
      <c r="U23" s="13" t="n">
        <v>12</v>
      </c>
      <c r="V23" s="14" t="n">
        <f aca="false">IFERROR(U23/6,"--")</f>
        <v>2</v>
      </c>
      <c r="W23" s="15" t="n">
        <v>12</v>
      </c>
      <c r="X23" s="15" t="n">
        <v>10</v>
      </c>
      <c r="Y23" s="15"/>
      <c r="Z23" s="15" t="s">
        <v>60</v>
      </c>
      <c r="AA23" s="15" t="s">
        <v>61</v>
      </c>
      <c r="AB23" s="15"/>
      <c r="AC23" s="15"/>
      <c r="AD23" s="15"/>
      <c r="AE23" s="15"/>
      <c r="AF23" s="14" t="n">
        <f aca="false">IFERROR(AE23/W23,"--")</f>
        <v>0</v>
      </c>
      <c r="AG23" s="15"/>
      <c r="AH23" s="15"/>
      <c r="AI23" s="10"/>
      <c r="AJ23" s="10"/>
    </row>
    <row r="24" customFormat="false" ht="13.8" hidden="false" customHeight="false" outlineLevel="0" collapsed="false">
      <c r="A24" s="9" t="str">
        <f aca="false">IFERROR(_xlfn.CONCAT(LEFT(B24,2),"_",C24,"_",D24,"_",DAY(S24),"_",T24),"--")</f>
        <v>Im_Loi de Finance 2025 S1_Session 1_17_February</v>
      </c>
      <c r="B24" s="10" t="s">
        <v>83</v>
      </c>
      <c r="C24" s="15" t="s">
        <v>99</v>
      </c>
      <c r="D24" s="10" t="s">
        <v>38</v>
      </c>
      <c r="E24" s="11" t="s">
        <v>100</v>
      </c>
      <c r="F24" s="10" t="str">
        <f aca="false">IFERROR(INDEX('[1]Programme d''accompagnement'!B$1:B$1048576,MATCH(E24,'[1]Programme d''accompagnement'!D$1:D$1048576,0)),"--")</f>
        <v>--</v>
      </c>
      <c r="G24" s="15"/>
      <c r="H24" s="15"/>
      <c r="I24" s="15"/>
      <c r="J24" s="10" t="s">
        <v>39</v>
      </c>
      <c r="K24" s="10" t="s">
        <v>40</v>
      </c>
      <c r="L24" s="10" t="s">
        <v>41</v>
      </c>
      <c r="M24" s="10" t="s">
        <v>42</v>
      </c>
      <c r="N24" s="15" t="s">
        <v>101</v>
      </c>
      <c r="O24" s="15" t="s">
        <v>58</v>
      </c>
      <c r="P24" s="15" t="s">
        <v>45</v>
      </c>
      <c r="Q24" s="15" t="s">
        <v>102</v>
      </c>
      <c r="R24" s="15" t="s">
        <v>46</v>
      </c>
      <c r="S24" s="16" t="n">
        <v>45705</v>
      </c>
      <c r="T24" s="10" t="str">
        <f aca="false">IF(S24="","--",TEXT(S24,"mmmm"))</f>
        <v>February</v>
      </c>
      <c r="U24" s="13" t="n">
        <v>12</v>
      </c>
      <c r="V24" s="14" t="n">
        <f aca="false">IFERROR(U24/6,"--")</f>
        <v>2</v>
      </c>
      <c r="W24" s="15" t="n">
        <v>11</v>
      </c>
      <c r="X24" s="15" t="n">
        <v>11</v>
      </c>
      <c r="Y24" s="15"/>
      <c r="Z24" s="15" t="s">
        <v>60</v>
      </c>
      <c r="AA24" s="15" t="s">
        <v>61</v>
      </c>
      <c r="AB24" s="15"/>
      <c r="AC24" s="15"/>
      <c r="AD24" s="15"/>
      <c r="AE24" s="15"/>
      <c r="AF24" s="14" t="n">
        <f aca="false">IFERROR(AE24/W24,"--")</f>
        <v>0</v>
      </c>
      <c r="AG24" s="15"/>
      <c r="AH24" s="15"/>
      <c r="AI24" s="10"/>
      <c r="AJ24" s="10"/>
    </row>
    <row r="25" customFormat="false" ht="13.8" hidden="false" customHeight="false" outlineLevel="0" collapsed="false">
      <c r="A25" s="9" t="str">
        <f aca="false">IFERROR(_xlfn.CONCAT(LEFT(B25,2),"_",C25,"_",D25,"_",DAY(S25),"_",T25),"--")</f>
        <v>Im_Loi de Finance 2025 S2_Session 2_19_February</v>
      </c>
      <c r="B25" s="10" t="s">
        <v>83</v>
      </c>
      <c r="C25" s="15" t="s">
        <v>103</v>
      </c>
      <c r="D25" s="10" t="s">
        <v>62</v>
      </c>
      <c r="E25" s="11" t="s">
        <v>100</v>
      </c>
      <c r="F25" s="10" t="str">
        <f aca="false">IFERROR(INDEX('[1]Programme d''accompagnement'!B$1:B$1048576,MATCH(E25,'[1]Programme d''accompagnement'!D$1:D$1048576,0)),"--")</f>
        <v>--</v>
      </c>
      <c r="G25" s="15"/>
      <c r="H25" s="15"/>
      <c r="I25" s="15"/>
      <c r="J25" s="10" t="s">
        <v>39</v>
      </c>
      <c r="K25" s="10" t="s">
        <v>40</v>
      </c>
      <c r="L25" s="10" t="s">
        <v>41</v>
      </c>
      <c r="M25" s="10" t="s">
        <v>42</v>
      </c>
      <c r="N25" s="15" t="s">
        <v>101</v>
      </c>
      <c r="O25" s="15" t="s">
        <v>58</v>
      </c>
      <c r="P25" s="15" t="s">
        <v>45</v>
      </c>
      <c r="Q25" s="15" t="s">
        <v>102</v>
      </c>
      <c r="R25" s="15" t="s">
        <v>46</v>
      </c>
      <c r="S25" s="16" t="n">
        <v>45707</v>
      </c>
      <c r="T25" s="10" t="str">
        <f aca="false">IF(S25="","--",TEXT(S25,"mmmm"))</f>
        <v>February</v>
      </c>
      <c r="U25" s="13" t="n">
        <v>12</v>
      </c>
      <c r="V25" s="14" t="n">
        <f aca="false">IFERROR(U25/6,"--")</f>
        <v>2</v>
      </c>
      <c r="W25" s="15" t="n">
        <v>12</v>
      </c>
      <c r="X25" s="15" t="n">
        <v>12</v>
      </c>
      <c r="Y25" s="15"/>
      <c r="Z25" s="15" t="s">
        <v>60</v>
      </c>
      <c r="AA25" s="15" t="s">
        <v>61</v>
      </c>
      <c r="AB25" s="15"/>
      <c r="AC25" s="15"/>
      <c r="AD25" s="15"/>
      <c r="AE25" s="15"/>
      <c r="AF25" s="14" t="n">
        <f aca="false">IFERROR(AE25/W25,"--")</f>
        <v>0</v>
      </c>
      <c r="AG25" s="15"/>
      <c r="AH25" s="15"/>
      <c r="AI25" s="10"/>
      <c r="AJ25" s="10"/>
    </row>
    <row r="26" customFormat="false" ht="13.8" hidden="false" customHeight="false" outlineLevel="0" collapsed="false">
      <c r="A26" s="9" t="str">
        <f aca="false">IFERROR(_xlfn.CONCAT(LEFT(B26,2),"_",C26,"_",D26,"_",DAY(S26),"_",T26),"--")</f>
        <v>Im_Loi de Finance 2025 S3_Session 3_24_February</v>
      </c>
      <c r="B26" s="10" t="s">
        <v>83</v>
      </c>
      <c r="C26" s="15" t="s">
        <v>104</v>
      </c>
      <c r="D26" s="10" t="s">
        <v>105</v>
      </c>
      <c r="E26" s="11" t="s">
        <v>100</v>
      </c>
      <c r="F26" s="10" t="str">
        <f aca="false">IFERROR(INDEX('[1]Programme d''accompagnement'!B$1:B$1048576,MATCH(E26,'[1]Programme d''accompagnement'!D$1:D$1048576,0)),"--")</f>
        <v>--</v>
      </c>
      <c r="G26" s="15"/>
      <c r="H26" s="15"/>
      <c r="I26" s="15"/>
      <c r="J26" s="10" t="s">
        <v>39</v>
      </c>
      <c r="K26" s="10" t="s">
        <v>40</v>
      </c>
      <c r="L26" s="10" t="s">
        <v>41</v>
      </c>
      <c r="M26" s="10" t="s">
        <v>42</v>
      </c>
      <c r="N26" s="15" t="s">
        <v>101</v>
      </c>
      <c r="O26" s="15" t="s">
        <v>58</v>
      </c>
      <c r="P26" s="15" t="s">
        <v>45</v>
      </c>
      <c r="Q26" s="15" t="s">
        <v>102</v>
      </c>
      <c r="R26" s="15" t="s">
        <v>46</v>
      </c>
      <c r="S26" s="16" t="n">
        <v>45712</v>
      </c>
      <c r="T26" s="10" t="str">
        <f aca="false">IF(S26="","--",TEXT(S26,"mmmm"))</f>
        <v>February</v>
      </c>
      <c r="U26" s="13" t="n">
        <v>12</v>
      </c>
      <c r="V26" s="14" t="n">
        <f aca="false">IFERROR(U26/6,"--")</f>
        <v>2</v>
      </c>
      <c r="W26" s="15" t="n">
        <v>9</v>
      </c>
      <c r="X26" s="15" t="n">
        <v>9</v>
      </c>
      <c r="Y26" s="15"/>
      <c r="Z26" s="15" t="s">
        <v>60</v>
      </c>
      <c r="AA26" s="15" t="s">
        <v>61</v>
      </c>
      <c r="AB26" s="15"/>
      <c r="AC26" s="15"/>
      <c r="AD26" s="15"/>
      <c r="AE26" s="15"/>
      <c r="AF26" s="14" t="n">
        <f aca="false">IFERROR(AE26/W26,"--")</f>
        <v>0</v>
      </c>
      <c r="AG26" s="15"/>
      <c r="AH26" s="15"/>
      <c r="AI26" s="10"/>
      <c r="AJ26" s="10"/>
    </row>
    <row r="27" customFormat="false" ht="13.8" hidden="false" customHeight="false" outlineLevel="0" collapsed="false">
      <c r="A27" s="9" t="str">
        <f aca="false">IFERROR(_xlfn.CONCAT(LEFT(B27,2),"_",C27,"_",D27,"_",DAY(S27),"_",T27),"--")</f>
        <v>Az_5G **Equipes **IT**__13_January</v>
      </c>
      <c r="B27" s="10" t="s">
        <v>75</v>
      </c>
      <c r="C27" s="15" t="s">
        <v>106</v>
      </c>
      <c r="D27" s="10"/>
      <c r="E27" s="11" t="s">
        <v>107</v>
      </c>
      <c r="F27" s="10" t="str">
        <f aca="false">IFERROR(INDEX('[1]Programme d''accompagnement'!B$1:B$1048576,MATCH(E27,'[1]Programme d''accompagnement'!D$1:D$1048576,0)),"--")</f>
        <v>2025_Déploiement 5G_Az</v>
      </c>
      <c r="G27" s="15"/>
      <c r="H27" s="15"/>
      <c r="I27" s="15"/>
      <c r="J27" s="10" t="s">
        <v>39</v>
      </c>
      <c r="K27" s="10" t="s">
        <v>40</v>
      </c>
      <c r="L27" s="10" t="s">
        <v>80</v>
      </c>
      <c r="M27" s="10" t="s">
        <v>108</v>
      </c>
      <c r="N27" s="15" t="s">
        <v>109</v>
      </c>
      <c r="O27" s="15" t="s">
        <v>58</v>
      </c>
      <c r="P27" s="15" t="s">
        <v>45</v>
      </c>
      <c r="Q27" s="15" t="s">
        <v>44</v>
      </c>
      <c r="R27" s="15" t="s">
        <v>46</v>
      </c>
      <c r="S27" s="16" t="n">
        <v>45670</v>
      </c>
      <c r="T27" s="10" t="str">
        <f aca="false">IF(S27="","--",TEXT(S27,"mmmm"))</f>
        <v>January</v>
      </c>
      <c r="U27" s="13" t="n">
        <v>12</v>
      </c>
      <c r="V27" s="14" t="n">
        <f aca="false">IFERROR(U27/6,"--")</f>
        <v>2</v>
      </c>
      <c r="W27" s="15" t="n">
        <v>12</v>
      </c>
      <c r="X27" s="15" t="n">
        <v>10</v>
      </c>
      <c r="Y27" s="20" t="n">
        <f aca="false">2/12</f>
        <v>0.166666666666667</v>
      </c>
      <c r="Z27" s="15" t="s">
        <v>60</v>
      </c>
      <c r="AA27" s="15" t="s">
        <v>110</v>
      </c>
      <c r="AB27" s="15"/>
      <c r="AC27" s="15"/>
      <c r="AD27" s="15"/>
      <c r="AE27" s="15"/>
      <c r="AF27" s="14" t="n">
        <f aca="false">IFERROR(AE27/W27,"--")</f>
        <v>0</v>
      </c>
      <c r="AG27" s="15"/>
      <c r="AH27" s="15"/>
      <c r="AI27" s="10"/>
      <c r="AJ27" s="10" t="s">
        <v>111</v>
      </c>
    </row>
    <row r="28" customFormat="false" ht="13.8" hidden="false" customHeight="false" outlineLevel="0" collapsed="false">
      <c r="A28" s="9" t="str">
        <f aca="false">IFERROR(_xlfn.CONCAT(LEFT(B28,2),"_",C28,"_",D28,"_",DAY(S28),"_",T28),"--")</f>
        <v>Az_5G **Equipes **IT**__28_January</v>
      </c>
      <c r="B28" s="10" t="s">
        <v>75</v>
      </c>
      <c r="C28" s="15" t="s">
        <v>106</v>
      </c>
      <c r="D28" s="10"/>
      <c r="E28" s="11" t="s">
        <v>107</v>
      </c>
      <c r="F28" s="10" t="str">
        <f aca="false">IFERROR(INDEX('[1]Programme d''accompagnement'!B$1:B$1048576,MATCH(E28,'[1]Programme d''accompagnement'!D$1:D$1048576,0)),"--")</f>
        <v>2025_Déploiement 5G_Az</v>
      </c>
      <c r="G28" s="15"/>
      <c r="H28" s="15"/>
      <c r="I28" s="15"/>
      <c r="J28" s="10" t="s">
        <v>39</v>
      </c>
      <c r="K28" s="10" t="s">
        <v>40</v>
      </c>
      <c r="L28" s="10" t="s">
        <v>80</v>
      </c>
      <c r="M28" s="10" t="s">
        <v>108</v>
      </c>
      <c r="N28" s="15" t="s">
        <v>109</v>
      </c>
      <c r="O28" s="15" t="s">
        <v>58</v>
      </c>
      <c r="P28" s="15" t="s">
        <v>45</v>
      </c>
      <c r="Q28" s="15" t="s">
        <v>44</v>
      </c>
      <c r="R28" s="15" t="s">
        <v>46</v>
      </c>
      <c r="S28" s="16" t="n">
        <v>45685</v>
      </c>
      <c r="T28" s="10" t="str">
        <f aca="false">IF(S28="","--",TEXT(S28,"mmmm"))</f>
        <v>January</v>
      </c>
      <c r="U28" s="13" t="n">
        <v>12</v>
      </c>
      <c r="V28" s="14" t="n">
        <f aca="false">IFERROR(U28/6,"--")</f>
        <v>2</v>
      </c>
      <c r="W28" s="15" t="n">
        <v>12</v>
      </c>
      <c r="X28" s="15" t="n">
        <v>9</v>
      </c>
      <c r="Y28" s="21" t="n">
        <f aca="false">3/12</f>
        <v>0.25</v>
      </c>
      <c r="Z28" s="15" t="s">
        <v>60</v>
      </c>
      <c r="AA28" s="15" t="s">
        <v>110</v>
      </c>
      <c r="AB28" s="15"/>
      <c r="AC28" s="15"/>
      <c r="AD28" s="15"/>
      <c r="AE28" s="15"/>
      <c r="AF28" s="14" t="n">
        <f aca="false">IFERROR(AE28/W28,"--")</f>
        <v>0</v>
      </c>
      <c r="AG28" s="15"/>
      <c r="AH28" s="15"/>
      <c r="AI28" s="10"/>
      <c r="AJ28" s="10"/>
    </row>
    <row r="29" customFormat="false" ht="13.8" hidden="false" customHeight="false" outlineLevel="0" collapsed="false">
      <c r="A29" s="9" t="str">
        <f aca="false">IFERROR(_xlfn.CONCAT(LEFT(B29,2),"_",C29,"_",D29,"_",DAY(S29),"_",T29),"--")</f>
        <v>Az_5G **Equipes **IT**__20_January</v>
      </c>
      <c r="B29" s="10" t="s">
        <v>75</v>
      </c>
      <c r="C29" s="15" t="s">
        <v>106</v>
      </c>
      <c r="D29" s="10"/>
      <c r="E29" s="11" t="s">
        <v>107</v>
      </c>
      <c r="F29" s="10" t="str">
        <f aca="false">IFERROR(INDEX('[1]Programme d''accompagnement'!B$1:B$1048576,MATCH(E29,'[1]Programme d''accompagnement'!D$1:D$1048576,0)),"--")</f>
        <v>2025_Déploiement 5G_Az</v>
      </c>
      <c r="G29" s="15"/>
      <c r="H29" s="15"/>
      <c r="I29" s="15"/>
      <c r="J29" s="10" t="s">
        <v>39</v>
      </c>
      <c r="K29" s="10" t="s">
        <v>40</v>
      </c>
      <c r="L29" s="10" t="s">
        <v>80</v>
      </c>
      <c r="M29" s="10" t="s">
        <v>108</v>
      </c>
      <c r="N29" s="15" t="s">
        <v>109</v>
      </c>
      <c r="O29" s="15" t="s">
        <v>58</v>
      </c>
      <c r="P29" s="15" t="s">
        <v>45</v>
      </c>
      <c r="Q29" s="15" t="s">
        <v>44</v>
      </c>
      <c r="R29" s="15" t="s">
        <v>46</v>
      </c>
      <c r="S29" s="16" t="n">
        <v>45677</v>
      </c>
      <c r="T29" s="10" t="str">
        <f aca="false">IF(S29="","--",TEXT(S29,"mmmm"))</f>
        <v>January</v>
      </c>
      <c r="U29" s="13" t="n">
        <v>12</v>
      </c>
      <c r="V29" s="14" t="n">
        <f aca="false">IFERROR(U29/6,"--")</f>
        <v>2</v>
      </c>
      <c r="W29" s="15"/>
      <c r="X29" s="15" t="n">
        <v>5</v>
      </c>
      <c r="Y29" s="15"/>
      <c r="Z29" s="15" t="s">
        <v>60</v>
      </c>
      <c r="AA29" s="15" t="s">
        <v>110</v>
      </c>
      <c r="AB29" s="15"/>
      <c r="AC29" s="15"/>
      <c r="AD29" s="15"/>
      <c r="AE29" s="15"/>
      <c r="AF29" s="14" t="str">
        <f aca="false">IFERROR(AE29/W29,"--")</f>
        <v>--</v>
      </c>
      <c r="AG29" s="15"/>
      <c r="AH29" s="15"/>
      <c r="AI29" s="10"/>
      <c r="AJ29" s="10"/>
    </row>
    <row r="30" customFormat="false" ht="13.8" hidden="false" customHeight="false" outlineLevel="0" collapsed="false">
      <c r="A30" s="9" t="str">
        <f aca="false">IFERROR(_xlfn.CONCAT(LEFT(B30,2),"_",C30,"_",D30,"_",DAY(S30),"_",T30),"--")</f>
        <v>Az_5G **Equipes **Sales**__24_January</v>
      </c>
      <c r="B30" s="10" t="s">
        <v>75</v>
      </c>
      <c r="C30" s="15" t="s">
        <v>112</v>
      </c>
      <c r="D30" s="10"/>
      <c r="E30" s="11" t="s">
        <v>107</v>
      </c>
      <c r="F30" s="10" t="str">
        <f aca="false">IFERROR(INDEX('[1]Programme d''accompagnement'!B$1:B$1048576,MATCH(E30,'[1]Programme d''accompagnement'!D$1:D$1048576,0)),"--")</f>
        <v>2025_Déploiement 5G_Az</v>
      </c>
      <c r="G30" s="15"/>
      <c r="H30" s="15"/>
      <c r="I30" s="15"/>
      <c r="J30" s="10" t="s">
        <v>39</v>
      </c>
      <c r="K30" s="10" t="s">
        <v>40</v>
      </c>
      <c r="L30" s="10" t="s">
        <v>80</v>
      </c>
      <c r="M30" s="10" t="s">
        <v>108</v>
      </c>
      <c r="N30" s="15" t="s">
        <v>109</v>
      </c>
      <c r="O30" s="15" t="s">
        <v>58</v>
      </c>
      <c r="P30" s="15" t="s">
        <v>45</v>
      </c>
      <c r="Q30" s="15" t="s">
        <v>44</v>
      </c>
      <c r="R30" s="15" t="s">
        <v>46</v>
      </c>
      <c r="S30" s="16" t="n">
        <v>45681</v>
      </c>
      <c r="T30" s="10" t="str">
        <f aca="false">IF(S30="","--",TEXT(S30,"mmmm"))</f>
        <v>January</v>
      </c>
      <c r="U30" s="13" t="n">
        <v>6</v>
      </c>
      <c r="V30" s="14" t="n">
        <f aca="false">IFERROR(U30/6,"--")</f>
        <v>1</v>
      </c>
      <c r="W30" s="15" t="n">
        <v>10</v>
      </c>
      <c r="X30" s="15" t="n">
        <v>10</v>
      </c>
      <c r="Y30" s="15"/>
      <c r="Z30" s="15" t="s">
        <v>60</v>
      </c>
      <c r="AA30" s="15" t="s">
        <v>61</v>
      </c>
      <c r="AB30" s="15"/>
      <c r="AC30" s="15"/>
      <c r="AD30" s="15"/>
      <c r="AE30" s="15"/>
      <c r="AF30" s="14" t="n">
        <f aca="false">IFERROR(AE30/W30,"--")</f>
        <v>0</v>
      </c>
      <c r="AG30" s="15"/>
      <c r="AH30" s="15"/>
      <c r="AI30" s="10"/>
      <c r="AJ30" s="10" t="s">
        <v>113</v>
      </c>
    </row>
    <row r="31" customFormat="false" ht="13.8" hidden="false" customHeight="false" outlineLevel="0" collapsed="false">
      <c r="A31" s="9" t="str">
        <f aca="false">IFERROR(_xlfn.CONCAT(LEFT(B31,2),"_",C31,"_",D31,"_",DAY(S31),"_",T31),"--")</f>
        <v>Az_5G **Equipes **Sales**__30_January</v>
      </c>
      <c r="B31" s="10" t="s">
        <v>75</v>
      </c>
      <c r="C31" s="15" t="s">
        <v>112</v>
      </c>
      <c r="D31" s="10"/>
      <c r="E31" s="11" t="s">
        <v>107</v>
      </c>
      <c r="F31" s="10" t="str">
        <f aca="false">IFERROR(INDEX('[1]Programme d''accompagnement'!B$1:B$1048576,MATCH(E31,'[1]Programme d''accompagnement'!D$1:D$1048576,0)),"--")</f>
        <v>2025_Déploiement 5G_Az</v>
      </c>
      <c r="G31" s="15"/>
      <c r="H31" s="15"/>
      <c r="I31" s="15"/>
      <c r="J31" s="10" t="s">
        <v>39</v>
      </c>
      <c r="K31" s="10" t="s">
        <v>40</v>
      </c>
      <c r="L31" s="10" t="s">
        <v>80</v>
      </c>
      <c r="M31" s="10" t="s">
        <v>108</v>
      </c>
      <c r="N31" s="15" t="s">
        <v>109</v>
      </c>
      <c r="O31" s="15" t="s">
        <v>58</v>
      </c>
      <c r="P31" s="15" t="s">
        <v>45</v>
      </c>
      <c r="Q31" s="15" t="s">
        <v>44</v>
      </c>
      <c r="R31" s="15" t="s">
        <v>46</v>
      </c>
      <c r="S31" s="16" t="n">
        <v>45687</v>
      </c>
      <c r="T31" s="10" t="str">
        <f aca="false">IF(S31="","--",TEXT(S31,"mmmm"))</f>
        <v>January</v>
      </c>
      <c r="U31" s="13" t="n">
        <v>6</v>
      </c>
      <c r="V31" s="14" t="n">
        <f aca="false">IFERROR(U31/6,"--")</f>
        <v>1</v>
      </c>
      <c r="W31" s="15"/>
      <c r="X31" s="15" t="n">
        <v>7</v>
      </c>
      <c r="Y31" s="20"/>
      <c r="Z31" s="15" t="s">
        <v>60</v>
      </c>
      <c r="AA31" s="15" t="s">
        <v>61</v>
      </c>
      <c r="AB31" s="15"/>
      <c r="AC31" s="15"/>
      <c r="AD31" s="15"/>
      <c r="AE31" s="15"/>
      <c r="AF31" s="14" t="str">
        <f aca="false">IFERROR(AE31/W31,"--")</f>
        <v>--</v>
      </c>
      <c r="AG31" s="15"/>
      <c r="AH31" s="15"/>
      <c r="AI31" s="10"/>
      <c r="AJ31" s="10" t="s">
        <v>114</v>
      </c>
    </row>
    <row r="32" customFormat="false" ht="13.8" hidden="false" customHeight="false" outlineLevel="0" collapsed="false">
      <c r="A32" s="9" t="str">
        <f aca="false">IFERROR(_xlfn.CONCAT(LEFT(B32,2),"_",C32,"_",D32,"_",DAY(S32),"_",T32),"--")</f>
        <v>Az_Formation Commerciale Porte à Porte__21_January</v>
      </c>
      <c r="B32" s="10" t="s">
        <v>75</v>
      </c>
      <c r="C32" s="22" t="s">
        <v>115</v>
      </c>
      <c r="D32" s="10"/>
      <c r="E32" s="11"/>
      <c r="F32" s="10" t="str">
        <f aca="false">IFERROR(INDEX('[1]Programme d''accompagnement'!B$1:B$1048576,MATCH(E32,'[1]Programme d''accompagnement'!D$1:D$1048576,0)),"--")</f>
        <v>--</v>
      </c>
      <c r="G32" s="15"/>
      <c r="H32" s="15"/>
      <c r="I32" s="15"/>
      <c r="J32" s="10" t="s">
        <v>39</v>
      </c>
      <c r="K32" s="10" t="s">
        <v>40</v>
      </c>
      <c r="L32" s="10" t="s">
        <v>80</v>
      </c>
      <c r="M32" s="10" t="s">
        <v>108</v>
      </c>
      <c r="N32" s="23" t="s">
        <v>116</v>
      </c>
      <c r="O32" s="15"/>
      <c r="P32" s="15" t="s">
        <v>45</v>
      </c>
      <c r="Q32" s="15" t="s">
        <v>44</v>
      </c>
      <c r="R32" s="15" t="s">
        <v>46</v>
      </c>
      <c r="S32" s="16" t="n">
        <v>45678</v>
      </c>
      <c r="T32" s="10" t="str">
        <f aca="false">IF(S32="","--",TEXT(S32,"mmmm"))</f>
        <v>January</v>
      </c>
      <c r="U32" s="13" t="n">
        <v>12</v>
      </c>
      <c r="V32" s="14" t="n">
        <f aca="false">IFERROR(U32/6,"--")</f>
        <v>2</v>
      </c>
      <c r="W32" s="15" t="n">
        <v>6</v>
      </c>
      <c r="X32" s="15" t="n">
        <v>6</v>
      </c>
      <c r="Y32" s="15"/>
      <c r="Z32" s="15" t="s">
        <v>60</v>
      </c>
      <c r="AA32" s="15"/>
      <c r="AB32" s="15"/>
      <c r="AC32" s="15"/>
      <c r="AD32" s="15"/>
      <c r="AE32" s="15"/>
      <c r="AF32" s="14" t="n">
        <f aca="false">IFERROR(AE32/W32,"--")</f>
        <v>0</v>
      </c>
      <c r="AG32" s="15"/>
      <c r="AH32" s="15"/>
      <c r="AI32" s="10"/>
      <c r="AJ32" s="10"/>
    </row>
    <row r="33" customFormat="false" ht="13.8" hidden="false" customHeight="false" outlineLevel="0" collapsed="false">
      <c r="A33" s="9" t="str">
        <f aca="false">IFERROR(_xlfn.CONCAT(LEFT(B33,2),"_",C33,"_",D33,"_",DAY(S33),"_",T33),"--")</f>
        <v>Az_#OTC: Parcours Data Scientist  24-25: Workshop 3__16_January</v>
      </c>
      <c r="B33" s="10" t="s">
        <v>75</v>
      </c>
      <c r="C33" s="15" t="s">
        <v>117</v>
      </c>
      <c r="D33" s="10"/>
      <c r="E33" s="11" t="s">
        <v>118</v>
      </c>
      <c r="F33" s="10" t="str">
        <f aca="false">IFERROR(INDEX('[1]Programme d''accompagnement'!B$1:B$1048576,MATCH(E33,'[1]Programme d''accompagnement'!D$1:D$1048576,0)),"--")</f>
        <v>--_#OTC: Parcours Data Scientist  24-25_Az</v>
      </c>
      <c r="G33" s="15"/>
      <c r="H33" s="15"/>
      <c r="I33" s="15"/>
      <c r="J33" s="10" t="s">
        <v>39</v>
      </c>
      <c r="K33" s="10" t="s">
        <v>119</v>
      </c>
      <c r="L33" s="10" t="s">
        <v>80</v>
      </c>
      <c r="M33" s="10" t="s">
        <v>108</v>
      </c>
      <c r="N33" s="15" t="s">
        <v>109</v>
      </c>
      <c r="O33" s="15" t="s">
        <v>44</v>
      </c>
      <c r="P33" s="15" t="s">
        <v>45</v>
      </c>
      <c r="Q33" s="15" t="s">
        <v>58</v>
      </c>
      <c r="R33" s="15" t="s">
        <v>46</v>
      </c>
      <c r="S33" s="16" t="n">
        <v>45673</v>
      </c>
      <c r="T33" s="10" t="str">
        <f aca="false">IF(S33="","--",TEXT(S33,"mmmm"))</f>
        <v>January</v>
      </c>
      <c r="U33" s="13" t="n">
        <v>3</v>
      </c>
      <c r="V33" s="14" t="n">
        <f aca="false">IFERROR(U33/6,"--")</f>
        <v>0.5</v>
      </c>
      <c r="W33" s="15" t="n">
        <v>17</v>
      </c>
      <c r="X33" s="15" t="n">
        <v>17</v>
      </c>
      <c r="Y33" s="15"/>
      <c r="Z33" s="15"/>
      <c r="AA33" s="15"/>
      <c r="AB33" s="15"/>
      <c r="AC33" s="15"/>
      <c r="AD33" s="15"/>
      <c r="AE33" s="15"/>
      <c r="AF33" s="14" t="n">
        <f aca="false">IFERROR(AE33/W33,"--")</f>
        <v>0</v>
      </c>
      <c r="AG33" s="15"/>
      <c r="AH33" s="15"/>
      <c r="AI33" s="10"/>
      <c r="AJ33" s="10"/>
    </row>
    <row r="34" customFormat="false" ht="13.8" hidden="false" customHeight="false" outlineLevel="0" collapsed="false">
      <c r="A34" s="9" t="str">
        <f aca="false">IFERROR(_xlfn.CONCAT(LEFT(B34,2),"_",C34,"_",D34,"_",DAY(S34),"_",T34),"--")</f>
        <v>Az_5G **Equipes **Support**__27_February</v>
      </c>
      <c r="B34" s="10" t="s">
        <v>75</v>
      </c>
      <c r="C34" s="15" t="s">
        <v>120</v>
      </c>
      <c r="D34" s="10"/>
      <c r="E34" s="11" t="s">
        <v>107</v>
      </c>
      <c r="F34" s="10" t="str">
        <f aca="false">IFERROR(INDEX('[1]Programme d''accompagnement'!B$1:B$1048576,MATCH(E34,'[1]Programme d''accompagnement'!D$1:D$1048576,0)),"--")</f>
        <v>2025_Déploiement 5G_Az</v>
      </c>
      <c r="G34" s="15"/>
      <c r="H34" s="15"/>
      <c r="I34" s="15"/>
      <c r="J34" s="10" t="s">
        <v>39</v>
      </c>
      <c r="K34" s="10" t="s">
        <v>40</v>
      </c>
      <c r="L34" s="10" t="s">
        <v>80</v>
      </c>
      <c r="M34" s="10" t="s">
        <v>108</v>
      </c>
      <c r="N34" s="15" t="s">
        <v>109</v>
      </c>
      <c r="O34" s="15" t="s">
        <v>44</v>
      </c>
      <c r="P34" s="15" t="s">
        <v>45</v>
      </c>
      <c r="Q34" s="15" t="s">
        <v>58</v>
      </c>
      <c r="R34" s="15" t="s">
        <v>46</v>
      </c>
      <c r="S34" s="16" t="n">
        <v>45715</v>
      </c>
      <c r="T34" s="10" t="str">
        <f aca="false">IF(S34="","--",TEXT(S34,"mmmm"))</f>
        <v>February</v>
      </c>
      <c r="U34" s="13" t="n">
        <v>3</v>
      </c>
      <c r="V34" s="14" t="n">
        <f aca="false">IFERROR(U34/6,"--")</f>
        <v>0.5</v>
      </c>
      <c r="W34" s="15" t="n">
        <v>9</v>
      </c>
      <c r="X34" s="15" t="n">
        <v>9</v>
      </c>
      <c r="Y34" s="15"/>
      <c r="Z34" s="15" t="s">
        <v>60</v>
      </c>
      <c r="AA34" s="15"/>
      <c r="AB34" s="15"/>
      <c r="AC34" s="15"/>
      <c r="AD34" s="15"/>
      <c r="AE34" s="15"/>
      <c r="AF34" s="14" t="n">
        <f aca="false">IFERROR(AE34/W34,"--")</f>
        <v>0</v>
      </c>
      <c r="AG34" s="15"/>
      <c r="AH34" s="15"/>
      <c r="AI34" s="10"/>
      <c r="AJ34" s="10" t="s">
        <v>114</v>
      </c>
    </row>
    <row r="35" customFormat="false" ht="13.8" hidden="false" customHeight="false" outlineLevel="0" collapsed="false">
      <c r="A35" s="9" t="str">
        <f aca="false">IFERROR(_xlfn.CONCAT(LEFT(B35,2),"_",C35,"_",D35,"_",DAY(S35),"_",T35),"--")</f>
        <v>Az_#OTC: Parcours BIG DATA: DATA SCIENTIST - Session 3__19_February</v>
      </c>
      <c r="B35" s="10" t="s">
        <v>75</v>
      </c>
      <c r="C35" s="15" t="s">
        <v>121</v>
      </c>
      <c r="D35" s="10"/>
      <c r="E35" s="11" t="s">
        <v>118</v>
      </c>
      <c r="F35" s="10" t="str">
        <f aca="false">IFERROR(INDEX('[1]Programme d''accompagnement'!B$1:B$1048576,MATCH(E35,'[1]Programme d''accompagnement'!D$1:D$1048576,0)),"--")</f>
        <v>--_#OTC: Parcours Data Scientist  24-25_Az</v>
      </c>
      <c r="G35" s="15"/>
      <c r="H35" s="15"/>
      <c r="I35" s="15"/>
      <c r="J35" s="10" t="s">
        <v>39</v>
      </c>
      <c r="K35" s="10" t="s">
        <v>40</v>
      </c>
      <c r="L35" s="10" t="s">
        <v>41</v>
      </c>
      <c r="M35" s="10" t="s">
        <v>42</v>
      </c>
      <c r="N35" s="15" t="s">
        <v>122</v>
      </c>
      <c r="O35" s="15" t="s">
        <v>44</v>
      </c>
      <c r="P35" s="15" t="s">
        <v>45</v>
      </c>
      <c r="Q35" s="15" t="s">
        <v>44</v>
      </c>
      <c r="R35" s="15" t="s">
        <v>46</v>
      </c>
      <c r="S35" s="16" t="n">
        <v>45707</v>
      </c>
      <c r="T35" s="10" t="str">
        <f aca="false">IF(S35="","--",TEXT(S35,"mmmm"))</f>
        <v>February</v>
      </c>
      <c r="U35" s="13" t="n">
        <v>18</v>
      </c>
      <c r="V35" s="14" t="n">
        <f aca="false">IFERROR(U35/6,"--")</f>
        <v>3</v>
      </c>
      <c r="W35" s="15" t="n">
        <v>17</v>
      </c>
      <c r="X35" s="15" t="n">
        <v>17</v>
      </c>
      <c r="Y35" s="15"/>
      <c r="Z35" s="15" t="s">
        <v>47</v>
      </c>
      <c r="AA35" s="15" t="s">
        <v>110</v>
      </c>
      <c r="AB35" s="15"/>
      <c r="AC35" s="15"/>
      <c r="AD35" s="15"/>
      <c r="AE35" s="15"/>
      <c r="AF35" s="14" t="n">
        <f aca="false">IFERROR(AE35/W35,"--")</f>
        <v>0</v>
      </c>
      <c r="AG35" s="15"/>
      <c r="AH35" s="15"/>
      <c r="AI35" s="10"/>
      <c r="AJ35" s="10"/>
    </row>
    <row r="36" customFormat="false" ht="13.8" hidden="false" customHeight="false" outlineLevel="0" collapsed="false">
      <c r="A36" s="9" t="str">
        <f aca="false">IFERROR(_xlfn.CONCAT(LEFT(B36,2),"_",C36,"_",D36,"_",DAY(S36),"_",T36),"--")</f>
        <v>Az_#OTC: Parcours BIG DATA: Les Fondamentaux - Session 3__12_February</v>
      </c>
      <c r="B36" s="10" t="s">
        <v>75</v>
      </c>
      <c r="C36" s="15" t="s">
        <v>123</v>
      </c>
      <c r="D36" s="10"/>
      <c r="E36" s="11" t="s">
        <v>77</v>
      </c>
      <c r="F36" s="10" t="str">
        <f aca="false">IFERROR(INDEX('[1]Programme d''accompagnement'!B$1:B$1048576,MATCH(E36,'[1]Programme d''accompagnement'!D$1:D$1048576,0)),"--")</f>
        <v>--_#OTC: Parcours BIG DATA -Les Fondamentaux-  24-25_Az</v>
      </c>
      <c r="G36" s="15"/>
      <c r="H36" s="15"/>
      <c r="I36" s="15"/>
      <c r="J36" s="10" t="s">
        <v>39</v>
      </c>
      <c r="K36" s="10" t="s">
        <v>40</v>
      </c>
      <c r="L36" s="10" t="s">
        <v>41</v>
      </c>
      <c r="M36" s="10" t="s">
        <v>42</v>
      </c>
      <c r="N36" s="15" t="s">
        <v>122</v>
      </c>
      <c r="O36" s="15" t="s">
        <v>44</v>
      </c>
      <c r="P36" s="15" t="s">
        <v>45</v>
      </c>
      <c r="Q36" s="15" t="s">
        <v>44</v>
      </c>
      <c r="R36" s="15" t="s">
        <v>46</v>
      </c>
      <c r="S36" s="16" t="n">
        <v>45700</v>
      </c>
      <c r="T36" s="10" t="str">
        <f aca="false">IF(S36="","--",TEXT(S36,"mmmm"))</f>
        <v>February</v>
      </c>
      <c r="U36" s="13" t="n">
        <v>12</v>
      </c>
      <c r="V36" s="14" t="n">
        <f aca="false">IFERROR(U36/6,"--")</f>
        <v>2</v>
      </c>
      <c r="W36" s="15" t="n">
        <v>26</v>
      </c>
      <c r="X36" s="15" t="n">
        <v>26</v>
      </c>
      <c r="Y36" s="15"/>
      <c r="Z36" s="15" t="s">
        <v>47</v>
      </c>
      <c r="AA36" s="15" t="s">
        <v>110</v>
      </c>
      <c r="AB36" s="15"/>
      <c r="AC36" s="15"/>
      <c r="AD36" s="15"/>
      <c r="AE36" s="15"/>
      <c r="AF36" s="14" t="n">
        <f aca="false">IFERROR(AE36/W36,"--")</f>
        <v>0</v>
      </c>
      <c r="AG36" s="15"/>
      <c r="AH36" s="15"/>
      <c r="AI36" s="10"/>
      <c r="AJ36" s="10"/>
    </row>
    <row r="37" customFormat="false" ht="13.8" hidden="false" customHeight="false" outlineLevel="0" collapsed="false">
      <c r="A37" s="9" t="str">
        <f aca="false">IFERROR(_xlfn.CONCAT(LEFT(B37,2),"_",C37,"_",D37,"_",DAY(S37),"_",T37),"--")</f>
        <v>Az_#OTC: Parcours BIG DATA: Les Fondamentaux: EXAMEN FINAL__27_February</v>
      </c>
      <c r="B37" s="10" t="s">
        <v>75</v>
      </c>
      <c r="C37" s="15" t="s">
        <v>124</v>
      </c>
      <c r="D37" s="10"/>
      <c r="E37" s="11" t="s">
        <v>77</v>
      </c>
      <c r="F37" s="10" t="str">
        <f aca="false">IFERROR(INDEX('[1]Programme d''accompagnement'!B$1:B$1048576,MATCH(E37,'[1]Programme d''accompagnement'!D$1:D$1048576,0)),"--")</f>
        <v>--_#OTC: Parcours BIG DATA -Les Fondamentaux-  24-25_Az</v>
      </c>
      <c r="G37" s="15"/>
      <c r="H37" s="15"/>
      <c r="I37" s="15"/>
      <c r="J37" s="10" t="s">
        <v>39</v>
      </c>
      <c r="K37" s="10" t="s">
        <v>40</v>
      </c>
      <c r="L37" s="10" t="s">
        <v>41</v>
      </c>
      <c r="M37" s="10" t="s">
        <v>42</v>
      </c>
      <c r="N37" s="15" t="s">
        <v>122</v>
      </c>
      <c r="O37" s="15" t="s">
        <v>44</v>
      </c>
      <c r="P37" s="15" t="s">
        <v>45</v>
      </c>
      <c r="Q37" s="15" t="s">
        <v>58</v>
      </c>
      <c r="R37" s="15" t="s">
        <v>46</v>
      </c>
      <c r="S37" s="16" t="n">
        <v>45715</v>
      </c>
      <c r="T37" s="10" t="str">
        <f aca="false">IF(S37="","--",TEXT(S37,"mmmm"))</f>
        <v>February</v>
      </c>
      <c r="U37" s="13" t="n">
        <v>3</v>
      </c>
      <c r="V37" s="14" t="n">
        <f aca="false">IFERROR(U37/6,"--")</f>
        <v>0.5</v>
      </c>
      <c r="W37" s="15" t="n">
        <v>26</v>
      </c>
      <c r="X37" s="15" t="n">
        <v>26</v>
      </c>
      <c r="Y37" s="15"/>
      <c r="Z37" s="15" t="s">
        <v>47</v>
      </c>
      <c r="AA37" s="15"/>
      <c r="AB37" s="15"/>
      <c r="AC37" s="15"/>
      <c r="AD37" s="15"/>
      <c r="AE37" s="15"/>
      <c r="AF37" s="14" t="n">
        <f aca="false">IFERROR(AE37/W37,"--")</f>
        <v>0</v>
      </c>
      <c r="AG37" s="15"/>
      <c r="AH37" s="15"/>
      <c r="AI37" s="10"/>
      <c r="AJ37" s="10"/>
    </row>
    <row r="38" customFormat="false" ht="13.8" hidden="false" customHeight="false" outlineLevel="0" collapsed="false">
      <c r="A38" s="9" t="str">
        <f aca="false">IFERROR(_xlfn.CONCAT(LEFT(B38,2),"_",C38,"_",D38,"_",DAY(S38),"_",T38),"--")</f>
        <v>Az_#OTC: Parcours BE ING BY Orange: Séminaire 8 th international workshop  on robotics  * IOt &amp; IA *_Session 1_6_February</v>
      </c>
      <c r="B38" s="10" t="s">
        <v>75</v>
      </c>
      <c r="C38" s="15" t="s">
        <v>125</v>
      </c>
      <c r="D38" s="10" t="s">
        <v>38</v>
      </c>
      <c r="E38" s="11" t="s">
        <v>126</v>
      </c>
      <c r="F38" s="10" t="str">
        <f aca="false">IFERROR(INDEX('[1]Programme d''accompagnement'!B$1:B$1048576,MATCH(E38,'[1]Programme d''accompagnement'!D$1:D$1048576,0)),"--")</f>
        <v>--_#OTC: Parcours BE_Ing By Orange_Az</v>
      </c>
      <c r="G38" s="15"/>
      <c r="H38" s="15"/>
      <c r="I38" s="15"/>
      <c r="J38" s="10" t="s">
        <v>39</v>
      </c>
      <c r="K38" s="10" t="s">
        <v>127</v>
      </c>
      <c r="L38" s="10" t="s">
        <v>80</v>
      </c>
      <c r="M38" s="10" t="s">
        <v>42</v>
      </c>
      <c r="N38" s="15" t="s">
        <v>128</v>
      </c>
      <c r="O38" s="15" t="s">
        <v>58</v>
      </c>
      <c r="P38" s="15" t="s">
        <v>45</v>
      </c>
      <c r="Q38" s="15" t="s">
        <v>58</v>
      </c>
      <c r="R38" s="15" t="s">
        <v>46</v>
      </c>
      <c r="S38" s="16" t="n">
        <v>45694</v>
      </c>
      <c r="T38" s="10" t="str">
        <f aca="false">IF(S38="","--",TEXT(S38,"mmmm"))</f>
        <v>February</v>
      </c>
      <c r="U38" s="13" t="n">
        <v>24</v>
      </c>
      <c r="V38" s="14" t="n">
        <f aca="false">IFERROR(U38/6,"--")</f>
        <v>4</v>
      </c>
      <c r="W38" s="15" t="n">
        <v>10</v>
      </c>
      <c r="X38" s="15" t="n">
        <v>10</v>
      </c>
      <c r="Y38" s="15"/>
      <c r="Z38" s="15" t="s">
        <v>68</v>
      </c>
      <c r="AA38" s="15"/>
      <c r="AB38" s="15"/>
      <c r="AC38" s="15"/>
      <c r="AD38" s="15"/>
      <c r="AE38" s="15"/>
      <c r="AF38" s="14" t="n">
        <f aca="false">IFERROR(AE38/W38,"--")</f>
        <v>0</v>
      </c>
      <c r="AG38" s="15"/>
      <c r="AH38" s="15"/>
      <c r="AI38" s="10"/>
      <c r="AJ38" s="10"/>
    </row>
    <row r="39" customFormat="false" ht="13.8" hidden="false" customHeight="false" outlineLevel="0" collapsed="false">
      <c r="A39" s="9" t="str">
        <f aca="false">IFERROR(_xlfn.CONCAT(LEFT(B39,2),"_",C39,"_",D39,"_",DAY(S39),"_",T39),"--")</f>
        <v>Az_#OTC: Parcours Formateurs Référents 24-25 ** Follow up workshop__7_March</v>
      </c>
      <c r="B39" s="10" t="s">
        <v>75</v>
      </c>
      <c r="C39" s="15" t="s">
        <v>129</v>
      </c>
      <c r="D39" s="10"/>
      <c r="E39" s="11" t="s">
        <v>97</v>
      </c>
      <c r="F39" s="10" t="str">
        <f aca="false">IFERROR(INDEX('[1]Programme d''accompagnement'!B$1:B$1048576,MATCH(E39,'[1]Programme d''accompagnement'!D$1:D$1048576,0)),"--")</f>
        <v>2024_Formateurs Référents OTC: 24-25_Az</v>
      </c>
      <c r="G39" s="15"/>
      <c r="H39" s="15"/>
      <c r="I39" s="15"/>
      <c r="J39" s="10" t="s">
        <v>39</v>
      </c>
      <c r="K39" s="10" t="s">
        <v>130</v>
      </c>
      <c r="L39" s="10" t="s">
        <v>80</v>
      </c>
      <c r="M39" s="10" t="s">
        <v>108</v>
      </c>
      <c r="N39" s="15" t="s">
        <v>109</v>
      </c>
      <c r="O39" s="15" t="s">
        <v>44</v>
      </c>
      <c r="P39" s="15" t="s">
        <v>45</v>
      </c>
      <c r="Q39" s="15" t="s">
        <v>58</v>
      </c>
      <c r="R39" s="15" t="s">
        <v>46</v>
      </c>
      <c r="S39" s="16" t="n">
        <v>45723</v>
      </c>
      <c r="T39" s="10" t="str">
        <f aca="false">IF(S39="","--",TEXT(S39,"mmmm"))</f>
        <v>March</v>
      </c>
      <c r="U39" s="13" t="n">
        <v>3</v>
      </c>
      <c r="V39" s="14" t="n">
        <f aca="false">IFERROR(U39/6,"--")</f>
        <v>0.5</v>
      </c>
      <c r="W39" s="15" t="n">
        <v>11</v>
      </c>
      <c r="X39" s="15" t="n">
        <v>10</v>
      </c>
      <c r="Y39" s="15"/>
      <c r="Z39" s="15" t="s">
        <v>60</v>
      </c>
      <c r="AA39" s="15"/>
      <c r="AB39" s="15"/>
      <c r="AC39" s="15"/>
      <c r="AD39" s="15"/>
      <c r="AE39" s="15"/>
      <c r="AF39" s="14" t="n">
        <f aca="false">IFERROR(AE39/W39,"--")</f>
        <v>0</v>
      </c>
      <c r="AG39" s="15"/>
      <c r="AH39" s="15"/>
      <c r="AI39" s="10"/>
      <c r="AJ39" s="10" t="s">
        <v>131</v>
      </c>
    </row>
    <row r="40" customFormat="false" ht="13.8" hidden="false" customHeight="false" outlineLevel="0" collapsed="false">
      <c r="A40" s="9" t="str">
        <f aca="false">IFERROR(_xlfn.CONCAT(LEFT(B40,2),"_",C40,"_",D40,"_",DAY(S40),"_",T40),"--")</f>
        <v>Az_#OTC: Parcours BIG DATA: Les Fondamentaux - Apprentissage Asynchrone_Riadh Bahri_012025__2_January</v>
      </c>
      <c r="B40" s="10" t="s">
        <v>75</v>
      </c>
      <c r="C40" s="15" t="s">
        <v>132</v>
      </c>
      <c r="D40" s="10"/>
      <c r="E40" s="11" t="s">
        <v>77</v>
      </c>
      <c r="F40" s="10" t="str">
        <f aca="false">IFERROR(INDEX('[1]Programme d''accompagnement'!B$1:B$1048576,MATCH(E40,'[1]Programme d''accompagnement'!D$1:D$1048576,0)),"--")</f>
        <v>--_#OTC: Parcours BIG DATA -Les Fondamentaux-  24-25_Az</v>
      </c>
      <c r="G40" s="15"/>
      <c r="H40" s="15"/>
      <c r="I40" s="15"/>
      <c r="J40" s="10" t="s">
        <v>78</v>
      </c>
      <c r="K40" s="10" t="s">
        <v>79</v>
      </c>
      <c r="L40" s="10" t="s">
        <v>80</v>
      </c>
      <c r="M40" s="10" t="s">
        <v>81</v>
      </c>
      <c r="N40" s="15" t="s">
        <v>82</v>
      </c>
      <c r="O40" s="15" t="s">
        <v>44</v>
      </c>
      <c r="P40" s="15" t="s">
        <v>45</v>
      </c>
      <c r="Q40" s="15" t="s">
        <v>58</v>
      </c>
      <c r="R40" s="15" t="s">
        <v>46</v>
      </c>
      <c r="S40" s="16" t="n">
        <v>45659</v>
      </c>
      <c r="T40" s="10" t="str">
        <f aca="false">IF(S40="","--",TEXT(S40,"mmmm"))</f>
        <v>January</v>
      </c>
      <c r="U40" s="13" t="n">
        <v>9.5</v>
      </c>
      <c r="V40" s="14" t="n">
        <f aca="false">IFERROR(U40/6,"--")</f>
        <v>1.58333333333333</v>
      </c>
      <c r="W40" s="15" t="n">
        <v>1</v>
      </c>
      <c r="X40" s="15" t="n">
        <v>1</v>
      </c>
      <c r="Y40" s="15"/>
      <c r="Z40" s="15"/>
      <c r="AA40" s="15"/>
      <c r="AB40" s="15"/>
      <c r="AC40" s="15"/>
      <c r="AD40" s="15"/>
      <c r="AE40" s="15"/>
      <c r="AF40" s="14" t="n">
        <f aca="false">IFERROR(AE40/W40,"--")</f>
        <v>0</v>
      </c>
      <c r="AG40" s="15"/>
      <c r="AH40" s="15"/>
      <c r="AI40" s="10"/>
      <c r="AJ40" s="10"/>
    </row>
    <row r="41" customFormat="false" ht="13.8" hidden="false" customHeight="false" outlineLevel="0" collapsed="false">
      <c r="A41" s="9" t="str">
        <f aca="false">IFERROR(_xlfn.CONCAT(LEFT(B41,2),"_",C41,"_",D41,"_",DAY(S41),"_",T41),"--")</f>
        <v>Az_#OTC: Parcours BIG DATA: Les Fondamentaux - Apprentissage Asynchrone_Walid Ben Amor_012025__2_January</v>
      </c>
      <c r="B41" s="10" t="s">
        <v>75</v>
      </c>
      <c r="C41" s="15" t="s">
        <v>133</v>
      </c>
      <c r="D41" s="10"/>
      <c r="E41" s="11" t="s">
        <v>77</v>
      </c>
      <c r="F41" s="10" t="str">
        <f aca="false">IFERROR(INDEX('[1]Programme d''accompagnement'!B$1:B$1048576,MATCH(E41,'[1]Programme d''accompagnement'!D$1:D$1048576,0)),"--")</f>
        <v>--_#OTC: Parcours BIG DATA -Les Fondamentaux-  24-25_Az</v>
      </c>
      <c r="G41" s="15"/>
      <c r="H41" s="15"/>
      <c r="I41" s="15"/>
      <c r="J41" s="10" t="s">
        <v>78</v>
      </c>
      <c r="K41" s="10" t="s">
        <v>79</v>
      </c>
      <c r="L41" s="10" t="s">
        <v>80</v>
      </c>
      <c r="M41" s="10" t="s">
        <v>81</v>
      </c>
      <c r="N41" s="15" t="s">
        <v>82</v>
      </c>
      <c r="O41" s="15" t="s">
        <v>44</v>
      </c>
      <c r="P41" s="15" t="s">
        <v>45</v>
      </c>
      <c r="Q41" s="15" t="s">
        <v>58</v>
      </c>
      <c r="R41" s="15" t="s">
        <v>46</v>
      </c>
      <c r="S41" s="16" t="n">
        <v>45659</v>
      </c>
      <c r="T41" s="10" t="str">
        <f aca="false">IF(S41="","--",TEXT(S41,"mmmm"))</f>
        <v>January</v>
      </c>
      <c r="U41" s="13" t="n">
        <v>7.3</v>
      </c>
      <c r="V41" s="14" t="n">
        <f aca="false">IFERROR(U41/6,"--")</f>
        <v>1.21666666666667</v>
      </c>
      <c r="W41" s="15" t="n">
        <v>1</v>
      </c>
      <c r="X41" s="15" t="n">
        <v>1</v>
      </c>
      <c r="Y41" s="15"/>
      <c r="Z41" s="15"/>
      <c r="AA41" s="15"/>
      <c r="AB41" s="15"/>
      <c r="AC41" s="15"/>
      <c r="AD41" s="15"/>
      <c r="AE41" s="15"/>
      <c r="AF41" s="14" t="n">
        <f aca="false">IFERROR(AE41/W41,"--")</f>
        <v>0</v>
      </c>
      <c r="AG41" s="15"/>
      <c r="AH41" s="15"/>
      <c r="AI41" s="10"/>
      <c r="AJ41" s="10"/>
    </row>
    <row r="42" customFormat="false" ht="13.8" hidden="false" customHeight="false" outlineLevel="0" collapsed="false">
      <c r="A42" s="9" t="str">
        <f aca="false">IFERROR(_xlfn.CONCAT(LEFT(B42,2),"_",C42,"_",D42,"_",DAY(S42),"_",T42),"--")</f>
        <v>Az_#OTC: Parcours BIG DATA: Les Fondamentaux - Apprentissage Asynchrone_Ben Taieb, Mohamed Ali_012025__2_January</v>
      </c>
      <c r="B42" s="10" t="s">
        <v>75</v>
      </c>
      <c r="C42" s="15" t="s">
        <v>134</v>
      </c>
      <c r="D42" s="10"/>
      <c r="E42" s="11" t="s">
        <v>77</v>
      </c>
      <c r="F42" s="10" t="str">
        <f aca="false">IFERROR(INDEX('[1]Programme d''accompagnement'!B$1:B$1048576,MATCH(E42,'[1]Programme d''accompagnement'!D$1:D$1048576,0)),"--")</f>
        <v>--_#OTC: Parcours BIG DATA -Les Fondamentaux-  24-25_Az</v>
      </c>
      <c r="G42" s="15"/>
      <c r="H42" s="15"/>
      <c r="I42" s="15"/>
      <c r="J42" s="10" t="s">
        <v>78</v>
      </c>
      <c r="K42" s="10" t="s">
        <v>79</v>
      </c>
      <c r="L42" s="10" t="s">
        <v>80</v>
      </c>
      <c r="M42" s="10" t="s">
        <v>81</v>
      </c>
      <c r="N42" s="15" t="s">
        <v>82</v>
      </c>
      <c r="O42" s="15" t="s">
        <v>44</v>
      </c>
      <c r="P42" s="15" t="s">
        <v>45</v>
      </c>
      <c r="Q42" s="15" t="s">
        <v>58</v>
      </c>
      <c r="R42" s="15" t="s">
        <v>46</v>
      </c>
      <c r="S42" s="16" t="n">
        <v>45659</v>
      </c>
      <c r="T42" s="10" t="str">
        <f aca="false">IF(S42="","--",TEXT(S42,"mmmm"))</f>
        <v>January</v>
      </c>
      <c r="U42" s="13" t="n">
        <v>33.8</v>
      </c>
      <c r="V42" s="14" t="n">
        <f aca="false">IFERROR(U42/6,"--")</f>
        <v>5.63333333333333</v>
      </c>
      <c r="W42" s="15" t="n">
        <v>1</v>
      </c>
      <c r="X42" s="15" t="n">
        <v>1</v>
      </c>
      <c r="Y42" s="15"/>
      <c r="Z42" s="15"/>
      <c r="AA42" s="15"/>
      <c r="AB42" s="15"/>
      <c r="AC42" s="15"/>
      <c r="AD42" s="15"/>
      <c r="AE42" s="15"/>
      <c r="AF42" s="14" t="n">
        <f aca="false">IFERROR(AE42/W42,"--")</f>
        <v>0</v>
      </c>
      <c r="AG42" s="15"/>
      <c r="AH42" s="15"/>
      <c r="AI42" s="10"/>
      <c r="AJ42" s="10"/>
    </row>
    <row r="43" customFormat="false" ht="13.8" hidden="false" customHeight="false" outlineLevel="0" collapsed="false">
      <c r="A43" s="9" t="str">
        <f aca="false">IFERROR(_xlfn.CONCAT(LEFT(B43,2),"_",C43,"_",D43,"_",DAY(S43),"_",T43),"--")</f>
        <v>Az_#OTC: Parcours BIG DATA: Les Fondamentaux - Apprentissage Asynchrone_Imeb Beya_012025__2_January</v>
      </c>
      <c r="B43" s="10" t="s">
        <v>75</v>
      </c>
      <c r="C43" s="15" t="s">
        <v>135</v>
      </c>
      <c r="D43" s="10"/>
      <c r="E43" s="11" t="s">
        <v>77</v>
      </c>
      <c r="F43" s="10" t="str">
        <f aca="false">IFERROR(INDEX('[1]Programme d''accompagnement'!B$1:B$1048576,MATCH(E43,'[1]Programme d''accompagnement'!D$1:D$1048576,0)),"--")</f>
        <v>--_#OTC: Parcours BIG DATA -Les Fondamentaux-  24-25_Az</v>
      </c>
      <c r="G43" s="15"/>
      <c r="H43" s="15"/>
      <c r="I43" s="15"/>
      <c r="J43" s="10" t="s">
        <v>78</v>
      </c>
      <c r="K43" s="10" t="s">
        <v>79</v>
      </c>
      <c r="L43" s="10" t="s">
        <v>80</v>
      </c>
      <c r="M43" s="10" t="s">
        <v>81</v>
      </c>
      <c r="N43" s="15" t="s">
        <v>82</v>
      </c>
      <c r="O43" s="15" t="s">
        <v>44</v>
      </c>
      <c r="P43" s="15" t="s">
        <v>45</v>
      </c>
      <c r="Q43" s="15" t="s">
        <v>58</v>
      </c>
      <c r="R43" s="15" t="s">
        <v>46</v>
      </c>
      <c r="S43" s="16" t="n">
        <v>45659</v>
      </c>
      <c r="T43" s="10" t="str">
        <f aca="false">IF(S43="","--",TEXT(S43,"mmmm"))</f>
        <v>January</v>
      </c>
      <c r="U43" s="13" t="n">
        <v>12.8</v>
      </c>
      <c r="V43" s="14" t="n">
        <f aca="false">IFERROR(U43/6,"--")</f>
        <v>2.13333333333333</v>
      </c>
      <c r="W43" s="15" t="n">
        <v>1</v>
      </c>
      <c r="X43" s="15" t="n">
        <v>1</v>
      </c>
      <c r="Y43" s="15"/>
      <c r="Z43" s="15"/>
      <c r="AA43" s="15"/>
      <c r="AB43" s="15"/>
      <c r="AC43" s="15"/>
      <c r="AD43" s="15"/>
      <c r="AE43" s="15"/>
      <c r="AF43" s="14" t="n">
        <f aca="false">IFERROR(AE43/W43,"--")</f>
        <v>0</v>
      </c>
      <c r="AG43" s="15"/>
      <c r="AH43" s="15"/>
      <c r="AI43" s="10"/>
      <c r="AJ43" s="10"/>
    </row>
    <row r="44" customFormat="false" ht="13.8" hidden="false" customHeight="false" outlineLevel="0" collapsed="false">
      <c r="A44" s="9" t="str">
        <f aca="false">IFERROR(_xlfn.CONCAT(LEFT(B44,2),"_",C44,"_",D44,"_",DAY(S44),"_",T44),"--")</f>
        <v>Az_#OTC: Parcours BIG DATA: Les Fondamentaux - Apprentissage Asynchrone_Fatma Kraeim_012025__2_January</v>
      </c>
      <c r="B44" s="10" t="s">
        <v>75</v>
      </c>
      <c r="C44" s="15" t="s">
        <v>136</v>
      </c>
      <c r="D44" s="10"/>
      <c r="E44" s="11" t="s">
        <v>77</v>
      </c>
      <c r="F44" s="10" t="str">
        <f aca="false">IFERROR(INDEX('[1]Programme d''accompagnement'!B$1:B$1048576,MATCH(E44,'[1]Programme d''accompagnement'!D$1:D$1048576,0)),"--")</f>
        <v>--_#OTC: Parcours BIG DATA -Les Fondamentaux-  24-25_Az</v>
      </c>
      <c r="G44" s="15"/>
      <c r="H44" s="15"/>
      <c r="I44" s="15"/>
      <c r="J44" s="10" t="s">
        <v>78</v>
      </c>
      <c r="K44" s="10" t="s">
        <v>79</v>
      </c>
      <c r="L44" s="10" t="s">
        <v>80</v>
      </c>
      <c r="M44" s="10" t="s">
        <v>81</v>
      </c>
      <c r="N44" s="15" t="s">
        <v>82</v>
      </c>
      <c r="O44" s="15" t="s">
        <v>44</v>
      </c>
      <c r="P44" s="15" t="s">
        <v>45</v>
      </c>
      <c r="Q44" s="15" t="s">
        <v>58</v>
      </c>
      <c r="R44" s="15" t="s">
        <v>46</v>
      </c>
      <c r="S44" s="16" t="n">
        <v>45659</v>
      </c>
      <c r="T44" s="10" t="str">
        <f aca="false">IF(S44="","--",TEXT(S44,"mmmm"))</f>
        <v>January</v>
      </c>
      <c r="U44" s="13" t="n">
        <v>15.7</v>
      </c>
      <c r="V44" s="14" t="n">
        <f aca="false">IFERROR(U44/6,"--")</f>
        <v>2.61666666666667</v>
      </c>
      <c r="W44" s="15" t="n">
        <v>1</v>
      </c>
      <c r="X44" s="15" t="n">
        <v>1</v>
      </c>
      <c r="Y44" s="15"/>
      <c r="Z44" s="15"/>
      <c r="AA44" s="15"/>
      <c r="AB44" s="15"/>
      <c r="AC44" s="15"/>
      <c r="AD44" s="15"/>
      <c r="AE44" s="15"/>
      <c r="AF44" s="14" t="n">
        <f aca="false">IFERROR(AE44/W44,"--")</f>
        <v>0</v>
      </c>
      <c r="AG44" s="15"/>
      <c r="AH44" s="15"/>
      <c r="AI44" s="10"/>
      <c r="AJ44" s="10"/>
    </row>
    <row r="45" customFormat="false" ht="13.8" hidden="false" customHeight="false" outlineLevel="0" collapsed="false">
      <c r="A45" s="9" t="str">
        <f aca="false">IFERROR(_xlfn.CONCAT(LEFT(B45,2),"_",C45,"_",D45,"_",DAY(S45),"_",T45),"--")</f>
        <v>Az_#OTC: Parcours BIG DATA: Les Fondamentaux - Apprentissage Asynchrone_Nabil Hachana_012025__2_January</v>
      </c>
      <c r="B45" s="10" t="s">
        <v>75</v>
      </c>
      <c r="C45" s="15" t="s">
        <v>137</v>
      </c>
      <c r="D45" s="10"/>
      <c r="E45" s="11" t="s">
        <v>77</v>
      </c>
      <c r="F45" s="10" t="str">
        <f aca="false">IFERROR(INDEX('[1]Programme d''accompagnement'!B$1:B$1048576,MATCH(E45,'[1]Programme d''accompagnement'!D$1:D$1048576,0)),"--")</f>
        <v>--_#OTC: Parcours BIG DATA -Les Fondamentaux-  24-25_Az</v>
      </c>
      <c r="G45" s="15"/>
      <c r="H45" s="15"/>
      <c r="I45" s="15"/>
      <c r="J45" s="10" t="s">
        <v>78</v>
      </c>
      <c r="K45" s="10" t="s">
        <v>79</v>
      </c>
      <c r="L45" s="10" t="s">
        <v>80</v>
      </c>
      <c r="M45" s="10" t="s">
        <v>81</v>
      </c>
      <c r="N45" s="15" t="s">
        <v>82</v>
      </c>
      <c r="O45" s="15" t="s">
        <v>44</v>
      </c>
      <c r="P45" s="15" t="s">
        <v>45</v>
      </c>
      <c r="Q45" s="15" t="s">
        <v>58</v>
      </c>
      <c r="R45" s="15" t="s">
        <v>46</v>
      </c>
      <c r="S45" s="16" t="n">
        <v>45659</v>
      </c>
      <c r="T45" s="10" t="str">
        <f aca="false">IF(S45="","--",TEXT(S45,"mmmm"))</f>
        <v>January</v>
      </c>
      <c r="U45" s="13" t="n">
        <v>5</v>
      </c>
      <c r="V45" s="14" t="n">
        <f aca="false">IFERROR(U45/6,"--")</f>
        <v>0.833333333333333</v>
      </c>
      <c r="W45" s="15" t="n">
        <v>1</v>
      </c>
      <c r="X45" s="15" t="n">
        <v>1</v>
      </c>
      <c r="Y45" s="15"/>
      <c r="Z45" s="15"/>
      <c r="AA45" s="15"/>
      <c r="AB45" s="15"/>
      <c r="AC45" s="15"/>
      <c r="AD45" s="15"/>
      <c r="AE45" s="15"/>
      <c r="AF45" s="14" t="n">
        <f aca="false">IFERROR(AE45/W45,"--")</f>
        <v>0</v>
      </c>
      <c r="AG45" s="15"/>
      <c r="AH45" s="15"/>
      <c r="AI45" s="10"/>
      <c r="AJ45" s="10"/>
    </row>
    <row r="46" customFormat="false" ht="13.8" hidden="false" customHeight="false" outlineLevel="0" collapsed="false">
      <c r="A46" s="9" t="str">
        <f aca="false">IFERROR(_xlfn.CONCAT(LEFT(B46,2),"_",C46,"_",D46,"_",DAY(S46),"_",T46),"--")</f>
        <v>Az_#OTC: Parcours BIG DATA: Les Fondamentaux - Apprentissage Asynchrone_Assidi, Hela_022025__3_February</v>
      </c>
      <c r="B46" s="10" t="s">
        <v>75</v>
      </c>
      <c r="C46" s="15" t="s">
        <v>138</v>
      </c>
      <c r="D46" s="10"/>
      <c r="E46" s="11" t="s">
        <v>77</v>
      </c>
      <c r="F46" s="10" t="str">
        <f aca="false">IFERROR(INDEX('[1]Programme d''accompagnement'!B$1:B$1048576,MATCH(E46,'[1]Programme d''accompagnement'!D$1:D$1048576,0)),"--")</f>
        <v>--_#OTC: Parcours BIG DATA -Les Fondamentaux-  24-25_Az</v>
      </c>
      <c r="G46" s="15"/>
      <c r="H46" s="15"/>
      <c r="I46" s="15"/>
      <c r="J46" s="10" t="s">
        <v>78</v>
      </c>
      <c r="K46" s="10" t="s">
        <v>79</v>
      </c>
      <c r="L46" s="10" t="s">
        <v>80</v>
      </c>
      <c r="M46" s="10" t="s">
        <v>81</v>
      </c>
      <c r="N46" s="15" t="s">
        <v>82</v>
      </c>
      <c r="O46" s="15" t="s">
        <v>44</v>
      </c>
      <c r="P46" s="15" t="s">
        <v>45</v>
      </c>
      <c r="Q46" s="15" t="s">
        <v>58</v>
      </c>
      <c r="R46" s="15" t="s">
        <v>46</v>
      </c>
      <c r="S46" s="16" t="n">
        <v>45691</v>
      </c>
      <c r="T46" s="10" t="str">
        <f aca="false">IF(S46="","--",TEXT(S46,"mmmm"))</f>
        <v>February</v>
      </c>
      <c r="U46" s="13" t="n">
        <v>8.23</v>
      </c>
      <c r="V46" s="14" t="n">
        <f aca="false">IFERROR(U46/6,"--")</f>
        <v>1.37166666666667</v>
      </c>
      <c r="W46" s="15" t="n">
        <v>1</v>
      </c>
      <c r="X46" s="15" t="n">
        <v>1</v>
      </c>
      <c r="Y46" s="15"/>
      <c r="Z46" s="15"/>
      <c r="AA46" s="15"/>
      <c r="AB46" s="15"/>
      <c r="AC46" s="15"/>
      <c r="AD46" s="15"/>
      <c r="AE46" s="15"/>
      <c r="AF46" s="14" t="n">
        <f aca="false">IFERROR(AE46/W46,"--")</f>
        <v>0</v>
      </c>
      <c r="AG46" s="15"/>
      <c r="AH46" s="15"/>
      <c r="AI46" s="10"/>
      <c r="AJ46" s="10"/>
    </row>
    <row r="47" customFormat="false" ht="13.8" hidden="false" customHeight="false" outlineLevel="0" collapsed="false">
      <c r="A47" s="9" t="str">
        <f aca="false">IFERROR(_xlfn.CONCAT(LEFT(B47,2),"_",C47,"_",D47,"_",DAY(S47),"_",T47),"--")</f>
        <v>Az_#OTC: Parcours BIG DATA: Les Fondamentaux - Apprentissage Asynchrone_Afef ayari_022025__3_February</v>
      </c>
      <c r="B47" s="10" t="s">
        <v>75</v>
      </c>
      <c r="C47" s="15" t="s">
        <v>139</v>
      </c>
      <c r="D47" s="10"/>
      <c r="E47" s="11" t="s">
        <v>77</v>
      </c>
      <c r="F47" s="10" t="str">
        <f aca="false">IFERROR(INDEX('[1]Programme d''accompagnement'!B$1:B$1048576,MATCH(E47,'[1]Programme d''accompagnement'!D$1:D$1048576,0)),"--")</f>
        <v>--_#OTC: Parcours BIG DATA -Les Fondamentaux-  24-25_Az</v>
      </c>
      <c r="G47" s="15"/>
      <c r="H47" s="15"/>
      <c r="I47" s="15"/>
      <c r="J47" s="10" t="s">
        <v>78</v>
      </c>
      <c r="K47" s="10" t="s">
        <v>79</v>
      </c>
      <c r="L47" s="10" t="s">
        <v>80</v>
      </c>
      <c r="M47" s="10" t="s">
        <v>81</v>
      </c>
      <c r="N47" s="15" t="s">
        <v>82</v>
      </c>
      <c r="O47" s="15" t="s">
        <v>44</v>
      </c>
      <c r="P47" s="15" t="s">
        <v>45</v>
      </c>
      <c r="Q47" s="15" t="s">
        <v>58</v>
      </c>
      <c r="R47" s="15" t="s">
        <v>46</v>
      </c>
      <c r="S47" s="16" t="n">
        <v>45691</v>
      </c>
      <c r="T47" s="10" t="str">
        <f aca="false">IF(S47="","--",TEXT(S47,"mmmm"))</f>
        <v>February</v>
      </c>
      <c r="U47" s="13" t="n">
        <v>2</v>
      </c>
      <c r="V47" s="14" t="n">
        <f aca="false">IFERROR(U47/6,"--")</f>
        <v>0.333333333333333</v>
      </c>
      <c r="W47" s="15" t="n">
        <v>1</v>
      </c>
      <c r="X47" s="15" t="n">
        <v>1</v>
      </c>
      <c r="Y47" s="15"/>
      <c r="Z47" s="15"/>
      <c r="AA47" s="15"/>
      <c r="AB47" s="15"/>
      <c r="AC47" s="15"/>
      <c r="AD47" s="15"/>
      <c r="AE47" s="15"/>
      <c r="AF47" s="14" t="n">
        <f aca="false">IFERROR(AE47/W47,"--")</f>
        <v>0</v>
      </c>
      <c r="AG47" s="15"/>
      <c r="AH47" s="15"/>
      <c r="AI47" s="10"/>
      <c r="AJ47" s="10"/>
    </row>
    <row r="48" customFormat="false" ht="13.8" hidden="false" customHeight="false" outlineLevel="0" collapsed="false">
      <c r="A48" s="9" t="str">
        <f aca="false">IFERROR(_xlfn.CONCAT(LEFT(B48,2),"_",C48,"_",D48,"_",DAY(S48),"_",T48),"--")</f>
        <v>Az_#OTC: Parcours BIG DATA: Les Fondamentaux - Apprentissage Asynchrone_Riadh Bahri_022025__3_February</v>
      </c>
      <c r="B48" s="10" t="s">
        <v>75</v>
      </c>
      <c r="C48" s="15" t="s">
        <v>140</v>
      </c>
      <c r="D48" s="10"/>
      <c r="E48" s="11" t="s">
        <v>77</v>
      </c>
      <c r="F48" s="10" t="str">
        <f aca="false">IFERROR(INDEX('[1]Programme d''accompagnement'!B$1:B$1048576,MATCH(E48,'[1]Programme d''accompagnement'!D$1:D$1048576,0)),"--")</f>
        <v>--_#OTC: Parcours BIG DATA -Les Fondamentaux-  24-25_Az</v>
      </c>
      <c r="G48" s="15"/>
      <c r="H48" s="15"/>
      <c r="I48" s="15"/>
      <c r="J48" s="10" t="s">
        <v>78</v>
      </c>
      <c r="K48" s="10" t="s">
        <v>79</v>
      </c>
      <c r="L48" s="10" t="s">
        <v>80</v>
      </c>
      <c r="M48" s="10" t="s">
        <v>81</v>
      </c>
      <c r="N48" s="15" t="s">
        <v>82</v>
      </c>
      <c r="O48" s="15" t="s">
        <v>44</v>
      </c>
      <c r="P48" s="15" t="s">
        <v>45</v>
      </c>
      <c r="Q48" s="15" t="s">
        <v>58</v>
      </c>
      <c r="R48" s="15" t="s">
        <v>46</v>
      </c>
      <c r="S48" s="16" t="n">
        <v>45691</v>
      </c>
      <c r="T48" s="10" t="str">
        <f aca="false">IF(S48="","--",TEXT(S48,"mmmm"))</f>
        <v>February</v>
      </c>
      <c r="U48" s="13" t="n">
        <v>9</v>
      </c>
      <c r="V48" s="14" t="n">
        <f aca="false">IFERROR(U48/6,"--")</f>
        <v>1.5</v>
      </c>
      <c r="W48" s="15" t="n">
        <v>1</v>
      </c>
      <c r="X48" s="15" t="n">
        <v>1</v>
      </c>
      <c r="Y48" s="15"/>
      <c r="Z48" s="15"/>
      <c r="AA48" s="15"/>
      <c r="AB48" s="15"/>
      <c r="AC48" s="15"/>
      <c r="AD48" s="15"/>
      <c r="AE48" s="15"/>
      <c r="AF48" s="14" t="n">
        <f aca="false">IFERROR(AE48/W48,"--")</f>
        <v>0</v>
      </c>
      <c r="AG48" s="15"/>
      <c r="AH48" s="15"/>
      <c r="AI48" s="10"/>
      <c r="AJ48" s="10"/>
    </row>
    <row r="49" customFormat="false" ht="13.8" hidden="false" customHeight="false" outlineLevel="0" collapsed="false">
      <c r="A49" s="9" t="str">
        <f aca="false">IFERROR(_xlfn.CONCAT(LEFT(B49,2),"_",C49,"_",D49,"_",DAY(S49),"_",T49),"--")</f>
        <v>Az_#OTC: Parcours BIG DATA: Les Fondamentaux - Apprentissage Asynchrone_Jihed Mnarki_022025__3_February</v>
      </c>
      <c r="B49" s="10" t="s">
        <v>75</v>
      </c>
      <c r="C49" s="15" t="s">
        <v>141</v>
      </c>
      <c r="D49" s="10"/>
      <c r="E49" s="11" t="s">
        <v>77</v>
      </c>
      <c r="F49" s="10" t="str">
        <f aca="false">IFERROR(INDEX('[1]Programme d''accompagnement'!B$1:B$1048576,MATCH(E49,'[1]Programme d''accompagnement'!D$1:D$1048576,0)),"--")</f>
        <v>--_#OTC: Parcours BIG DATA -Les Fondamentaux-  24-25_Az</v>
      </c>
      <c r="G49" s="15"/>
      <c r="H49" s="15"/>
      <c r="I49" s="15"/>
      <c r="J49" s="10" t="s">
        <v>78</v>
      </c>
      <c r="K49" s="10" t="s">
        <v>79</v>
      </c>
      <c r="L49" s="10" t="s">
        <v>80</v>
      </c>
      <c r="M49" s="10" t="s">
        <v>81</v>
      </c>
      <c r="N49" s="15" t="s">
        <v>82</v>
      </c>
      <c r="O49" s="15" t="s">
        <v>44</v>
      </c>
      <c r="P49" s="15" t="s">
        <v>45</v>
      </c>
      <c r="Q49" s="15" t="s">
        <v>58</v>
      </c>
      <c r="R49" s="15" t="s">
        <v>46</v>
      </c>
      <c r="S49" s="16" t="n">
        <v>45691</v>
      </c>
      <c r="T49" s="10" t="str">
        <f aca="false">IF(S49="","--",TEXT(S49,"mmmm"))</f>
        <v>February</v>
      </c>
      <c r="U49" s="13" t="n">
        <v>6.4</v>
      </c>
      <c r="V49" s="14" t="n">
        <f aca="false">IFERROR(U49/6,"--")</f>
        <v>1.06666666666667</v>
      </c>
      <c r="W49" s="15" t="n">
        <v>1</v>
      </c>
      <c r="X49" s="15" t="n">
        <v>1</v>
      </c>
      <c r="Y49" s="15"/>
      <c r="Z49" s="15"/>
      <c r="AA49" s="15"/>
      <c r="AB49" s="15"/>
      <c r="AC49" s="15"/>
      <c r="AD49" s="15"/>
      <c r="AE49" s="15"/>
      <c r="AF49" s="14" t="n">
        <f aca="false">IFERROR(AE49/W49,"--")</f>
        <v>0</v>
      </c>
      <c r="AG49" s="15"/>
      <c r="AH49" s="15"/>
      <c r="AI49" s="10"/>
      <c r="AJ49" s="10"/>
    </row>
    <row r="50" customFormat="false" ht="13.8" hidden="false" customHeight="false" outlineLevel="0" collapsed="false">
      <c r="A50" s="9" t="str">
        <f aca="false">IFERROR(_xlfn.CONCAT(LEFT(B50,2),"_",C50,"_",D50,"_",DAY(S50),"_",T50),"--")</f>
        <v>Az_#OTC: Parcours BIG DATA: Les Fondamentaux - Apprentissage Asynchrone_Fatma Mejri_022025__3_February</v>
      </c>
      <c r="B50" s="10" t="s">
        <v>75</v>
      </c>
      <c r="C50" s="15" t="s">
        <v>142</v>
      </c>
      <c r="D50" s="10"/>
      <c r="E50" s="11" t="s">
        <v>77</v>
      </c>
      <c r="F50" s="10" t="str">
        <f aca="false">IFERROR(INDEX('[1]Programme d''accompagnement'!B$1:B$1048576,MATCH(E50,'[1]Programme d''accompagnement'!D$1:D$1048576,0)),"--")</f>
        <v>--_#OTC: Parcours BIG DATA -Les Fondamentaux-  24-25_Az</v>
      </c>
      <c r="G50" s="15"/>
      <c r="H50" s="15"/>
      <c r="I50" s="15"/>
      <c r="J50" s="10" t="s">
        <v>78</v>
      </c>
      <c r="K50" s="10" t="s">
        <v>79</v>
      </c>
      <c r="L50" s="10" t="s">
        <v>80</v>
      </c>
      <c r="M50" s="10" t="s">
        <v>81</v>
      </c>
      <c r="N50" s="15" t="s">
        <v>82</v>
      </c>
      <c r="O50" s="15" t="s">
        <v>44</v>
      </c>
      <c r="P50" s="15" t="s">
        <v>45</v>
      </c>
      <c r="Q50" s="15" t="s">
        <v>58</v>
      </c>
      <c r="R50" s="15" t="s">
        <v>46</v>
      </c>
      <c r="S50" s="16" t="n">
        <v>45691</v>
      </c>
      <c r="T50" s="10" t="str">
        <f aca="false">IF(S50="","--",TEXT(S50,"mmmm"))</f>
        <v>February</v>
      </c>
      <c r="U50" s="13" t="n">
        <v>14.9</v>
      </c>
      <c r="V50" s="14" t="n">
        <f aca="false">IFERROR(U50/6,"--")</f>
        <v>2.48333333333333</v>
      </c>
      <c r="W50" s="15" t="n">
        <v>1</v>
      </c>
      <c r="X50" s="15" t="n">
        <v>1</v>
      </c>
      <c r="Y50" s="15"/>
      <c r="Z50" s="15"/>
      <c r="AA50" s="15"/>
      <c r="AB50" s="15"/>
      <c r="AC50" s="15"/>
      <c r="AD50" s="15"/>
      <c r="AE50" s="15"/>
      <c r="AF50" s="14" t="n">
        <f aca="false">IFERROR(AE50/W50,"--")</f>
        <v>0</v>
      </c>
      <c r="AG50" s="15"/>
      <c r="AH50" s="15"/>
      <c r="AI50" s="10"/>
      <c r="AJ50" s="10"/>
    </row>
    <row r="51" customFormat="false" ht="13.8" hidden="false" customHeight="false" outlineLevel="0" collapsed="false">
      <c r="A51" s="9" t="str">
        <f aca="false">IFERROR(_xlfn.CONCAT(LEFT(B51,2),"_",C51,"_",D51,"_",DAY(S51),"_",T51),"--")</f>
        <v>Az_#OTC: Parcours BIG DATA: DATA SCINTIST - Apprentissage Asynchrone_Oueld Elhadj, Antar_022025__3_February</v>
      </c>
      <c r="B51" s="10" t="s">
        <v>75</v>
      </c>
      <c r="C51" s="15" t="s">
        <v>143</v>
      </c>
      <c r="D51" s="10"/>
      <c r="E51" s="11" t="s">
        <v>118</v>
      </c>
      <c r="F51" s="10" t="str">
        <f aca="false">IFERROR(INDEX('[1]Programme d''accompagnement'!B$1:B$1048576,MATCH(E51,'[1]Programme d''accompagnement'!D$1:D$1048576,0)),"--")</f>
        <v>--_#OTC: Parcours Data Scientist  24-25_Az</v>
      </c>
      <c r="G51" s="15"/>
      <c r="H51" s="15"/>
      <c r="I51" s="15"/>
      <c r="J51" s="10" t="s">
        <v>78</v>
      </c>
      <c r="K51" s="10" t="s">
        <v>79</v>
      </c>
      <c r="L51" s="10" t="s">
        <v>80</v>
      </c>
      <c r="M51" s="10" t="s">
        <v>81</v>
      </c>
      <c r="N51" s="15" t="s">
        <v>82</v>
      </c>
      <c r="O51" s="15" t="s">
        <v>44</v>
      </c>
      <c r="P51" s="15" t="s">
        <v>45</v>
      </c>
      <c r="Q51" s="15" t="s">
        <v>58</v>
      </c>
      <c r="R51" s="15" t="s">
        <v>46</v>
      </c>
      <c r="S51" s="16" t="n">
        <v>45691</v>
      </c>
      <c r="T51" s="10" t="str">
        <f aca="false">IF(S51="","--",TEXT(S51,"mmmm"))</f>
        <v>February</v>
      </c>
      <c r="U51" s="13" t="n">
        <v>12.15</v>
      </c>
      <c r="V51" s="14" t="n">
        <f aca="false">IFERROR(U51/6,"--")</f>
        <v>2.025</v>
      </c>
      <c r="W51" s="15" t="n">
        <v>1</v>
      </c>
      <c r="X51" s="15" t="n">
        <v>1</v>
      </c>
      <c r="Y51" s="15"/>
      <c r="Z51" s="15"/>
      <c r="AA51" s="15"/>
      <c r="AB51" s="15"/>
      <c r="AC51" s="15"/>
      <c r="AD51" s="15"/>
      <c r="AE51" s="15"/>
      <c r="AF51" s="14" t="n">
        <f aca="false">IFERROR(AE51/W51,"--")</f>
        <v>0</v>
      </c>
      <c r="AG51" s="15"/>
      <c r="AH51" s="15"/>
      <c r="AI51" s="10"/>
      <c r="AJ51" s="10"/>
    </row>
    <row r="52" customFormat="false" ht="13.8" hidden="false" customHeight="false" outlineLevel="0" collapsed="false">
      <c r="A52" s="9" t="str">
        <f aca="false">IFERROR(_xlfn.CONCAT(LEFT(B52,2),"_",C52,"_",D52,"_",DAY(S52),"_",T52),"--")</f>
        <v>Az_#OTC: Parcours BIG DATA: Les Fondamentaux - Apprentissage Asynchrone_Sana Chihi_032025__3_March</v>
      </c>
      <c r="B52" s="10" t="s">
        <v>75</v>
      </c>
      <c r="C52" s="15" t="s">
        <v>144</v>
      </c>
      <c r="D52" s="10"/>
      <c r="E52" s="11" t="s">
        <v>77</v>
      </c>
      <c r="F52" s="10" t="str">
        <f aca="false">IFERROR(INDEX('[1]Programme d''accompagnement'!B$1:B$1048576,MATCH(E52,'[1]Programme d''accompagnement'!D$1:D$1048576,0)),"--")</f>
        <v>--_#OTC: Parcours BIG DATA -Les Fondamentaux-  24-25_Az</v>
      </c>
      <c r="G52" s="15"/>
      <c r="H52" s="15"/>
      <c r="I52" s="15"/>
      <c r="J52" s="10" t="s">
        <v>78</v>
      </c>
      <c r="K52" s="10" t="s">
        <v>79</v>
      </c>
      <c r="L52" s="10" t="s">
        <v>80</v>
      </c>
      <c r="M52" s="10" t="s">
        <v>81</v>
      </c>
      <c r="N52" s="15" t="s">
        <v>82</v>
      </c>
      <c r="O52" s="15" t="s">
        <v>44</v>
      </c>
      <c r="P52" s="15" t="s">
        <v>45</v>
      </c>
      <c r="Q52" s="15" t="s">
        <v>58</v>
      </c>
      <c r="R52" s="15" t="s">
        <v>46</v>
      </c>
      <c r="S52" s="16" t="n">
        <v>45719</v>
      </c>
      <c r="T52" s="10" t="str">
        <f aca="false">IF(S52="","--",TEXT(S52,"mmmm"))</f>
        <v>March</v>
      </c>
      <c r="U52" s="13" t="n">
        <v>9.86</v>
      </c>
      <c r="V52" s="14" t="n">
        <f aca="false">IFERROR(U52/6,"--")</f>
        <v>1.64333333333333</v>
      </c>
      <c r="W52" s="15" t="n">
        <v>1</v>
      </c>
      <c r="X52" s="15" t="n">
        <v>1</v>
      </c>
      <c r="Y52" s="15"/>
      <c r="Z52" s="15"/>
      <c r="AA52" s="15"/>
      <c r="AB52" s="15"/>
      <c r="AC52" s="15"/>
      <c r="AD52" s="15"/>
      <c r="AE52" s="15"/>
      <c r="AF52" s="14" t="n">
        <f aca="false">IFERROR(AE52/W52,"--")</f>
        <v>0</v>
      </c>
      <c r="AG52" s="15"/>
      <c r="AH52" s="15"/>
      <c r="AI52" s="10"/>
      <c r="AJ52" s="10"/>
    </row>
    <row r="53" customFormat="false" ht="13.8" hidden="false" customHeight="false" outlineLevel="0" collapsed="false">
      <c r="A53" s="9" t="str">
        <f aca="false">IFERROR(_xlfn.CONCAT(LEFT(B53,2),"_",C53,"_",D53,"_",DAY(S53),"_",T53),"--")</f>
        <v>Az_#OTC: Parcours BIG DATA: Les Fondamentaux - Apprentissage Asynchrone_Ben Taieb, Mohamed Ali_032025__3_March</v>
      </c>
      <c r="B53" s="10" t="s">
        <v>75</v>
      </c>
      <c r="C53" s="15" t="s">
        <v>145</v>
      </c>
      <c r="D53" s="10"/>
      <c r="E53" s="11" t="s">
        <v>77</v>
      </c>
      <c r="F53" s="10" t="str">
        <f aca="false">IFERROR(INDEX('[1]Programme d''accompagnement'!B$1:B$1048576,MATCH(E53,'[1]Programme d''accompagnement'!D$1:D$1048576,0)),"--")</f>
        <v>--_#OTC: Parcours BIG DATA -Les Fondamentaux-  24-25_Az</v>
      </c>
      <c r="G53" s="15"/>
      <c r="H53" s="15"/>
      <c r="I53" s="15"/>
      <c r="J53" s="10" t="s">
        <v>78</v>
      </c>
      <c r="K53" s="10" t="s">
        <v>79</v>
      </c>
      <c r="L53" s="10" t="s">
        <v>80</v>
      </c>
      <c r="M53" s="10" t="s">
        <v>81</v>
      </c>
      <c r="N53" s="15" t="s">
        <v>82</v>
      </c>
      <c r="O53" s="15" t="s">
        <v>44</v>
      </c>
      <c r="P53" s="15" t="s">
        <v>45</v>
      </c>
      <c r="Q53" s="15" t="s">
        <v>58</v>
      </c>
      <c r="R53" s="15" t="s">
        <v>46</v>
      </c>
      <c r="S53" s="16" t="n">
        <v>45719</v>
      </c>
      <c r="T53" s="10" t="str">
        <f aca="false">IF(S53="","--",TEXT(S53,"mmmm"))</f>
        <v>March</v>
      </c>
      <c r="U53" s="13" t="n">
        <v>6</v>
      </c>
      <c r="V53" s="14" t="n">
        <f aca="false">IFERROR(U53/6,"--")</f>
        <v>1</v>
      </c>
      <c r="W53" s="15" t="n">
        <v>1</v>
      </c>
      <c r="X53" s="15" t="n">
        <v>1</v>
      </c>
      <c r="Y53" s="15"/>
      <c r="Z53" s="15"/>
      <c r="AA53" s="15"/>
      <c r="AB53" s="15"/>
      <c r="AC53" s="15"/>
      <c r="AD53" s="15"/>
      <c r="AE53" s="15"/>
      <c r="AF53" s="14" t="n">
        <f aca="false">IFERROR(AE53/W53,"--")</f>
        <v>0</v>
      </c>
      <c r="AG53" s="15"/>
      <c r="AH53" s="15"/>
      <c r="AI53" s="10"/>
      <c r="AJ53" s="10"/>
    </row>
    <row r="54" customFormat="false" ht="13.8" hidden="false" customHeight="false" outlineLevel="0" collapsed="false">
      <c r="A54" s="9" t="str">
        <f aca="false">IFERROR(_xlfn.CONCAT(LEFT(B54,2),"_",C54,"_",D54,"_",DAY(S54),"_",T54),"--")</f>
        <v>Az_Formuler un brief de communication efficace__12_February</v>
      </c>
      <c r="B54" s="10" t="s">
        <v>75</v>
      </c>
      <c r="C54" s="24" t="s">
        <v>146</v>
      </c>
      <c r="D54" s="10"/>
      <c r="E54" s="11"/>
      <c r="F54" s="10" t="str">
        <f aca="false">IFERROR(INDEX('[1]Programme d''accompagnement'!B$1:B$1048576,MATCH(E54,'[1]Programme d''accompagnement'!D$1:D$1048576,0)),"--")</f>
        <v>--</v>
      </c>
      <c r="G54" s="15"/>
      <c r="H54" s="15"/>
      <c r="I54" s="15"/>
      <c r="J54" s="10" t="s">
        <v>147</v>
      </c>
      <c r="K54" s="10" t="s">
        <v>40</v>
      </c>
      <c r="L54" s="10" t="s">
        <v>41</v>
      </c>
      <c r="M54" s="10" t="s">
        <v>81</v>
      </c>
      <c r="N54" s="24" t="s">
        <v>148</v>
      </c>
      <c r="O54" s="15" t="s">
        <v>58</v>
      </c>
      <c r="P54" s="15" t="s">
        <v>45</v>
      </c>
      <c r="Q54" s="15" t="s">
        <v>58</v>
      </c>
      <c r="R54" s="15" t="s">
        <v>46</v>
      </c>
      <c r="S54" s="16" t="n">
        <v>45700</v>
      </c>
      <c r="T54" s="10" t="str">
        <f aca="false">IF(S54="","--",TEXT(S54,"mmmm"))</f>
        <v>February</v>
      </c>
      <c r="U54" s="13" t="n">
        <v>3.25</v>
      </c>
      <c r="V54" s="14" t="n">
        <f aca="false">IFERROR(U54/6,"--")</f>
        <v>0.541666666666667</v>
      </c>
      <c r="W54" s="15" t="n">
        <v>1</v>
      </c>
      <c r="X54" s="15" t="n">
        <v>1</v>
      </c>
      <c r="Y54" s="15"/>
      <c r="Z54" s="15"/>
      <c r="AA54" s="15"/>
      <c r="AB54" s="15"/>
      <c r="AC54" s="15"/>
      <c r="AD54" s="15"/>
      <c r="AE54" s="15"/>
      <c r="AF54" s="14" t="n">
        <f aca="false">IFERROR(AE54/W54,"--")</f>
        <v>0</v>
      </c>
      <c r="AG54" s="15"/>
      <c r="AH54" s="15"/>
      <c r="AI54" s="10"/>
      <c r="AJ54" s="10"/>
    </row>
    <row r="55" customFormat="false" ht="13.8" hidden="false" customHeight="false" outlineLevel="0" collapsed="false">
      <c r="A55" s="9" t="str">
        <f aca="false">IFERROR(_xlfn.CONCAT(LEFT(B55,2),"_",C55,"_",D55,"_",DAY(S55),"_",T55),"--")</f>
        <v>Az_Découvrir la protection de la vie privée au quotidien__27_January</v>
      </c>
      <c r="B55" s="10" t="s">
        <v>75</v>
      </c>
      <c r="C55" s="24" t="s">
        <v>149</v>
      </c>
      <c r="D55" s="10"/>
      <c r="E55" s="11"/>
      <c r="F55" s="10" t="str">
        <f aca="false">IFERROR(INDEX('[1]Programme d''accompagnement'!B$1:B$1048576,MATCH(E55,'[1]Programme d''accompagnement'!D$1:D$1048576,0)),"--")</f>
        <v>--</v>
      </c>
      <c r="G55" s="15"/>
      <c r="H55" s="15"/>
      <c r="I55" s="15"/>
      <c r="J55" s="10" t="s">
        <v>147</v>
      </c>
      <c r="K55" s="10" t="s">
        <v>40</v>
      </c>
      <c r="L55" s="10" t="s">
        <v>41</v>
      </c>
      <c r="M55" s="10" t="s">
        <v>81</v>
      </c>
      <c r="N55" s="24" t="s">
        <v>150</v>
      </c>
      <c r="O55" s="15" t="s">
        <v>58</v>
      </c>
      <c r="P55" s="15" t="s">
        <v>45</v>
      </c>
      <c r="Q55" s="15" t="s">
        <v>58</v>
      </c>
      <c r="R55" s="15" t="s">
        <v>46</v>
      </c>
      <c r="S55" s="16" t="n">
        <v>45684</v>
      </c>
      <c r="T55" s="10" t="str">
        <f aca="false">IF(S55="","--",TEXT(S55,"mmmm"))</f>
        <v>January</v>
      </c>
      <c r="U55" s="13" t="n">
        <v>1.5</v>
      </c>
      <c r="V55" s="14" t="n">
        <f aca="false">IFERROR(U55/6,"--")</f>
        <v>0.25</v>
      </c>
      <c r="W55" s="15" t="n">
        <v>1</v>
      </c>
      <c r="X55" s="15" t="n">
        <v>1</v>
      </c>
      <c r="Y55" s="15"/>
      <c r="Z55" s="15"/>
      <c r="AA55" s="15"/>
      <c r="AB55" s="15"/>
      <c r="AC55" s="15"/>
      <c r="AD55" s="15"/>
      <c r="AE55" s="15"/>
      <c r="AF55" s="14" t="n">
        <f aca="false">IFERROR(AE55/W55,"--")</f>
        <v>0</v>
      </c>
      <c r="AG55" s="15"/>
      <c r="AH55" s="15"/>
      <c r="AI55" s="10"/>
      <c r="AJ55" s="10"/>
    </row>
    <row r="56" customFormat="false" ht="13.8" hidden="false" customHeight="false" outlineLevel="0" collapsed="false">
      <c r="A56" s="9" t="str">
        <f aca="false">IFERROR(_xlfn.CONCAT(LEFT(B56,2),"_",C56,"_",D56,"_",DAY(S56),"_",T56),"--")</f>
        <v>Az_Ateliers Softskills pour Tous / CFA - Re-Up skilling__7_January</v>
      </c>
      <c r="B56" s="10" t="s">
        <v>75</v>
      </c>
      <c r="C56" s="24" t="s">
        <v>151</v>
      </c>
      <c r="D56" s="10"/>
      <c r="E56" s="11"/>
      <c r="F56" s="10" t="str">
        <f aca="false">IFERROR(INDEX('[1]Programme d''accompagnement'!B$1:B$1048576,MATCH(E56,'[1]Programme d''accompagnement'!D$1:D$1048576,0)),"--")</f>
        <v>--</v>
      </c>
      <c r="G56" s="15"/>
      <c r="H56" s="15"/>
      <c r="I56" s="15"/>
      <c r="J56" s="10" t="s">
        <v>147</v>
      </c>
      <c r="K56" s="10" t="s">
        <v>40</v>
      </c>
      <c r="L56" s="10" t="s">
        <v>41</v>
      </c>
      <c r="M56" s="10" t="s">
        <v>81</v>
      </c>
      <c r="N56" s="24" t="s">
        <v>152</v>
      </c>
      <c r="O56" s="15" t="s">
        <v>58</v>
      </c>
      <c r="P56" s="15" t="s">
        <v>45</v>
      </c>
      <c r="Q56" s="15" t="s">
        <v>58</v>
      </c>
      <c r="R56" s="15" t="s">
        <v>46</v>
      </c>
      <c r="S56" s="16" t="n">
        <v>45664</v>
      </c>
      <c r="T56" s="10" t="str">
        <f aca="false">IF(S56="","--",TEXT(S56,"mmmm"))</f>
        <v>January</v>
      </c>
      <c r="U56" s="13" t="n">
        <v>6</v>
      </c>
      <c r="V56" s="14" t="n">
        <f aca="false">IFERROR(U56/6,"--")</f>
        <v>1</v>
      </c>
      <c r="W56" s="15" t="n">
        <v>2</v>
      </c>
      <c r="X56" s="15" t="n">
        <v>2</v>
      </c>
      <c r="Y56" s="15"/>
      <c r="Z56" s="15"/>
      <c r="AA56" s="15"/>
      <c r="AB56" s="15"/>
      <c r="AC56" s="15"/>
      <c r="AD56" s="15"/>
      <c r="AE56" s="15"/>
      <c r="AF56" s="14" t="n">
        <f aca="false">IFERROR(AE56/W56,"--")</f>
        <v>0</v>
      </c>
      <c r="AG56" s="15"/>
      <c r="AH56" s="15"/>
      <c r="AI56" s="10"/>
      <c r="AJ56" s="10"/>
    </row>
    <row r="57" customFormat="false" ht="13.8" hidden="false" customHeight="false" outlineLevel="0" collapsed="false">
      <c r="A57" s="9" t="str">
        <f aca="false">IFERROR(_xlfn.CONCAT(LEFT(B57,2),"_",C57,"_",D57,"_",DAY(S57),"_",T57),"--")</f>
        <v>Az_Je découvre Planner/To Do / Viva Engage__18_March</v>
      </c>
      <c r="B57" s="10" t="s">
        <v>75</v>
      </c>
      <c r="C57" s="24" t="s">
        <v>153</v>
      </c>
      <c r="D57" s="10"/>
      <c r="E57" s="11" t="s">
        <v>154</v>
      </c>
      <c r="F57" s="10" t="str">
        <f aca="false">IFERROR(INDEX('[1]Programme d''accompagnement'!B$1:B$1048576,MATCH(E57,'[1]Programme d''accompagnement'!D$1:D$1048576,0)),"--")</f>
        <v>--_Orange Collaborative_Az</v>
      </c>
      <c r="G57" s="15"/>
      <c r="H57" s="15"/>
      <c r="I57" s="15"/>
      <c r="J57" s="10" t="s">
        <v>147</v>
      </c>
      <c r="K57" s="10" t="s">
        <v>40</v>
      </c>
      <c r="L57" s="10" t="s">
        <v>41</v>
      </c>
      <c r="M57" s="10" t="s">
        <v>81</v>
      </c>
      <c r="N57" s="24" t="s">
        <v>152</v>
      </c>
      <c r="O57" s="15" t="s">
        <v>58</v>
      </c>
      <c r="P57" s="15" t="s">
        <v>45</v>
      </c>
      <c r="Q57" s="15" t="s">
        <v>58</v>
      </c>
      <c r="R57" s="15" t="s">
        <v>46</v>
      </c>
      <c r="S57" s="16" t="n">
        <v>45734</v>
      </c>
      <c r="T57" s="10" t="str">
        <f aca="false">IF(S57="","--",TEXT(S57,"mmmm"))</f>
        <v>March</v>
      </c>
      <c r="U57" s="13" t="n">
        <v>2</v>
      </c>
      <c r="V57" s="14" t="n">
        <f aca="false">IFERROR(U57/6,"--")</f>
        <v>0.333333333333333</v>
      </c>
      <c r="W57" s="15" t="n">
        <v>1</v>
      </c>
      <c r="X57" s="15" t="n">
        <v>1</v>
      </c>
      <c r="Y57" s="15"/>
      <c r="Z57" s="15"/>
      <c r="AA57" s="15"/>
      <c r="AB57" s="15"/>
      <c r="AC57" s="15"/>
      <c r="AD57" s="15"/>
      <c r="AE57" s="15"/>
      <c r="AF57" s="14" t="n">
        <f aca="false">IFERROR(AE57/W57,"--")</f>
        <v>0</v>
      </c>
      <c r="AG57" s="15"/>
      <c r="AH57" s="15"/>
      <c r="AI57" s="10"/>
      <c r="AJ57" s="10"/>
    </row>
    <row r="58" customFormat="false" ht="13.8" hidden="false" customHeight="false" outlineLevel="0" collapsed="false">
      <c r="A58" s="9" t="str">
        <f aca="false">IFERROR(_xlfn.CONCAT(LEFT(B58,2),"_",C58,"_",D58,"_",DAY(S58),"_",T58),"--")</f>
        <v>Az_J'installe le gestionnaire de mots de passe KeePass__26_February</v>
      </c>
      <c r="B58" s="10" t="s">
        <v>75</v>
      </c>
      <c r="C58" s="24" t="s">
        <v>155</v>
      </c>
      <c r="D58" s="10"/>
      <c r="E58" s="11"/>
      <c r="F58" s="10" t="str">
        <f aca="false">IFERROR(INDEX('[1]Programme d''accompagnement'!B$1:B$1048576,MATCH(E58,'[1]Programme d''accompagnement'!D$1:D$1048576,0)),"--")</f>
        <v>--</v>
      </c>
      <c r="G58" s="15"/>
      <c r="H58" s="15"/>
      <c r="I58" s="15"/>
      <c r="J58" s="10" t="s">
        <v>147</v>
      </c>
      <c r="K58" s="10" t="s">
        <v>40</v>
      </c>
      <c r="L58" s="10" t="s">
        <v>41</v>
      </c>
      <c r="M58" s="10" t="s">
        <v>81</v>
      </c>
      <c r="N58" s="24" t="s">
        <v>150</v>
      </c>
      <c r="O58" s="15" t="s">
        <v>58</v>
      </c>
      <c r="P58" s="15" t="s">
        <v>45</v>
      </c>
      <c r="Q58" s="15" t="s">
        <v>58</v>
      </c>
      <c r="R58" s="15" t="s">
        <v>46</v>
      </c>
      <c r="S58" s="16" t="n">
        <v>45714</v>
      </c>
      <c r="T58" s="10" t="str">
        <f aca="false">IF(S58="","--",TEXT(S58,"mmmm"))</f>
        <v>February</v>
      </c>
      <c r="U58" s="13" t="n">
        <v>1.5</v>
      </c>
      <c r="V58" s="14" t="n">
        <f aca="false">IFERROR(U58/6,"--")</f>
        <v>0.25</v>
      </c>
      <c r="W58" s="15" t="n">
        <v>2</v>
      </c>
      <c r="X58" s="15" t="n">
        <v>2</v>
      </c>
      <c r="Y58" s="15"/>
      <c r="Z58" s="15"/>
      <c r="AA58" s="15"/>
      <c r="AB58" s="15"/>
      <c r="AC58" s="15"/>
      <c r="AD58" s="15"/>
      <c r="AE58" s="15"/>
      <c r="AF58" s="14" t="n">
        <f aca="false">IFERROR(AE58/W58,"--")</f>
        <v>0</v>
      </c>
      <c r="AG58" s="15"/>
      <c r="AH58" s="15"/>
      <c r="AI58" s="10"/>
      <c r="AJ58" s="10"/>
    </row>
    <row r="59" customFormat="false" ht="13.8" hidden="false" customHeight="false" outlineLevel="0" collapsed="false">
      <c r="A59" s="9" t="str">
        <f aca="false">IFERROR(_xlfn.CONCAT(LEFT(B59,2),"_",C59,"_",D59,"_",DAY(S59),"_",T59),"--")</f>
        <v>Az_Microsoft 365 :  je m'exerce sur Teams en toute sécurité__14_March</v>
      </c>
      <c r="B59" s="10" t="s">
        <v>75</v>
      </c>
      <c r="C59" s="24" t="s">
        <v>156</v>
      </c>
      <c r="D59" s="10"/>
      <c r="E59" s="11" t="s">
        <v>154</v>
      </c>
      <c r="F59" s="10" t="str">
        <f aca="false">IFERROR(INDEX('[1]Programme d''accompagnement'!B$1:B$1048576,MATCH(E59,'[1]Programme d''accompagnement'!D$1:D$1048576,0)),"--")</f>
        <v>--_Orange Collaborative_Az</v>
      </c>
      <c r="G59" s="15"/>
      <c r="H59" s="15"/>
      <c r="I59" s="15"/>
      <c r="J59" s="10" t="s">
        <v>147</v>
      </c>
      <c r="K59" s="10" t="s">
        <v>40</v>
      </c>
      <c r="L59" s="10" t="s">
        <v>41</v>
      </c>
      <c r="M59" s="10" t="s">
        <v>81</v>
      </c>
      <c r="N59" s="24" t="s">
        <v>150</v>
      </c>
      <c r="O59" s="15" t="s">
        <v>58</v>
      </c>
      <c r="P59" s="15" t="s">
        <v>45</v>
      </c>
      <c r="Q59" s="15" t="s">
        <v>58</v>
      </c>
      <c r="R59" s="15" t="s">
        <v>46</v>
      </c>
      <c r="S59" s="16" t="n">
        <v>45730</v>
      </c>
      <c r="T59" s="10" t="str">
        <f aca="false">IF(S59="","--",TEXT(S59,"mmmm"))</f>
        <v>March</v>
      </c>
      <c r="U59" s="13" t="n">
        <v>1</v>
      </c>
      <c r="V59" s="14" t="n">
        <f aca="false">IFERROR(U59/6,"--")</f>
        <v>0.166666666666667</v>
      </c>
      <c r="W59" s="15" t="n">
        <v>1</v>
      </c>
      <c r="X59" s="15" t="n">
        <v>1</v>
      </c>
      <c r="Y59" s="15"/>
      <c r="Z59" s="15"/>
      <c r="AA59" s="15"/>
      <c r="AB59" s="15"/>
      <c r="AC59" s="15"/>
      <c r="AD59" s="15"/>
      <c r="AE59" s="15"/>
      <c r="AF59" s="14" t="n">
        <f aca="false">IFERROR(AE59/W59,"--")</f>
        <v>0</v>
      </c>
      <c r="AG59" s="15"/>
      <c r="AH59" s="15"/>
      <c r="AI59" s="10"/>
      <c r="AJ59" s="10"/>
    </row>
    <row r="60" customFormat="false" ht="13.8" hidden="false" customHeight="false" outlineLevel="0" collapsed="false">
      <c r="A60" s="9" t="str">
        <f aca="false">IFERROR(_xlfn.CONCAT(LEFT(B60,2),"_",C60,"_",D60,"_",DAY(S60),"_",T60),"--")</f>
        <v>Az_VISA MANDATORY 2025: Cyber __24_March</v>
      </c>
      <c r="B60" s="10" t="s">
        <v>75</v>
      </c>
      <c r="C60" s="15" t="s">
        <v>157</v>
      </c>
      <c r="D60" s="10"/>
      <c r="E60" s="11"/>
      <c r="F60" s="10" t="str">
        <f aca="false">IFERROR(INDEX('[1]Programme d''accompagnement'!B$1:B$1048576,MATCH(E60,'[1]Programme d''accompagnement'!D$1:D$1048576,0)),"--")</f>
        <v>--</v>
      </c>
      <c r="G60" s="15"/>
      <c r="H60" s="15"/>
      <c r="I60" s="15"/>
      <c r="J60" s="10" t="s">
        <v>78</v>
      </c>
      <c r="K60" s="10" t="s">
        <v>40</v>
      </c>
      <c r="L60" s="10" t="s">
        <v>41</v>
      </c>
      <c r="M60" s="10" t="s">
        <v>81</v>
      </c>
      <c r="N60" s="15" t="s">
        <v>158</v>
      </c>
      <c r="O60" s="15" t="s">
        <v>58</v>
      </c>
      <c r="P60" s="15" t="s">
        <v>45</v>
      </c>
      <c r="Q60" s="15" t="s">
        <v>58</v>
      </c>
      <c r="R60" s="15" t="s">
        <v>46</v>
      </c>
      <c r="S60" s="16" t="n">
        <v>45740</v>
      </c>
      <c r="T60" s="10" t="str">
        <f aca="false">IF(S60="","--",TEXT(S60,"mmmm"))</f>
        <v>March</v>
      </c>
      <c r="U60" s="13" t="n">
        <v>1</v>
      </c>
      <c r="V60" s="14" t="n">
        <f aca="false">IFERROR(U60/6,"--")</f>
        <v>0.166666666666667</v>
      </c>
      <c r="W60" s="15" t="n">
        <v>17</v>
      </c>
      <c r="X60" s="15" t="n">
        <v>17</v>
      </c>
      <c r="Y60" s="15"/>
      <c r="Z60" s="15"/>
      <c r="AA60" s="15"/>
      <c r="AB60" s="15"/>
      <c r="AC60" s="15"/>
      <c r="AD60" s="15"/>
      <c r="AE60" s="15"/>
      <c r="AF60" s="14" t="n">
        <f aca="false">IFERROR(AE60/W60,"--")</f>
        <v>0</v>
      </c>
      <c r="AG60" s="15"/>
      <c r="AH60" s="15"/>
      <c r="AI60" s="10"/>
      <c r="AJ60" s="10"/>
    </row>
    <row r="61" customFormat="false" ht="13.8" hidden="false" customHeight="false" outlineLevel="0" collapsed="false">
      <c r="A61" s="9" t="str">
        <f aca="false">IFERROR(_xlfn.CONCAT(LEFT(B61,2),"_",C61,"_",D61,"_",DAY(S61),"_",T61),"--")</f>
        <v>Az_VISA MANDATORY 2025: Ethique des affaires : prendre la bonne décision__24_March</v>
      </c>
      <c r="B61" s="10" t="s">
        <v>75</v>
      </c>
      <c r="C61" s="15" t="s">
        <v>159</v>
      </c>
      <c r="D61" s="10"/>
      <c r="E61" s="11"/>
      <c r="F61" s="10" t="str">
        <f aca="false">IFERROR(INDEX('[1]Programme d''accompagnement'!B$1:B$1048576,MATCH(E61,'[1]Programme d''accompagnement'!D$1:D$1048576,0)),"--")</f>
        <v>--</v>
      </c>
      <c r="G61" s="15"/>
      <c r="H61" s="15"/>
      <c r="I61" s="15"/>
      <c r="J61" s="10" t="s">
        <v>78</v>
      </c>
      <c r="K61" s="10" t="s">
        <v>40</v>
      </c>
      <c r="L61" s="10" t="s">
        <v>41</v>
      </c>
      <c r="M61" s="10" t="s">
        <v>81</v>
      </c>
      <c r="N61" s="15" t="s">
        <v>158</v>
      </c>
      <c r="O61" s="15" t="s">
        <v>58</v>
      </c>
      <c r="P61" s="15" t="s">
        <v>45</v>
      </c>
      <c r="Q61" s="15" t="s">
        <v>58</v>
      </c>
      <c r="R61" s="15" t="s">
        <v>46</v>
      </c>
      <c r="S61" s="16" t="n">
        <v>45740</v>
      </c>
      <c r="T61" s="10" t="str">
        <f aca="false">IF(S61="","--",TEXT(S61,"mmmm"))</f>
        <v>March</v>
      </c>
      <c r="U61" s="13" t="n">
        <v>0.33</v>
      </c>
      <c r="V61" s="14" t="n">
        <f aca="false">IFERROR(U61/6,"--")</f>
        <v>0.055</v>
      </c>
      <c r="W61" s="15" t="n">
        <v>14</v>
      </c>
      <c r="X61" s="15" t="n">
        <v>14</v>
      </c>
      <c r="Y61" s="15"/>
      <c r="Z61" s="15"/>
      <c r="AA61" s="15"/>
      <c r="AB61" s="15"/>
      <c r="AC61" s="15"/>
      <c r="AD61" s="15"/>
      <c r="AE61" s="15"/>
      <c r="AF61" s="14" t="n">
        <f aca="false">IFERROR(AE61/W61,"--")</f>
        <v>0</v>
      </c>
      <c r="AG61" s="15"/>
      <c r="AH61" s="15"/>
      <c r="AI61" s="10"/>
      <c r="AJ61" s="10"/>
    </row>
    <row r="62" customFormat="false" ht="13.8" hidden="false" customHeight="false" outlineLevel="0" collapsed="false">
      <c r="A62" s="9" t="str">
        <f aca="false">IFERROR(_xlfn.CONCAT(LEFT(B62,2),"_",C62,"_",D62,"_",DAY(S62),"_",T62),"--")</f>
        <v>Az_Appretissage Digital_Udemy_Mohamed Rahal_032025__3_March</v>
      </c>
      <c r="B62" s="10" t="s">
        <v>75</v>
      </c>
      <c r="C62" s="15" t="s">
        <v>160</v>
      </c>
      <c r="D62" s="10"/>
      <c r="E62" s="11"/>
      <c r="F62" s="10" t="str">
        <f aca="false">IFERROR(INDEX('[1]Programme d''accompagnement'!B$1:B$1048576,MATCH(E62,'[1]Programme d''accompagnement'!D$1:D$1048576,0)),"--")</f>
        <v>--</v>
      </c>
      <c r="G62" s="15"/>
      <c r="H62" s="15"/>
      <c r="I62" s="15"/>
      <c r="J62" s="10" t="s">
        <v>78</v>
      </c>
      <c r="K62" s="10" t="s">
        <v>40</v>
      </c>
      <c r="L62" s="10" t="s">
        <v>41</v>
      </c>
      <c r="M62" s="10" t="s">
        <v>81</v>
      </c>
      <c r="N62" s="15" t="s">
        <v>161</v>
      </c>
      <c r="O62" s="15" t="s">
        <v>58</v>
      </c>
      <c r="P62" s="15" t="s">
        <v>45</v>
      </c>
      <c r="Q62" s="15" t="s">
        <v>58</v>
      </c>
      <c r="R62" s="15" t="s">
        <v>46</v>
      </c>
      <c r="S62" s="16" t="n">
        <v>45719</v>
      </c>
      <c r="T62" s="10" t="str">
        <f aca="false">IF(S62="","--",TEXT(S62,"mmmm"))</f>
        <v>March</v>
      </c>
      <c r="U62" s="13" t="n">
        <v>8.71</v>
      </c>
      <c r="V62" s="14" t="n">
        <f aca="false">IFERROR(U62/6,"--")</f>
        <v>1.45166666666667</v>
      </c>
      <c r="W62" s="15" t="n">
        <v>1</v>
      </c>
      <c r="X62" s="15" t="n">
        <v>1</v>
      </c>
      <c r="Y62" s="15"/>
      <c r="Z62" s="15"/>
      <c r="AA62" s="15"/>
      <c r="AB62" s="15"/>
      <c r="AC62" s="15"/>
      <c r="AD62" s="15"/>
      <c r="AE62" s="15"/>
      <c r="AF62" s="14" t="n">
        <f aca="false">IFERROR(AE62/W62,"--")</f>
        <v>0</v>
      </c>
      <c r="AG62" s="15"/>
      <c r="AH62" s="15"/>
      <c r="AI62" s="10"/>
      <c r="AJ62" s="10"/>
    </row>
    <row r="63" customFormat="false" ht="13.8" hidden="false" customHeight="false" outlineLevel="0" collapsed="false">
      <c r="A63" s="9" t="str">
        <f aca="false">IFERROR(_xlfn.CONCAT(LEFT(B63,2),"_",C63,"_",D63,"_",DAY(S63),"_",T63),"--")</f>
        <v>Az_Appretissage Digital_Udemy_Ahmed Zeiri_032025__3_March</v>
      </c>
      <c r="B63" s="10" t="s">
        <v>75</v>
      </c>
      <c r="C63" s="15" t="s">
        <v>162</v>
      </c>
      <c r="D63" s="10"/>
      <c r="E63" s="11"/>
      <c r="F63" s="10" t="str">
        <f aca="false">IFERROR(INDEX('[1]Programme d''accompagnement'!B$1:B$1048576,MATCH(E63,'[1]Programme d''accompagnement'!D$1:D$1048576,0)),"--")</f>
        <v>--</v>
      </c>
      <c r="G63" s="15"/>
      <c r="H63" s="15"/>
      <c r="I63" s="15"/>
      <c r="J63" s="10" t="s">
        <v>78</v>
      </c>
      <c r="K63" s="10" t="s">
        <v>40</v>
      </c>
      <c r="L63" s="10" t="s">
        <v>41</v>
      </c>
      <c r="M63" s="10" t="s">
        <v>81</v>
      </c>
      <c r="N63" s="15" t="s">
        <v>161</v>
      </c>
      <c r="O63" s="15" t="s">
        <v>58</v>
      </c>
      <c r="P63" s="15" t="s">
        <v>45</v>
      </c>
      <c r="Q63" s="15" t="s">
        <v>58</v>
      </c>
      <c r="R63" s="15" t="s">
        <v>46</v>
      </c>
      <c r="S63" s="16" t="n">
        <v>45719</v>
      </c>
      <c r="T63" s="10" t="str">
        <f aca="false">IF(S63="","--",TEXT(S63,"mmmm"))</f>
        <v>March</v>
      </c>
      <c r="U63" s="13" t="n">
        <v>7</v>
      </c>
      <c r="V63" s="14" t="n">
        <f aca="false">IFERROR(U63/6,"--")</f>
        <v>1.16666666666667</v>
      </c>
      <c r="W63" s="15" t="n">
        <v>1</v>
      </c>
      <c r="X63" s="15" t="n">
        <v>1</v>
      </c>
      <c r="Y63" s="15"/>
      <c r="Z63" s="15"/>
      <c r="AA63" s="15"/>
      <c r="AB63" s="15"/>
      <c r="AC63" s="15"/>
      <c r="AD63" s="15"/>
      <c r="AE63" s="15"/>
      <c r="AF63" s="14" t="n">
        <f aca="false">IFERROR(AE63/W63,"--")</f>
        <v>0</v>
      </c>
      <c r="AG63" s="15"/>
      <c r="AH63" s="15"/>
      <c r="AI63" s="10"/>
      <c r="AJ63" s="10"/>
    </row>
    <row r="64" customFormat="false" ht="13.8" hidden="false" customHeight="false" outlineLevel="0" collapsed="false">
      <c r="A64" s="9" t="str">
        <f aca="false">IFERROR(_xlfn.CONCAT(LEFT(B64,2),"_",C64,"_",D64,"_",DAY(S64),"_",T64),"--")</f>
        <v>Az_Appretissage Digital_Udemy_Aymen Mejri_032025__3_March</v>
      </c>
      <c r="B64" s="10" t="s">
        <v>75</v>
      </c>
      <c r="C64" s="15" t="s">
        <v>163</v>
      </c>
      <c r="D64" s="10"/>
      <c r="E64" s="11"/>
      <c r="F64" s="10" t="str">
        <f aca="false">IFERROR(INDEX('[1]Programme d''accompagnement'!B$1:B$1048576,MATCH(E64,'[1]Programme d''accompagnement'!D$1:D$1048576,0)),"--")</f>
        <v>--</v>
      </c>
      <c r="G64" s="15"/>
      <c r="H64" s="15"/>
      <c r="I64" s="15"/>
      <c r="J64" s="10" t="s">
        <v>78</v>
      </c>
      <c r="K64" s="10" t="s">
        <v>40</v>
      </c>
      <c r="L64" s="10" t="s">
        <v>41</v>
      </c>
      <c r="M64" s="10" t="s">
        <v>81</v>
      </c>
      <c r="N64" s="15" t="s">
        <v>161</v>
      </c>
      <c r="O64" s="15" t="s">
        <v>58</v>
      </c>
      <c r="P64" s="15" t="s">
        <v>45</v>
      </c>
      <c r="Q64" s="15" t="s">
        <v>58</v>
      </c>
      <c r="R64" s="15" t="s">
        <v>46</v>
      </c>
      <c r="S64" s="16" t="n">
        <v>45719</v>
      </c>
      <c r="T64" s="10" t="str">
        <f aca="false">IF(S64="","--",TEXT(S64,"mmmm"))</f>
        <v>March</v>
      </c>
      <c r="U64" s="13" t="n">
        <v>1.5</v>
      </c>
      <c r="V64" s="14" t="n">
        <f aca="false">IFERROR(U64/6,"--")</f>
        <v>0.25</v>
      </c>
      <c r="W64" s="15" t="n">
        <v>1</v>
      </c>
      <c r="X64" s="15" t="n">
        <v>1</v>
      </c>
      <c r="Y64" s="15"/>
      <c r="Z64" s="15"/>
      <c r="AA64" s="15"/>
      <c r="AB64" s="15"/>
      <c r="AC64" s="15"/>
      <c r="AD64" s="15"/>
      <c r="AE64" s="15"/>
      <c r="AF64" s="14" t="n">
        <f aca="false">IFERROR(AE64/W64,"--")</f>
        <v>0</v>
      </c>
      <c r="AG64" s="15"/>
      <c r="AH64" s="15"/>
      <c r="AI64" s="10"/>
      <c r="AJ64" s="10"/>
    </row>
    <row r="65" customFormat="false" ht="13.8" hidden="false" customHeight="false" outlineLevel="0" collapsed="false">
      <c r="A65" s="9" t="str">
        <f aca="false">IFERROR(_xlfn.CONCAT(LEFT(B65,2),"_",C65,"_",D65,"_",DAY(S65),"_",T65),"--")</f>
        <v>Az_Appretissage Digital_Udemy_Anis Sanssa_032025__3_March</v>
      </c>
      <c r="B65" s="10" t="s">
        <v>75</v>
      </c>
      <c r="C65" s="15" t="s">
        <v>164</v>
      </c>
      <c r="D65" s="10"/>
      <c r="E65" s="11"/>
      <c r="F65" s="10" t="str">
        <f aca="false">IFERROR(INDEX('[1]Programme d''accompagnement'!B$1:B$1048576,MATCH(E65,'[1]Programme d''accompagnement'!D$1:D$1048576,0)),"--")</f>
        <v>--</v>
      </c>
      <c r="G65" s="15"/>
      <c r="H65" s="15"/>
      <c r="I65" s="15"/>
      <c r="J65" s="10" t="s">
        <v>78</v>
      </c>
      <c r="K65" s="10" t="s">
        <v>40</v>
      </c>
      <c r="L65" s="10" t="s">
        <v>41</v>
      </c>
      <c r="M65" s="10" t="s">
        <v>81</v>
      </c>
      <c r="N65" s="15" t="s">
        <v>161</v>
      </c>
      <c r="O65" s="15" t="s">
        <v>58</v>
      </c>
      <c r="P65" s="15" t="s">
        <v>45</v>
      </c>
      <c r="Q65" s="15" t="s">
        <v>58</v>
      </c>
      <c r="R65" s="15" t="s">
        <v>46</v>
      </c>
      <c r="S65" s="16" t="n">
        <v>45719</v>
      </c>
      <c r="T65" s="10" t="str">
        <f aca="false">IF(S65="","--",TEXT(S65,"mmmm"))</f>
        <v>March</v>
      </c>
      <c r="U65" s="13" t="n">
        <v>2.5</v>
      </c>
      <c r="V65" s="14" t="n">
        <f aca="false">IFERROR(U65/6,"--")</f>
        <v>0.416666666666667</v>
      </c>
      <c r="W65" s="15" t="n">
        <v>1</v>
      </c>
      <c r="X65" s="15" t="n">
        <v>1</v>
      </c>
      <c r="Y65" s="15"/>
      <c r="Z65" s="15"/>
      <c r="AA65" s="15"/>
      <c r="AB65" s="15"/>
      <c r="AC65" s="15"/>
      <c r="AD65" s="15"/>
      <c r="AE65" s="15"/>
      <c r="AF65" s="14" t="n">
        <f aca="false">IFERROR(AE65/W65,"--")</f>
        <v>0</v>
      </c>
      <c r="AG65" s="15"/>
      <c r="AH65" s="15"/>
      <c r="AI65" s="10"/>
      <c r="AJ65" s="10"/>
    </row>
    <row r="66" customFormat="false" ht="13.8" hidden="false" customHeight="false" outlineLevel="0" collapsed="false">
      <c r="A66" s="9" t="str">
        <f aca="false">IFERROR(_xlfn.CONCAT(LEFT(B66,2),"_",C66,"_",D66,"_",DAY(S66),"_",T66),"--")</f>
        <v>Az_Appretissage Digital_Udemy_omar.abdelali_032025__3_March</v>
      </c>
      <c r="B66" s="10" t="s">
        <v>75</v>
      </c>
      <c r="C66" s="15" t="s">
        <v>165</v>
      </c>
      <c r="D66" s="10"/>
      <c r="E66" s="11"/>
      <c r="F66" s="10" t="str">
        <f aca="false">IFERROR(INDEX('[1]Programme d''accompagnement'!B$1:B$1048576,MATCH(E66,'[1]Programme d''accompagnement'!D$1:D$1048576,0)),"--")</f>
        <v>--</v>
      </c>
      <c r="G66" s="15"/>
      <c r="H66" s="15"/>
      <c r="I66" s="15"/>
      <c r="J66" s="10" t="s">
        <v>78</v>
      </c>
      <c r="K66" s="10" t="s">
        <v>40</v>
      </c>
      <c r="L66" s="10" t="s">
        <v>41</v>
      </c>
      <c r="M66" s="10" t="s">
        <v>81</v>
      </c>
      <c r="N66" s="15" t="s">
        <v>161</v>
      </c>
      <c r="O66" s="15" t="s">
        <v>58</v>
      </c>
      <c r="P66" s="15" t="s">
        <v>45</v>
      </c>
      <c r="Q66" s="15" t="s">
        <v>58</v>
      </c>
      <c r="R66" s="15" t="s">
        <v>46</v>
      </c>
      <c r="S66" s="16" t="n">
        <v>45719</v>
      </c>
      <c r="T66" s="10" t="str">
        <f aca="false">IF(S66="","--",TEXT(S66,"mmmm"))</f>
        <v>March</v>
      </c>
      <c r="U66" s="13" t="n">
        <v>21</v>
      </c>
      <c r="V66" s="14" t="n">
        <f aca="false">IFERROR(U66/6,"--")</f>
        <v>3.5</v>
      </c>
      <c r="W66" s="15" t="n">
        <v>1</v>
      </c>
      <c r="X66" s="15" t="n">
        <v>1</v>
      </c>
      <c r="Y66" s="15"/>
      <c r="Z66" s="15"/>
      <c r="AA66" s="15"/>
      <c r="AB66" s="15"/>
      <c r="AC66" s="15"/>
      <c r="AD66" s="15"/>
      <c r="AE66" s="15"/>
      <c r="AF66" s="14" t="n">
        <f aca="false">IFERROR(AE66/W66,"--")</f>
        <v>0</v>
      </c>
      <c r="AG66" s="15"/>
      <c r="AH66" s="15"/>
      <c r="AI66" s="10"/>
      <c r="AJ66" s="10"/>
    </row>
    <row r="67" customFormat="false" ht="13.8" hidden="false" customHeight="false" outlineLevel="0" collapsed="false">
      <c r="A67" s="9" t="str">
        <f aca="false">IFERROR(_xlfn.CONCAT(LEFT(B67,2),"_",C67,"_",D67,"_",DAY(S67),"_",T67),"--")</f>
        <v>Ra_UDM: Signalisation_Session 1_24_March</v>
      </c>
      <c r="B67" s="10" t="s">
        <v>36</v>
      </c>
      <c r="C67" s="15" t="s">
        <v>74</v>
      </c>
      <c r="D67" s="10" t="s">
        <v>38</v>
      </c>
      <c r="E67" s="11"/>
      <c r="F67" s="10" t="str">
        <f aca="false">IFERROR(INDEX('[1]Programme d''accompagnement'!B$1:B$1048576,MATCH(E67,'[1]Programme d''accompagnement'!D$1:D$1048576,0)),"--")</f>
        <v>--</v>
      </c>
      <c r="G67" s="15"/>
      <c r="H67" s="15"/>
      <c r="I67" s="15"/>
      <c r="J67" s="10" t="s">
        <v>39</v>
      </c>
      <c r="K67" s="10" t="s">
        <v>40</v>
      </c>
      <c r="L67" s="10" t="s">
        <v>41</v>
      </c>
      <c r="M67" s="10" t="s">
        <v>81</v>
      </c>
      <c r="N67" s="15" t="s">
        <v>64</v>
      </c>
      <c r="O67" s="15" t="s">
        <v>58</v>
      </c>
      <c r="P67" s="15" t="s">
        <v>59</v>
      </c>
      <c r="Q67" s="15" t="s">
        <v>58</v>
      </c>
      <c r="R67" s="15" t="s">
        <v>46</v>
      </c>
      <c r="S67" s="16" t="n">
        <v>45740</v>
      </c>
      <c r="T67" s="10" t="str">
        <f aca="false">IF(S67="","--",TEXT(S67,"mmmm"))</f>
        <v>March</v>
      </c>
      <c r="U67" s="13" t="n">
        <v>30</v>
      </c>
      <c r="V67" s="14" t="n">
        <f aca="false">IFERROR(U67/6,"--")</f>
        <v>5</v>
      </c>
      <c r="W67" s="15" t="n">
        <v>16</v>
      </c>
      <c r="X67" s="15" t="n">
        <v>13</v>
      </c>
      <c r="Y67" s="15"/>
      <c r="Z67" s="15"/>
      <c r="AA67" s="15"/>
      <c r="AB67" s="15"/>
      <c r="AC67" s="15"/>
      <c r="AD67" s="15"/>
      <c r="AE67" s="15"/>
      <c r="AF67" s="14" t="n">
        <f aca="false">IFERROR(AE67/W67,"--")</f>
        <v>0</v>
      </c>
      <c r="AG67" s="15"/>
      <c r="AH67" s="15"/>
      <c r="AI67" s="10"/>
      <c r="AJ67" s="10"/>
    </row>
    <row r="68" customFormat="false" ht="13.8" hidden="false" customHeight="false" outlineLevel="0" collapsed="false">
      <c r="A68" s="9" t="str">
        <f aca="false">IFERROR(_xlfn.CONCAT(LEFT(B68,2),"_",C68,"_",D68,"_",DAY(S68),"_",T68),"--")</f>
        <v>Az_#LW: La Roue des compétences Soft Skills_Session 1_14_April</v>
      </c>
      <c r="B68" s="10" t="s">
        <v>75</v>
      </c>
      <c r="C68" s="15" t="s">
        <v>166</v>
      </c>
      <c r="D68" s="10" t="s">
        <v>38</v>
      </c>
      <c r="E68" s="11" t="s">
        <v>167</v>
      </c>
      <c r="F68" s="10" t="str">
        <f aca="false">IFERROR(INDEX('[1]Programme d''accompagnement'!B$1:B$1048576,MATCH(E68,'[1]Programme d''accompagnement'!D$1:D$1048576,0)),"--")</f>
        <v>2025_Learning Week OMEA_Az</v>
      </c>
      <c r="G68" s="15"/>
      <c r="H68" s="15"/>
      <c r="I68" s="15"/>
      <c r="J68" s="10" t="s">
        <v>39</v>
      </c>
      <c r="K68" s="10" t="s">
        <v>40</v>
      </c>
      <c r="L68" s="10" t="s">
        <v>80</v>
      </c>
      <c r="M68" s="10" t="s">
        <v>108</v>
      </c>
      <c r="N68" s="15" t="s">
        <v>109</v>
      </c>
      <c r="O68" s="15" t="s">
        <v>58</v>
      </c>
      <c r="P68" s="15" t="s">
        <v>45</v>
      </c>
      <c r="Q68" s="15" t="s">
        <v>58</v>
      </c>
      <c r="R68" s="15" t="s">
        <v>46</v>
      </c>
      <c r="S68" s="16" t="n">
        <v>45761</v>
      </c>
      <c r="T68" s="10" t="str">
        <f aca="false">IF(S68="","--",TEXT(S68,"mmmm"))</f>
        <v>April</v>
      </c>
      <c r="U68" s="13" t="n">
        <v>3</v>
      </c>
      <c r="V68" s="14" t="n">
        <f aca="false">IFERROR(U68/6,"--")</f>
        <v>0.5</v>
      </c>
      <c r="W68" s="15"/>
      <c r="X68" s="15" t="n">
        <v>7</v>
      </c>
      <c r="Y68" s="15"/>
      <c r="Z68" s="15" t="s">
        <v>60</v>
      </c>
      <c r="AA68" s="15"/>
      <c r="AB68" s="15"/>
      <c r="AC68" s="15"/>
      <c r="AD68" s="15"/>
      <c r="AE68" s="15"/>
      <c r="AF68" s="14" t="str">
        <f aca="false">IFERROR(AE68/W68,"--")</f>
        <v>--</v>
      </c>
      <c r="AG68" s="15"/>
      <c r="AH68" s="15"/>
      <c r="AI68" s="10"/>
      <c r="AJ68" s="10" t="s">
        <v>168</v>
      </c>
    </row>
    <row r="69" customFormat="false" ht="13.8" hidden="false" customHeight="false" outlineLevel="0" collapsed="false">
      <c r="A69" s="9" t="str">
        <f aca="false">IFERROR(_xlfn.CONCAT(LEFT(B69,2),"_",C69,"_",D69,"_",DAY(S69),"_",T69),"--")</f>
        <v>Az_#LW: La Roue des compétences Soft Skills_Session 2_14_April</v>
      </c>
      <c r="B69" s="10" t="s">
        <v>75</v>
      </c>
      <c r="C69" s="15" t="s">
        <v>166</v>
      </c>
      <c r="D69" s="10" t="s">
        <v>62</v>
      </c>
      <c r="E69" s="11" t="s">
        <v>167</v>
      </c>
      <c r="F69" s="10" t="str">
        <f aca="false">IFERROR(INDEX('[1]Programme d''accompagnement'!B$1:B$1048576,MATCH(E69,'[1]Programme d''accompagnement'!D$1:D$1048576,0)),"--")</f>
        <v>2025_Learning Week OMEA_Az</v>
      </c>
      <c r="G69" s="15"/>
      <c r="H69" s="15"/>
      <c r="I69" s="15"/>
      <c r="J69" s="10" t="s">
        <v>39</v>
      </c>
      <c r="K69" s="10" t="s">
        <v>40</v>
      </c>
      <c r="L69" s="10" t="s">
        <v>80</v>
      </c>
      <c r="M69" s="10" t="s">
        <v>108</v>
      </c>
      <c r="N69" s="15" t="s">
        <v>109</v>
      </c>
      <c r="O69" s="15" t="s">
        <v>58</v>
      </c>
      <c r="P69" s="15" t="s">
        <v>45</v>
      </c>
      <c r="Q69" s="15" t="s">
        <v>58</v>
      </c>
      <c r="R69" s="15" t="s">
        <v>46</v>
      </c>
      <c r="S69" s="16" t="n">
        <v>45761</v>
      </c>
      <c r="T69" s="10" t="str">
        <f aca="false">IF(S69="","--",TEXT(S69,"mmmm"))</f>
        <v>April</v>
      </c>
      <c r="U69" s="13" t="n">
        <v>3</v>
      </c>
      <c r="V69" s="14" t="n">
        <f aca="false">IFERROR(U69/6,"--")</f>
        <v>0.5</v>
      </c>
      <c r="W69" s="15"/>
      <c r="X69" s="15" t="n">
        <v>8</v>
      </c>
      <c r="Y69" s="15"/>
      <c r="Z69" s="15" t="s">
        <v>60</v>
      </c>
      <c r="AA69" s="15"/>
      <c r="AB69" s="15"/>
      <c r="AC69" s="15"/>
      <c r="AD69" s="15"/>
      <c r="AE69" s="15"/>
      <c r="AF69" s="14" t="str">
        <f aca="false">IFERROR(AE69/W69,"--")</f>
        <v>--</v>
      </c>
      <c r="AG69" s="15"/>
      <c r="AH69" s="15"/>
      <c r="AI69" s="10"/>
      <c r="AJ69" s="10" t="s">
        <v>169</v>
      </c>
    </row>
    <row r="70" customFormat="false" ht="13.8" hidden="false" customHeight="false" outlineLevel="0" collapsed="false">
      <c r="A70" s="9" t="str">
        <f aca="false">IFERROR(_xlfn.CONCAT(LEFT(B70,2),"_",C70,"_",D70,"_",DAY(S70),"_",T70),"--")</f>
        <v>Az_5G **Equipes **IT**__24_April</v>
      </c>
      <c r="B70" s="10" t="s">
        <v>75</v>
      </c>
      <c r="C70" s="15" t="s">
        <v>106</v>
      </c>
      <c r="D70" s="10"/>
      <c r="E70" s="11" t="s">
        <v>107</v>
      </c>
      <c r="F70" s="10" t="str">
        <f aca="false">IFERROR(INDEX('[1]Programme d''accompagnement'!B$1:B$1048576,MATCH(E70,'[1]Programme d''accompagnement'!D$1:D$1048576,0)),"--")</f>
        <v>2025_Déploiement 5G_Az</v>
      </c>
      <c r="G70" s="15"/>
      <c r="H70" s="15"/>
      <c r="I70" s="15"/>
      <c r="J70" s="10" t="s">
        <v>39</v>
      </c>
      <c r="K70" s="10" t="s">
        <v>40</v>
      </c>
      <c r="L70" s="10" t="s">
        <v>80</v>
      </c>
      <c r="M70" s="10" t="s">
        <v>108</v>
      </c>
      <c r="N70" s="15" t="s">
        <v>109</v>
      </c>
      <c r="O70" s="15" t="s">
        <v>58</v>
      </c>
      <c r="P70" s="15" t="s">
        <v>45</v>
      </c>
      <c r="Q70" s="15" t="s">
        <v>44</v>
      </c>
      <c r="R70" s="15" t="s">
        <v>46</v>
      </c>
      <c r="S70" s="16" t="n">
        <v>45771</v>
      </c>
      <c r="T70" s="10" t="str">
        <f aca="false">IF(S70="","--",TEXT(S70,"mmmm"))</f>
        <v>April</v>
      </c>
      <c r="U70" s="13" t="n">
        <v>12</v>
      </c>
      <c r="V70" s="14" t="n">
        <f aca="false">IFERROR(U70/6,"--")</f>
        <v>2</v>
      </c>
      <c r="W70" s="15" t="n">
        <v>15</v>
      </c>
      <c r="X70" s="15" t="n">
        <v>6</v>
      </c>
      <c r="Y70" s="20" t="n">
        <f aca="false">9/15</f>
        <v>0.6</v>
      </c>
      <c r="Z70" s="15" t="s">
        <v>60</v>
      </c>
      <c r="AA70" s="15" t="s">
        <v>110</v>
      </c>
      <c r="AB70" s="15"/>
      <c r="AC70" s="15"/>
      <c r="AD70" s="15"/>
      <c r="AE70" s="15"/>
      <c r="AF70" s="14" t="n">
        <f aca="false">IFERROR(AE70/W70,"--")</f>
        <v>0</v>
      </c>
      <c r="AG70" s="15"/>
      <c r="AH70" s="15"/>
      <c r="AI70" s="10"/>
      <c r="AJ70" s="10" t="s">
        <v>114</v>
      </c>
    </row>
    <row r="71" customFormat="false" ht="13.8" hidden="false" customHeight="false" outlineLevel="0" collapsed="false">
      <c r="A71" s="9" t="str">
        <f aca="false">IFERROR(_xlfn.CONCAT(LEFT(B71,2),"_",C71,"_",D71,"_",DAY(S71),"_",T71),"--")</f>
        <v>Az_#LW: La Roue des compétences Soft Skills_Session 3_14_April</v>
      </c>
      <c r="B71" s="10" t="s">
        <v>75</v>
      </c>
      <c r="C71" s="15" t="s">
        <v>166</v>
      </c>
      <c r="D71" s="10" t="s">
        <v>105</v>
      </c>
      <c r="E71" s="11" t="s">
        <v>167</v>
      </c>
      <c r="F71" s="10" t="str">
        <f aca="false">IFERROR(INDEX('[1]Programme d''accompagnement'!B$1:B$1048576,MATCH(E71,'[1]Programme d''accompagnement'!D$1:D$1048576,0)),"--")</f>
        <v>2025_Learning Week OMEA_Az</v>
      </c>
      <c r="G71" s="15"/>
      <c r="H71" s="15"/>
      <c r="I71" s="15"/>
      <c r="J71" s="10" t="s">
        <v>39</v>
      </c>
      <c r="K71" s="10" t="s">
        <v>40</v>
      </c>
      <c r="L71" s="10" t="s">
        <v>80</v>
      </c>
      <c r="M71" s="10" t="s">
        <v>108</v>
      </c>
      <c r="N71" s="15" t="s">
        <v>109</v>
      </c>
      <c r="O71" s="15" t="s">
        <v>58</v>
      </c>
      <c r="P71" s="15" t="s">
        <v>45</v>
      </c>
      <c r="Q71" s="15" t="s">
        <v>58</v>
      </c>
      <c r="R71" s="15" t="s">
        <v>46</v>
      </c>
      <c r="S71" s="16" t="n">
        <v>45761</v>
      </c>
      <c r="T71" s="10" t="str">
        <f aca="false">IF(S71="","--",TEXT(S71,"mmmm"))</f>
        <v>April</v>
      </c>
      <c r="U71" s="13" t="n">
        <v>3</v>
      </c>
      <c r="V71" s="14" t="n">
        <f aca="false">IFERROR(U71/6,"--")</f>
        <v>0.5</v>
      </c>
      <c r="W71" s="15" t="n">
        <v>15</v>
      </c>
      <c r="X71" s="15" t="n">
        <v>15</v>
      </c>
      <c r="Y71" s="15"/>
      <c r="Z71" s="15" t="s">
        <v>60</v>
      </c>
      <c r="AA71" s="15"/>
      <c r="AB71" s="15"/>
      <c r="AC71" s="15"/>
      <c r="AD71" s="15"/>
      <c r="AE71" s="15"/>
      <c r="AF71" s="14" t="n">
        <f aca="false">IFERROR(AE71/W71,"--")</f>
        <v>0</v>
      </c>
      <c r="AG71" s="15"/>
      <c r="AH71" s="15"/>
      <c r="AI71" s="10"/>
      <c r="AJ71" s="10"/>
    </row>
  </sheetData>
  <autoFilter ref="A1:AJ1"/>
  <dataValidations count="13">
    <dataValidation allowBlank="true" errorStyle="stop" operator="between" showDropDown="false" showErrorMessage="true" showInputMessage="true" sqref="B2:B71" type="list">
      <formula1>#REF!</formula1>
      <formula2>0</formula2>
    </dataValidation>
    <dataValidation allowBlank="true" errorStyle="stop" operator="between" showDropDown="false" showErrorMessage="true" showInputMessage="true" sqref="D2:D18 G17:I17 Y17 D19:D71" type="list">
      <formula1>#REF!</formula1>
      <formula2>0</formula2>
    </dataValidation>
    <dataValidation allowBlank="true" errorStyle="stop" operator="between" showDropDown="false" showErrorMessage="true" showInputMessage="true" sqref="E2:E71" type="list">
      <formula1>#NOM ?</formula1>
      <formula2>0</formula2>
    </dataValidation>
    <dataValidation allowBlank="true" errorStyle="stop" operator="between" showDropDown="false" showErrorMessage="true" showInputMessage="true" sqref="J2:J71" type="list">
      <formula1>#REF!</formula1>
      <formula2>0</formula2>
    </dataValidation>
    <dataValidation allowBlank="true" errorStyle="stop" operator="between" showDropDown="false" showErrorMessage="true" showInputMessage="true" sqref="K2:K71" type="list">
      <formula1>#REF!</formula1>
      <formula2>0</formula2>
    </dataValidation>
    <dataValidation allowBlank="true" errorStyle="stop" operator="between" showDropDown="false" showErrorMessage="true" showInputMessage="true" sqref="L2:L71" type="list">
      <formula1>#REF!</formula1>
      <formula2>0</formula2>
    </dataValidation>
    <dataValidation allowBlank="true" errorStyle="stop" operator="between" showDropDown="false" showErrorMessage="true" showInputMessage="true" sqref="M2:M71" type="list">
      <formula1>#REF!</formula1>
      <formula2>0</formula2>
    </dataValidation>
    <dataValidation allowBlank="true" errorStyle="stop" operator="between" showDropDown="false" showErrorMessage="true" showInputMessage="true" sqref="O2:O71" type="list">
      <formula1>#REF!</formula1>
      <formula2>0</formula2>
    </dataValidation>
    <dataValidation allowBlank="true" errorStyle="stop" operator="between" showDropDown="false" showErrorMessage="true" showInputMessage="true" sqref="P2:P71" type="list">
      <formula1>#REF!</formula1>
      <formula2>0</formula2>
    </dataValidation>
    <dataValidation allowBlank="true" errorStyle="stop" operator="between" showDropDown="false" showErrorMessage="true" showInputMessage="true" sqref="Q2:Q71" type="list">
      <formula1>#REF!</formula1>
      <formula2>0</formula2>
    </dataValidation>
    <dataValidation allowBlank="true" errorStyle="stop" operator="between" showDropDown="false" showErrorMessage="true" showInputMessage="true" sqref="R2:R71" type="list">
      <formula1>#REF!</formula1>
      <formula2>0</formula2>
    </dataValidation>
    <dataValidation allowBlank="true" errorStyle="stop" operator="between" showDropDown="false" showErrorMessage="true" showInputMessage="true" sqref="Z2:Z71" type="list">
      <formula1>#REF!</formula1>
      <formula2>0</formula2>
    </dataValidation>
    <dataValidation allowBlank="true" errorStyle="stop" operator="between" showDropDown="false" showErrorMessage="true" showInputMessage="true" sqref="AA2:AA71" type="list">
      <formula1>#REF!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LibreOffice/24.2.5.2$Windows_X86_64 LibreOffice_project/bffef4ea93e59bebbeaf7f431bb02b1a39ee8a59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2025-05-05T21:24:28Z</dcterms:created>
  <dc:creator/>
  <dc:description/>
  <dc:language>en-US</dc:language>
  <cp:lastModifiedBy/>
  <dcterms:modified xsi:type="dcterms:W3CDTF">2025-05-05T21:34:53Z</dcterms:modified>
  <cp:revision>1</cp:revision>
  <dc:subject/>
  <dc:title/>
</cp:coreProperties>
</file>