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zoughi\Desktop\reporting département\DATA RH\Power BI TDB\Administration\Data Import\"/>
    </mc:Choice>
  </mc:AlternateContent>
  <xr:revisionPtr revIDLastSave="0" documentId="13_ncr:1_{9B2B792A-890C-4A96-84DB-2AD08556D3F8}" xr6:coauthVersionLast="47" xr6:coauthVersionMax="47" xr10:uidLastSave="{00000000-0000-0000-0000-000000000000}"/>
  <bookViews>
    <workbookView xWindow="-108" yWindow="-108" windowWidth="23256" windowHeight="12576" xr2:uid="{633890FB-C1C7-4601-A91E-AA75457047E2}"/>
  </bookViews>
  <sheets>
    <sheet name="Base" sheetId="1" r:id="rId1"/>
  </sheets>
  <definedNames>
    <definedName name="_xlnm._FilterDatabase" localSheetId="0" hidden="1">Base!$A$1:$AL$1069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2" i="1"/>
  <c r="W1069" i="1" l="1"/>
  <c r="Z1069" i="1" s="1"/>
  <c r="AA1069" i="1" s="1"/>
  <c r="U1069" i="1"/>
  <c r="Y1069" i="1" s="1"/>
  <c r="M1069" i="1"/>
  <c r="N1069" i="1" s="1"/>
  <c r="X1069" i="1" l="1"/>
  <c r="M3" i="1"/>
  <c r="N3" i="1" s="1"/>
  <c r="M4" i="1"/>
  <c r="N4" i="1" s="1"/>
  <c r="M5" i="1"/>
  <c r="N5" i="1" s="1"/>
  <c r="M6" i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1002" i="1"/>
  <c r="N1002" i="1" s="1"/>
  <c r="M1003" i="1"/>
  <c r="N1003" i="1" s="1"/>
  <c r="M1004" i="1"/>
  <c r="N1004" i="1" s="1"/>
  <c r="M1005" i="1"/>
  <c r="N1005" i="1" s="1"/>
  <c r="M1006" i="1"/>
  <c r="N1006" i="1" s="1"/>
  <c r="M1007" i="1"/>
  <c r="N1007" i="1" s="1"/>
  <c r="M1008" i="1"/>
  <c r="N1008" i="1" s="1"/>
  <c r="M1009" i="1"/>
  <c r="N1009" i="1" s="1"/>
  <c r="M1010" i="1"/>
  <c r="N1010" i="1" s="1"/>
  <c r="M1011" i="1"/>
  <c r="N1011" i="1" s="1"/>
  <c r="M1012" i="1"/>
  <c r="N1012" i="1" s="1"/>
  <c r="M1013" i="1"/>
  <c r="N1013" i="1" s="1"/>
  <c r="M1014" i="1"/>
  <c r="N1014" i="1" s="1"/>
  <c r="M1015" i="1"/>
  <c r="N1015" i="1" s="1"/>
  <c r="M1016" i="1"/>
  <c r="N1016" i="1" s="1"/>
  <c r="M1017" i="1"/>
  <c r="N1017" i="1" s="1"/>
  <c r="M1018" i="1"/>
  <c r="N1018" i="1" s="1"/>
  <c r="M1019" i="1"/>
  <c r="N1019" i="1" s="1"/>
  <c r="M1020" i="1"/>
  <c r="N1020" i="1" s="1"/>
  <c r="M1021" i="1"/>
  <c r="N1021" i="1" s="1"/>
  <c r="M1022" i="1"/>
  <c r="N1022" i="1" s="1"/>
  <c r="M1023" i="1"/>
  <c r="N1023" i="1" s="1"/>
  <c r="M1024" i="1"/>
  <c r="N1024" i="1" s="1"/>
  <c r="M1025" i="1"/>
  <c r="N1025" i="1" s="1"/>
  <c r="M1026" i="1"/>
  <c r="N1026" i="1" s="1"/>
  <c r="M1027" i="1"/>
  <c r="N1027" i="1" s="1"/>
  <c r="M1028" i="1"/>
  <c r="N1028" i="1" s="1"/>
  <c r="M1029" i="1"/>
  <c r="N1029" i="1" s="1"/>
  <c r="M1030" i="1"/>
  <c r="N1030" i="1" s="1"/>
  <c r="M1031" i="1"/>
  <c r="N1031" i="1" s="1"/>
  <c r="M1032" i="1"/>
  <c r="N1032" i="1" s="1"/>
  <c r="M1033" i="1"/>
  <c r="N1033" i="1" s="1"/>
  <c r="M1034" i="1"/>
  <c r="N1034" i="1" s="1"/>
  <c r="M1035" i="1"/>
  <c r="N1035" i="1" s="1"/>
  <c r="M1036" i="1"/>
  <c r="N1036" i="1" s="1"/>
  <c r="M1037" i="1"/>
  <c r="N1037" i="1" s="1"/>
  <c r="M1038" i="1"/>
  <c r="N1038" i="1" s="1"/>
  <c r="M1039" i="1"/>
  <c r="N1039" i="1" s="1"/>
  <c r="M1040" i="1"/>
  <c r="N1040" i="1" s="1"/>
  <c r="M1041" i="1"/>
  <c r="N1041" i="1" s="1"/>
  <c r="M1042" i="1"/>
  <c r="N1042" i="1" s="1"/>
  <c r="M1043" i="1"/>
  <c r="N1043" i="1" s="1"/>
  <c r="M1044" i="1"/>
  <c r="N1044" i="1" s="1"/>
  <c r="M1045" i="1"/>
  <c r="N1045" i="1" s="1"/>
  <c r="M1046" i="1"/>
  <c r="N1046" i="1" s="1"/>
  <c r="M1047" i="1"/>
  <c r="N1047" i="1" s="1"/>
  <c r="M1048" i="1"/>
  <c r="N1048" i="1" s="1"/>
  <c r="M1049" i="1"/>
  <c r="N1049" i="1" s="1"/>
  <c r="M1050" i="1"/>
  <c r="N1050" i="1" s="1"/>
  <c r="M1051" i="1"/>
  <c r="N1051" i="1" s="1"/>
  <c r="M1052" i="1"/>
  <c r="N1052" i="1" s="1"/>
  <c r="M1053" i="1"/>
  <c r="N1053" i="1" s="1"/>
  <c r="M1054" i="1"/>
  <c r="N1054" i="1" s="1"/>
  <c r="M1055" i="1"/>
  <c r="N1055" i="1" s="1"/>
  <c r="M1056" i="1"/>
  <c r="N1056" i="1" s="1"/>
  <c r="M1057" i="1"/>
  <c r="N1057" i="1" s="1"/>
  <c r="M1058" i="1"/>
  <c r="N1058" i="1" s="1"/>
  <c r="M1059" i="1"/>
  <c r="N1059" i="1" s="1"/>
  <c r="M1060" i="1"/>
  <c r="N1060" i="1" s="1"/>
  <c r="M1061" i="1"/>
  <c r="N1061" i="1" s="1"/>
  <c r="M1062" i="1"/>
  <c r="N1062" i="1" s="1"/>
  <c r="M1063" i="1"/>
  <c r="N1063" i="1" s="1"/>
  <c r="M1064" i="1"/>
  <c r="N1064" i="1" s="1"/>
  <c r="M1065" i="1"/>
  <c r="N1065" i="1" s="1"/>
  <c r="M1066" i="1"/>
  <c r="N1066" i="1" s="1"/>
  <c r="M1067" i="1"/>
  <c r="N1067" i="1" s="1"/>
  <c r="M1068" i="1"/>
  <c r="N1068" i="1" s="1"/>
  <c r="N6" i="1"/>
  <c r="N93" i="1"/>
  <c r="N460" i="1"/>
  <c r="M2" i="1"/>
  <c r="N2" i="1" s="1"/>
  <c r="W3" i="1"/>
  <c r="X3" i="1" s="1"/>
  <c r="W4" i="1"/>
  <c r="X4" i="1" s="1"/>
  <c r="W5" i="1"/>
  <c r="X5" i="1" s="1"/>
  <c r="W6" i="1"/>
  <c r="X6" i="1" s="1"/>
  <c r="W7" i="1"/>
  <c r="X7" i="1" s="1"/>
  <c r="W8" i="1"/>
  <c r="X8" i="1" s="1"/>
  <c r="W9" i="1"/>
  <c r="X9" i="1" s="1"/>
  <c r="W10" i="1"/>
  <c r="X10" i="1" s="1"/>
  <c r="W11" i="1"/>
  <c r="X11" i="1" s="1"/>
  <c r="W12" i="1"/>
  <c r="X12" i="1" s="1"/>
  <c r="W13" i="1"/>
  <c r="X13" i="1" s="1"/>
  <c r="W14" i="1"/>
  <c r="X14" i="1" s="1"/>
  <c r="W15" i="1"/>
  <c r="X15" i="1" s="1"/>
  <c r="W16" i="1"/>
  <c r="X16" i="1" s="1"/>
  <c r="W17" i="1"/>
  <c r="X17" i="1" s="1"/>
  <c r="W18" i="1"/>
  <c r="X18" i="1" s="1"/>
  <c r="W19" i="1"/>
  <c r="X19" i="1" s="1"/>
  <c r="W20" i="1"/>
  <c r="X20" i="1" s="1"/>
  <c r="W21" i="1"/>
  <c r="X21" i="1" s="1"/>
  <c r="W22" i="1"/>
  <c r="W23" i="1"/>
  <c r="X23" i="1" s="1"/>
  <c r="W24" i="1"/>
  <c r="X24" i="1" s="1"/>
  <c r="W25" i="1"/>
  <c r="X25" i="1" s="1"/>
  <c r="W26" i="1"/>
  <c r="X26" i="1" s="1"/>
  <c r="W27" i="1"/>
  <c r="X27" i="1" s="1"/>
  <c r="W28" i="1"/>
  <c r="X28" i="1" s="1"/>
  <c r="W29" i="1"/>
  <c r="X29" i="1" s="1"/>
  <c r="W30" i="1"/>
  <c r="X30" i="1" s="1"/>
  <c r="W31" i="1"/>
  <c r="X31" i="1" s="1"/>
  <c r="W32" i="1"/>
  <c r="X32" i="1" s="1"/>
  <c r="W33" i="1"/>
  <c r="X33" i="1" s="1"/>
  <c r="W34" i="1"/>
  <c r="X34" i="1" s="1"/>
  <c r="W35" i="1"/>
  <c r="X35" i="1" s="1"/>
  <c r="W36" i="1"/>
  <c r="X36" i="1" s="1"/>
  <c r="W37" i="1"/>
  <c r="X37" i="1" s="1"/>
  <c r="W38" i="1"/>
  <c r="X38" i="1" s="1"/>
  <c r="W39" i="1"/>
  <c r="W40" i="1"/>
  <c r="X40" i="1" s="1"/>
  <c r="W41" i="1"/>
  <c r="X41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X50" i="1" s="1"/>
  <c r="W51" i="1"/>
  <c r="X51" i="1" s="1"/>
  <c r="W52" i="1"/>
  <c r="X52" i="1" s="1"/>
  <c r="W53" i="1"/>
  <c r="X53" i="1" s="1"/>
  <c r="W54" i="1"/>
  <c r="X54" i="1" s="1"/>
  <c r="W55" i="1"/>
  <c r="X55" i="1" s="1"/>
  <c r="W56" i="1"/>
  <c r="X56" i="1" s="1"/>
  <c r="W57" i="1"/>
  <c r="X57" i="1" s="1"/>
  <c r="W58" i="1"/>
  <c r="X58" i="1" s="1"/>
  <c r="W59" i="1"/>
  <c r="X59" i="1" s="1"/>
  <c r="W60" i="1"/>
  <c r="X60" i="1" s="1"/>
  <c r="W61" i="1"/>
  <c r="W62" i="1"/>
  <c r="X62" i="1" s="1"/>
  <c r="W63" i="1"/>
  <c r="X63" i="1" s="1"/>
  <c r="W64" i="1"/>
  <c r="X64" i="1" s="1"/>
  <c r="W65" i="1"/>
  <c r="X65" i="1" s="1"/>
  <c r="W66" i="1"/>
  <c r="X66" i="1" s="1"/>
  <c r="W67" i="1"/>
  <c r="X67" i="1" s="1"/>
  <c r="W68" i="1"/>
  <c r="X68" i="1" s="1"/>
  <c r="W69" i="1"/>
  <c r="W70" i="1"/>
  <c r="X70" i="1" s="1"/>
  <c r="W71" i="1"/>
  <c r="X71" i="1" s="1"/>
  <c r="W72" i="1"/>
  <c r="X72" i="1" s="1"/>
  <c r="W73" i="1"/>
  <c r="X73" i="1" s="1"/>
  <c r="W74" i="1"/>
  <c r="X74" i="1" s="1"/>
  <c r="W75" i="1"/>
  <c r="W76" i="1"/>
  <c r="X76" i="1" s="1"/>
  <c r="W77" i="1"/>
  <c r="X77" i="1" s="1"/>
  <c r="W78" i="1"/>
  <c r="X78" i="1" s="1"/>
  <c r="W79" i="1"/>
  <c r="X79" i="1" s="1"/>
  <c r="W80" i="1"/>
  <c r="X80" i="1" s="1"/>
  <c r="W81" i="1"/>
  <c r="X81" i="1" s="1"/>
  <c r="W82" i="1"/>
  <c r="X82" i="1" s="1"/>
  <c r="W83" i="1"/>
  <c r="W84" i="1"/>
  <c r="X84" i="1" s="1"/>
  <c r="W85" i="1"/>
  <c r="X85" i="1" s="1"/>
  <c r="W86" i="1"/>
  <c r="X86" i="1" s="1"/>
  <c r="W87" i="1"/>
  <c r="X87" i="1" s="1"/>
  <c r="W88" i="1"/>
  <c r="X88" i="1" s="1"/>
  <c r="W89" i="1"/>
  <c r="X89" i="1" s="1"/>
  <c r="W90" i="1"/>
  <c r="X90" i="1" s="1"/>
  <c r="W91" i="1"/>
  <c r="W92" i="1"/>
  <c r="X92" i="1" s="1"/>
  <c r="W93" i="1"/>
  <c r="X93" i="1" s="1"/>
  <c r="W94" i="1"/>
  <c r="W95" i="1"/>
  <c r="X95" i="1" s="1"/>
  <c r="W96" i="1"/>
  <c r="X96" i="1" s="1"/>
  <c r="W97" i="1"/>
  <c r="X97" i="1" s="1"/>
  <c r="W98" i="1"/>
  <c r="X98" i="1" s="1"/>
  <c r="W99" i="1"/>
  <c r="X99" i="1" s="1"/>
  <c r="W100" i="1"/>
  <c r="X100" i="1" s="1"/>
  <c r="W101" i="1"/>
  <c r="X101" i="1" s="1"/>
  <c r="W102" i="1"/>
  <c r="W103" i="1"/>
  <c r="X103" i="1" s="1"/>
  <c r="W104" i="1"/>
  <c r="X104" i="1" s="1"/>
  <c r="W105" i="1"/>
  <c r="X105" i="1" s="1"/>
  <c r="W106" i="1"/>
  <c r="X106" i="1" s="1"/>
  <c r="W107" i="1"/>
  <c r="X107" i="1" s="1"/>
  <c r="W108" i="1"/>
  <c r="X108" i="1" s="1"/>
  <c r="W109" i="1"/>
  <c r="X109" i="1" s="1"/>
  <c r="W110" i="1"/>
  <c r="W111" i="1"/>
  <c r="X111" i="1" s="1"/>
  <c r="W112" i="1"/>
  <c r="X112" i="1" s="1"/>
  <c r="W113" i="1"/>
  <c r="X113" i="1" s="1"/>
  <c r="W114" i="1"/>
  <c r="X114" i="1" s="1"/>
  <c r="W115" i="1"/>
  <c r="X115" i="1" s="1"/>
  <c r="W116" i="1"/>
  <c r="W117" i="1"/>
  <c r="X117" i="1" s="1"/>
  <c r="W118" i="1"/>
  <c r="X118" i="1" s="1"/>
  <c r="W119" i="1"/>
  <c r="X119" i="1" s="1"/>
  <c r="W120" i="1"/>
  <c r="X120" i="1" s="1"/>
  <c r="W121" i="1"/>
  <c r="X121" i="1" s="1"/>
  <c r="W122" i="1"/>
  <c r="X122" i="1" s="1"/>
  <c r="W123" i="1"/>
  <c r="X123" i="1" s="1"/>
  <c r="W124" i="1"/>
  <c r="W125" i="1"/>
  <c r="X125" i="1" s="1"/>
  <c r="W126" i="1"/>
  <c r="X126" i="1" s="1"/>
  <c r="W127" i="1"/>
  <c r="X127" i="1" s="1"/>
  <c r="W128" i="1"/>
  <c r="X128" i="1" s="1"/>
  <c r="W129" i="1"/>
  <c r="X129" i="1" s="1"/>
  <c r="W130" i="1"/>
  <c r="X130" i="1" s="1"/>
  <c r="W131" i="1"/>
  <c r="X131" i="1" s="1"/>
  <c r="W132" i="1"/>
  <c r="W133" i="1"/>
  <c r="X133" i="1" s="1"/>
  <c r="W134" i="1"/>
  <c r="X134" i="1" s="1"/>
  <c r="W135" i="1"/>
  <c r="X135" i="1" s="1"/>
  <c r="W136" i="1"/>
  <c r="X136" i="1" s="1"/>
  <c r="W137" i="1"/>
  <c r="X137" i="1" s="1"/>
  <c r="W138" i="1"/>
  <c r="W139" i="1"/>
  <c r="X139" i="1" s="1"/>
  <c r="W140" i="1"/>
  <c r="X140" i="1" s="1"/>
  <c r="W141" i="1"/>
  <c r="X141" i="1" s="1"/>
  <c r="W142" i="1"/>
  <c r="X142" i="1" s="1"/>
  <c r="W143" i="1"/>
  <c r="X143" i="1" s="1"/>
  <c r="W144" i="1"/>
  <c r="X144" i="1" s="1"/>
  <c r="W145" i="1"/>
  <c r="X145" i="1" s="1"/>
  <c r="W146" i="1"/>
  <c r="W147" i="1"/>
  <c r="X147" i="1" s="1"/>
  <c r="W148" i="1"/>
  <c r="X148" i="1" s="1"/>
  <c r="W149" i="1"/>
  <c r="X149" i="1" s="1"/>
  <c r="W150" i="1"/>
  <c r="X150" i="1" s="1"/>
  <c r="W151" i="1"/>
  <c r="X151" i="1" s="1"/>
  <c r="W152" i="1"/>
  <c r="X152" i="1" s="1"/>
  <c r="W153" i="1"/>
  <c r="X153" i="1" s="1"/>
  <c r="W154" i="1"/>
  <c r="W155" i="1"/>
  <c r="X155" i="1" s="1"/>
  <c r="W156" i="1"/>
  <c r="X156" i="1" s="1"/>
  <c r="W157" i="1"/>
  <c r="W158" i="1"/>
  <c r="X158" i="1" s="1"/>
  <c r="W159" i="1"/>
  <c r="X159" i="1" s="1"/>
  <c r="W160" i="1"/>
  <c r="X160" i="1" s="1"/>
  <c r="W161" i="1"/>
  <c r="X161" i="1" s="1"/>
  <c r="W162" i="1"/>
  <c r="X162" i="1" s="1"/>
  <c r="W163" i="1"/>
  <c r="X163" i="1" s="1"/>
  <c r="W164" i="1"/>
  <c r="X164" i="1" s="1"/>
  <c r="W165" i="1"/>
  <c r="W166" i="1"/>
  <c r="X166" i="1" s="1"/>
  <c r="W167" i="1"/>
  <c r="X167" i="1" s="1"/>
  <c r="W168" i="1"/>
  <c r="X168" i="1" s="1"/>
  <c r="W169" i="1"/>
  <c r="X169" i="1" s="1"/>
  <c r="W170" i="1"/>
  <c r="X170" i="1" s="1"/>
  <c r="W171" i="1"/>
  <c r="X171" i="1" s="1"/>
  <c r="W172" i="1"/>
  <c r="X172" i="1" s="1"/>
  <c r="W173" i="1"/>
  <c r="W174" i="1"/>
  <c r="X174" i="1" s="1"/>
  <c r="W175" i="1"/>
  <c r="X175" i="1" s="1"/>
  <c r="W176" i="1"/>
  <c r="X176" i="1" s="1"/>
  <c r="W177" i="1"/>
  <c r="X177" i="1" s="1"/>
  <c r="W178" i="1"/>
  <c r="X178" i="1" s="1"/>
  <c r="W179" i="1"/>
  <c r="X179" i="1" s="1"/>
  <c r="W180" i="1"/>
  <c r="W181" i="1"/>
  <c r="X181" i="1" s="1"/>
  <c r="W182" i="1"/>
  <c r="X182" i="1" s="1"/>
  <c r="W183" i="1"/>
  <c r="X183" i="1" s="1"/>
  <c r="W184" i="1"/>
  <c r="X184" i="1" s="1"/>
  <c r="W185" i="1"/>
  <c r="X185" i="1" s="1"/>
  <c r="W186" i="1"/>
  <c r="X186" i="1" s="1"/>
  <c r="W187" i="1"/>
  <c r="X187" i="1" s="1"/>
  <c r="W188" i="1"/>
  <c r="W189" i="1"/>
  <c r="X189" i="1" s="1"/>
  <c r="W190" i="1"/>
  <c r="X190" i="1" s="1"/>
  <c r="W191" i="1"/>
  <c r="X191" i="1" s="1"/>
  <c r="W192" i="1"/>
  <c r="X192" i="1" s="1"/>
  <c r="W193" i="1"/>
  <c r="X193" i="1" s="1"/>
  <c r="W194" i="1"/>
  <c r="X194" i="1" s="1"/>
  <c r="W195" i="1"/>
  <c r="X195" i="1" s="1"/>
  <c r="W196" i="1"/>
  <c r="W197" i="1"/>
  <c r="X197" i="1" s="1"/>
  <c r="W198" i="1"/>
  <c r="X198" i="1" s="1"/>
  <c r="W199" i="1"/>
  <c r="X199" i="1" s="1"/>
  <c r="W200" i="1"/>
  <c r="X200" i="1" s="1"/>
  <c r="W201" i="1"/>
  <c r="X201" i="1" s="1"/>
  <c r="W202" i="1"/>
  <c r="W203" i="1"/>
  <c r="X203" i="1" s="1"/>
  <c r="W204" i="1"/>
  <c r="X204" i="1" s="1"/>
  <c r="W205" i="1"/>
  <c r="X205" i="1" s="1"/>
  <c r="W206" i="1"/>
  <c r="X206" i="1" s="1"/>
  <c r="W207" i="1"/>
  <c r="X207" i="1" s="1"/>
  <c r="W208" i="1"/>
  <c r="X208" i="1" s="1"/>
  <c r="W209" i="1"/>
  <c r="X209" i="1" s="1"/>
  <c r="W210" i="1"/>
  <c r="W211" i="1"/>
  <c r="X211" i="1" s="1"/>
  <c r="W212" i="1"/>
  <c r="X212" i="1" s="1"/>
  <c r="W213" i="1"/>
  <c r="X213" i="1" s="1"/>
  <c r="W214" i="1"/>
  <c r="X214" i="1" s="1"/>
  <c r="W215" i="1"/>
  <c r="X215" i="1" s="1"/>
  <c r="W216" i="1"/>
  <c r="X216" i="1" s="1"/>
  <c r="W217" i="1"/>
  <c r="X217" i="1" s="1"/>
  <c r="W218" i="1"/>
  <c r="W219" i="1"/>
  <c r="X219" i="1" s="1"/>
  <c r="W220" i="1"/>
  <c r="X220" i="1" s="1"/>
  <c r="W221" i="1"/>
  <c r="W222" i="1"/>
  <c r="X222" i="1" s="1"/>
  <c r="W223" i="1"/>
  <c r="X223" i="1" s="1"/>
  <c r="W224" i="1"/>
  <c r="X224" i="1" s="1"/>
  <c r="W225" i="1"/>
  <c r="X225" i="1" s="1"/>
  <c r="W226" i="1"/>
  <c r="X226" i="1" s="1"/>
  <c r="W227" i="1"/>
  <c r="X227" i="1" s="1"/>
  <c r="W228" i="1"/>
  <c r="X228" i="1" s="1"/>
  <c r="W229" i="1"/>
  <c r="W230" i="1"/>
  <c r="X230" i="1" s="1"/>
  <c r="W231" i="1"/>
  <c r="X231" i="1" s="1"/>
  <c r="W232" i="1"/>
  <c r="X232" i="1" s="1"/>
  <c r="W233" i="1"/>
  <c r="X233" i="1" s="1"/>
  <c r="W234" i="1"/>
  <c r="X234" i="1" s="1"/>
  <c r="W235" i="1"/>
  <c r="X235" i="1" s="1"/>
  <c r="W236" i="1"/>
  <c r="X236" i="1" s="1"/>
  <c r="W237" i="1"/>
  <c r="W238" i="1"/>
  <c r="X238" i="1" s="1"/>
  <c r="W239" i="1"/>
  <c r="X239" i="1" s="1"/>
  <c r="W240" i="1"/>
  <c r="X240" i="1" s="1"/>
  <c r="W241" i="1"/>
  <c r="X241" i="1" s="1"/>
  <c r="W242" i="1"/>
  <c r="X242" i="1" s="1"/>
  <c r="W243" i="1"/>
  <c r="X243" i="1" s="1"/>
  <c r="W244" i="1"/>
  <c r="W245" i="1"/>
  <c r="X245" i="1" s="1"/>
  <c r="W246" i="1"/>
  <c r="X246" i="1" s="1"/>
  <c r="W247" i="1"/>
  <c r="X247" i="1" s="1"/>
  <c r="W248" i="1"/>
  <c r="X248" i="1" s="1"/>
  <c r="W249" i="1"/>
  <c r="X249" i="1" s="1"/>
  <c r="W250" i="1"/>
  <c r="X250" i="1" s="1"/>
  <c r="W251" i="1"/>
  <c r="X251" i="1" s="1"/>
  <c r="W252" i="1"/>
  <c r="W253" i="1"/>
  <c r="X253" i="1" s="1"/>
  <c r="W254" i="1"/>
  <c r="X254" i="1" s="1"/>
  <c r="W255" i="1"/>
  <c r="X255" i="1" s="1"/>
  <c r="W256" i="1"/>
  <c r="X256" i="1" s="1"/>
  <c r="W257" i="1"/>
  <c r="X257" i="1" s="1"/>
  <c r="W258" i="1"/>
  <c r="X258" i="1" s="1"/>
  <c r="W259" i="1"/>
  <c r="X259" i="1" s="1"/>
  <c r="W260" i="1"/>
  <c r="W261" i="1"/>
  <c r="X261" i="1" s="1"/>
  <c r="W262" i="1"/>
  <c r="X262" i="1" s="1"/>
  <c r="W263" i="1"/>
  <c r="X263" i="1" s="1"/>
  <c r="W264" i="1"/>
  <c r="X264" i="1" s="1"/>
  <c r="W265" i="1"/>
  <c r="X265" i="1" s="1"/>
  <c r="W266" i="1"/>
  <c r="W267" i="1"/>
  <c r="X267" i="1" s="1"/>
  <c r="W268" i="1"/>
  <c r="X268" i="1" s="1"/>
  <c r="W269" i="1"/>
  <c r="X269" i="1" s="1"/>
  <c r="W270" i="1"/>
  <c r="X270" i="1" s="1"/>
  <c r="W271" i="1"/>
  <c r="X271" i="1" s="1"/>
  <c r="W272" i="1"/>
  <c r="X272" i="1" s="1"/>
  <c r="W273" i="1"/>
  <c r="X273" i="1" s="1"/>
  <c r="W274" i="1"/>
  <c r="W275" i="1"/>
  <c r="X275" i="1" s="1"/>
  <c r="W276" i="1"/>
  <c r="X276" i="1" s="1"/>
  <c r="W277" i="1"/>
  <c r="X277" i="1" s="1"/>
  <c r="W278" i="1"/>
  <c r="X278" i="1" s="1"/>
  <c r="W279" i="1"/>
  <c r="X279" i="1" s="1"/>
  <c r="W280" i="1"/>
  <c r="X280" i="1" s="1"/>
  <c r="W281" i="1"/>
  <c r="X281" i="1" s="1"/>
  <c r="W282" i="1"/>
  <c r="W283" i="1"/>
  <c r="X283" i="1" s="1"/>
  <c r="W284" i="1"/>
  <c r="X284" i="1" s="1"/>
  <c r="W285" i="1"/>
  <c r="W286" i="1"/>
  <c r="X286" i="1" s="1"/>
  <c r="W287" i="1"/>
  <c r="X287" i="1" s="1"/>
  <c r="W288" i="1"/>
  <c r="X288" i="1" s="1"/>
  <c r="W289" i="1"/>
  <c r="X289" i="1" s="1"/>
  <c r="W290" i="1"/>
  <c r="X290" i="1" s="1"/>
  <c r="W291" i="1"/>
  <c r="X291" i="1" s="1"/>
  <c r="W292" i="1"/>
  <c r="X292" i="1" s="1"/>
  <c r="W293" i="1"/>
  <c r="W294" i="1"/>
  <c r="X294" i="1" s="1"/>
  <c r="W295" i="1"/>
  <c r="X295" i="1" s="1"/>
  <c r="W296" i="1"/>
  <c r="X296" i="1" s="1"/>
  <c r="W297" i="1"/>
  <c r="X297" i="1" s="1"/>
  <c r="W298" i="1"/>
  <c r="X298" i="1" s="1"/>
  <c r="W299" i="1"/>
  <c r="X299" i="1" s="1"/>
  <c r="W300" i="1"/>
  <c r="X300" i="1" s="1"/>
  <c r="W301" i="1"/>
  <c r="W302" i="1"/>
  <c r="X302" i="1" s="1"/>
  <c r="W303" i="1"/>
  <c r="X303" i="1" s="1"/>
  <c r="W304" i="1"/>
  <c r="X304" i="1" s="1"/>
  <c r="W305" i="1"/>
  <c r="X305" i="1" s="1"/>
  <c r="W306" i="1"/>
  <c r="X306" i="1" s="1"/>
  <c r="W307" i="1"/>
  <c r="X307" i="1" s="1"/>
  <c r="W308" i="1"/>
  <c r="W309" i="1"/>
  <c r="X309" i="1" s="1"/>
  <c r="W310" i="1"/>
  <c r="X310" i="1" s="1"/>
  <c r="W311" i="1"/>
  <c r="X311" i="1" s="1"/>
  <c r="W312" i="1"/>
  <c r="X312" i="1" s="1"/>
  <c r="W313" i="1"/>
  <c r="X313" i="1" s="1"/>
  <c r="W314" i="1"/>
  <c r="X314" i="1" s="1"/>
  <c r="W315" i="1"/>
  <c r="X315" i="1" s="1"/>
  <c r="W316" i="1"/>
  <c r="W317" i="1"/>
  <c r="X317" i="1" s="1"/>
  <c r="W318" i="1"/>
  <c r="X318" i="1" s="1"/>
  <c r="W319" i="1"/>
  <c r="X319" i="1" s="1"/>
  <c r="W320" i="1"/>
  <c r="X320" i="1" s="1"/>
  <c r="W321" i="1"/>
  <c r="X321" i="1" s="1"/>
  <c r="W322" i="1"/>
  <c r="X322" i="1" s="1"/>
  <c r="W323" i="1"/>
  <c r="X323" i="1" s="1"/>
  <c r="W324" i="1"/>
  <c r="W325" i="1"/>
  <c r="X325" i="1" s="1"/>
  <c r="W326" i="1"/>
  <c r="X326" i="1" s="1"/>
  <c r="W327" i="1"/>
  <c r="X327" i="1" s="1"/>
  <c r="W328" i="1"/>
  <c r="X328" i="1" s="1"/>
  <c r="W329" i="1"/>
  <c r="X329" i="1" s="1"/>
  <c r="W330" i="1"/>
  <c r="W331" i="1"/>
  <c r="X331" i="1" s="1"/>
  <c r="W332" i="1"/>
  <c r="X332" i="1" s="1"/>
  <c r="W333" i="1"/>
  <c r="X333" i="1" s="1"/>
  <c r="W334" i="1"/>
  <c r="X334" i="1" s="1"/>
  <c r="W335" i="1"/>
  <c r="X335" i="1" s="1"/>
  <c r="W336" i="1"/>
  <c r="X336" i="1" s="1"/>
  <c r="W337" i="1"/>
  <c r="X337" i="1" s="1"/>
  <c r="W338" i="1"/>
  <c r="W339" i="1"/>
  <c r="X339" i="1" s="1"/>
  <c r="W340" i="1"/>
  <c r="W341" i="1"/>
  <c r="X341" i="1" s="1"/>
  <c r="W342" i="1"/>
  <c r="X342" i="1" s="1"/>
  <c r="W343" i="1"/>
  <c r="X343" i="1" s="1"/>
  <c r="W344" i="1"/>
  <c r="X344" i="1" s="1"/>
  <c r="W345" i="1"/>
  <c r="X345" i="1" s="1"/>
  <c r="W346" i="1"/>
  <c r="W347" i="1"/>
  <c r="X347" i="1" s="1"/>
  <c r="W348" i="1"/>
  <c r="X348" i="1" s="1"/>
  <c r="W349" i="1"/>
  <c r="W350" i="1"/>
  <c r="X350" i="1" s="1"/>
  <c r="W351" i="1"/>
  <c r="X351" i="1" s="1"/>
  <c r="W352" i="1"/>
  <c r="X352" i="1" s="1"/>
  <c r="W353" i="1"/>
  <c r="X353" i="1" s="1"/>
  <c r="W354" i="1"/>
  <c r="X354" i="1" s="1"/>
  <c r="W355" i="1"/>
  <c r="X355" i="1" s="1"/>
  <c r="W356" i="1"/>
  <c r="X356" i="1" s="1"/>
  <c r="W357" i="1"/>
  <c r="W358" i="1"/>
  <c r="X358" i="1" s="1"/>
  <c r="W359" i="1"/>
  <c r="X359" i="1" s="1"/>
  <c r="W360" i="1"/>
  <c r="X360" i="1" s="1"/>
  <c r="W361" i="1"/>
  <c r="X361" i="1" s="1"/>
  <c r="W362" i="1"/>
  <c r="W363" i="1"/>
  <c r="X363" i="1" s="1"/>
  <c r="W364" i="1"/>
  <c r="X364" i="1" s="1"/>
  <c r="W365" i="1"/>
  <c r="W366" i="1"/>
  <c r="X366" i="1" s="1"/>
  <c r="W367" i="1"/>
  <c r="X367" i="1" s="1"/>
  <c r="W368" i="1"/>
  <c r="X368" i="1" s="1"/>
  <c r="W369" i="1"/>
  <c r="X369" i="1" s="1"/>
  <c r="W370" i="1"/>
  <c r="X370" i="1" s="1"/>
  <c r="W371" i="1"/>
  <c r="X371" i="1" s="1"/>
  <c r="W372" i="1"/>
  <c r="W373" i="1"/>
  <c r="X373" i="1" s="1"/>
  <c r="W374" i="1"/>
  <c r="X374" i="1" s="1"/>
  <c r="W375" i="1"/>
  <c r="X375" i="1" s="1"/>
  <c r="W376" i="1"/>
  <c r="X376" i="1" s="1"/>
  <c r="W377" i="1"/>
  <c r="X377" i="1" s="1"/>
  <c r="W378" i="1"/>
  <c r="X378" i="1" s="1"/>
  <c r="W379" i="1"/>
  <c r="X379" i="1" s="1"/>
  <c r="W380" i="1"/>
  <c r="W381" i="1"/>
  <c r="W382" i="1"/>
  <c r="X382" i="1" s="1"/>
  <c r="W383" i="1"/>
  <c r="X383" i="1" s="1"/>
  <c r="W384" i="1"/>
  <c r="X384" i="1" s="1"/>
  <c r="W385" i="1"/>
  <c r="X385" i="1" s="1"/>
  <c r="W386" i="1"/>
  <c r="X386" i="1" s="1"/>
  <c r="W387" i="1"/>
  <c r="X387" i="1" s="1"/>
  <c r="W388" i="1"/>
  <c r="W389" i="1"/>
  <c r="X389" i="1" s="1"/>
  <c r="W390" i="1"/>
  <c r="X390" i="1" s="1"/>
  <c r="W391" i="1"/>
  <c r="X391" i="1" s="1"/>
  <c r="W392" i="1"/>
  <c r="X392" i="1" s="1"/>
  <c r="W393" i="1"/>
  <c r="X393" i="1" s="1"/>
  <c r="W394" i="1"/>
  <c r="W395" i="1"/>
  <c r="X395" i="1" s="1"/>
  <c r="W396" i="1"/>
  <c r="X396" i="1" s="1"/>
  <c r="W397" i="1"/>
  <c r="X397" i="1" s="1"/>
  <c r="W398" i="1"/>
  <c r="X398" i="1" s="1"/>
  <c r="W399" i="1"/>
  <c r="X399" i="1" s="1"/>
  <c r="W400" i="1"/>
  <c r="X400" i="1" s="1"/>
  <c r="W401" i="1"/>
  <c r="X401" i="1" s="1"/>
  <c r="W402" i="1"/>
  <c r="W403" i="1"/>
  <c r="X403" i="1" s="1"/>
  <c r="W404" i="1"/>
  <c r="W405" i="1"/>
  <c r="X405" i="1" s="1"/>
  <c r="W406" i="1"/>
  <c r="X406" i="1" s="1"/>
  <c r="W407" i="1"/>
  <c r="X407" i="1" s="1"/>
  <c r="W408" i="1"/>
  <c r="X408" i="1" s="1"/>
  <c r="W409" i="1"/>
  <c r="X409" i="1" s="1"/>
  <c r="W410" i="1"/>
  <c r="W411" i="1"/>
  <c r="X411" i="1" s="1"/>
  <c r="W412" i="1"/>
  <c r="X412" i="1" s="1"/>
  <c r="W413" i="1"/>
  <c r="W414" i="1"/>
  <c r="X414" i="1" s="1"/>
  <c r="W415" i="1"/>
  <c r="X415" i="1" s="1"/>
  <c r="W416" i="1"/>
  <c r="X416" i="1" s="1"/>
  <c r="W417" i="1"/>
  <c r="X417" i="1" s="1"/>
  <c r="W418" i="1"/>
  <c r="X418" i="1" s="1"/>
  <c r="W419" i="1"/>
  <c r="X419" i="1" s="1"/>
  <c r="W420" i="1"/>
  <c r="X420" i="1" s="1"/>
  <c r="W421" i="1"/>
  <c r="W422" i="1"/>
  <c r="X422" i="1" s="1"/>
  <c r="W423" i="1"/>
  <c r="X423" i="1" s="1"/>
  <c r="W424" i="1"/>
  <c r="X424" i="1" s="1"/>
  <c r="W425" i="1"/>
  <c r="X425" i="1" s="1"/>
  <c r="W426" i="1"/>
  <c r="W427" i="1"/>
  <c r="X427" i="1" s="1"/>
  <c r="W428" i="1"/>
  <c r="X428" i="1" s="1"/>
  <c r="W429" i="1"/>
  <c r="W430" i="1"/>
  <c r="X430" i="1" s="1"/>
  <c r="W431" i="1"/>
  <c r="X431" i="1" s="1"/>
  <c r="W432" i="1"/>
  <c r="X432" i="1" s="1"/>
  <c r="W433" i="1"/>
  <c r="X433" i="1" s="1"/>
  <c r="W434" i="1"/>
  <c r="X434" i="1" s="1"/>
  <c r="W435" i="1"/>
  <c r="X435" i="1" s="1"/>
  <c r="W436" i="1"/>
  <c r="W437" i="1"/>
  <c r="X437" i="1" s="1"/>
  <c r="W438" i="1"/>
  <c r="X438" i="1" s="1"/>
  <c r="W439" i="1"/>
  <c r="X439" i="1" s="1"/>
  <c r="W440" i="1"/>
  <c r="X440" i="1" s="1"/>
  <c r="W441" i="1"/>
  <c r="X441" i="1" s="1"/>
  <c r="W442" i="1"/>
  <c r="W443" i="1"/>
  <c r="X443" i="1" s="1"/>
  <c r="W444" i="1"/>
  <c r="W445" i="1"/>
  <c r="X445" i="1" s="1"/>
  <c r="W446" i="1"/>
  <c r="X446" i="1" s="1"/>
  <c r="W447" i="1"/>
  <c r="X447" i="1" s="1"/>
  <c r="W448" i="1"/>
  <c r="W449" i="1"/>
  <c r="X449" i="1" s="1"/>
  <c r="W450" i="1"/>
  <c r="X450" i="1" s="1"/>
  <c r="W451" i="1"/>
  <c r="X451" i="1" s="1"/>
  <c r="W452" i="1"/>
  <c r="W453" i="1"/>
  <c r="X453" i="1" s="1"/>
  <c r="W454" i="1"/>
  <c r="X454" i="1" s="1"/>
  <c r="W455" i="1"/>
  <c r="X455" i="1" s="1"/>
  <c r="W456" i="1"/>
  <c r="X456" i="1" s="1"/>
  <c r="W457" i="1"/>
  <c r="X457" i="1" s="1"/>
  <c r="W458" i="1"/>
  <c r="W459" i="1"/>
  <c r="X459" i="1" s="1"/>
  <c r="W460" i="1"/>
  <c r="W461" i="1"/>
  <c r="X461" i="1" s="1"/>
  <c r="W462" i="1"/>
  <c r="X462" i="1" s="1"/>
  <c r="W463" i="1"/>
  <c r="X463" i="1" s="1"/>
  <c r="W464" i="1"/>
  <c r="W465" i="1"/>
  <c r="X465" i="1" s="1"/>
  <c r="W466" i="1"/>
  <c r="X466" i="1" s="1"/>
  <c r="W467" i="1"/>
  <c r="X467" i="1" s="1"/>
  <c r="W468" i="1"/>
  <c r="W469" i="1"/>
  <c r="X469" i="1" s="1"/>
  <c r="W470" i="1"/>
  <c r="X470" i="1" s="1"/>
  <c r="W471" i="1"/>
  <c r="X471" i="1" s="1"/>
  <c r="W472" i="1"/>
  <c r="X472" i="1" s="1"/>
  <c r="W473" i="1"/>
  <c r="X473" i="1" s="1"/>
  <c r="W474" i="1"/>
  <c r="W475" i="1"/>
  <c r="X475" i="1" s="1"/>
  <c r="W476" i="1"/>
  <c r="W477" i="1"/>
  <c r="X477" i="1" s="1"/>
  <c r="W478" i="1"/>
  <c r="X478" i="1" s="1"/>
  <c r="W479" i="1"/>
  <c r="X479" i="1" s="1"/>
  <c r="W480" i="1"/>
  <c r="W481" i="1"/>
  <c r="X481" i="1" s="1"/>
  <c r="W482" i="1"/>
  <c r="X482" i="1" s="1"/>
  <c r="W483" i="1"/>
  <c r="X483" i="1" s="1"/>
  <c r="W484" i="1"/>
  <c r="W485" i="1"/>
  <c r="X485" i="1" s="1"/>
  <c r="W486" i="1"/>
  <c r="X486" i="1" s="1"/>
  <c r="W487" i="1"/>
  <c r="X487" i="1" s="1"/>
  <c r="W488" i="1"/>
  <c r="X488" i="1" s="1"/>
  <c r="W489" i="1"/>
  <c r="X489" i="1" s="1"/>
  <c r="W490" i="1"/>
  <c r="W491" i="1"/>
  <c r="X491" i="1" s="1"/>
  <c r="W492" i="1"/>
  <c r="W493" i="1"/>
  <c r="X493" i="1" s="1"/>
  <c r="W494" i="1"/>
  <c r="X494" i="1" s="1"/>
  <c r="W495" i="1"/>
  <c r="X495" i="1" s="1"/>
  <c r="W496" i="1"/>
  <c r="W497" i="1"/>
  <c r="X497" i="1" s="1"/>
  <c r="W498" i="1"/>
  <c r="X498" i="1" s="1"/>
  <c r="W499" i="1"/>
  <c r="X499" i="1" s="1"/>
  <c r="W500" i="1"/>
  <c r="W501" i="1"/>
  <c r="X501" i="1" s="1"/>
  <c r="W502" i="1"/>
  <c r="X502" i="1" s="1"/>
  <c r="W503" i="1"/>
  <c r="X503" i="1" s="1"/>
  <c r="W504" i="1"/>
  <c r="X504" i="1" s="1"/>
  <c r="W505" i="1"/>
  <c r="X505" i="1" s="1"/>
  <c r="W506" i="1"/>
  <c r="W507" i="1"/>
  <c r="X507" i="1" s="1"/>
  <c r="W508" i="1"/>
  <c r="W509" i="1"/>
  <c r="X509" i="1" s="1"/>
  <c r="W510" i="1"/>
  <c r="X510" i="1" s="1"/>
  <c r="W511" i="1"/>
  <c r="X511" i="1" s="1"/>
  <c r="W512" i="1"/>
  <c r="W513" i="1"/>
  <c r="X513" i="1" s="1"/>
  <c r="W514" i="1"/>
  <c r="X514" i="1" s="1"/>
  <c r="W515" i="1"/>
  <c r="W516" i="1"/>
  <c r="X516" i="1" s="1"/>
  <c r="W517" i="1"/>
  <c r="X517" i="1" s="1"/>
  <c r="W518" i="1"/>
  <c r="X518" i="1" s="1"/>
  <c r="W519" i="1"/>
  <c r="X519" i="1" s="1"/>
  <c r="W520" i="1"/>
  <c r="W521" i="1"/>
  <c r="X521" i="1" s="1"/>
  <c r="W522" i="1"/>
  <c r="W523" i="1"/>
  <c r="X523" i="1" s="1"/>
  <c r="W524" i="1"/>
  <c r="W525" i="1"/>
  <c r="X525" i="1" s="1"/>
  <c r="W526" i="1"/>
  <c r="X526" i="1" s="1"/>
  <c r="W527" i="1"/>
  <c r="X527" i="1" s="1"/>
  <c r="W528" i="1"/>
  <c r="W529" i="1"/>
  <c r="X529" i="1" s="1"/>
  <c r="W530" i="1"/>
  <c r="X530" i="1" s="1"/>
  <c r="W531" i="1"/>
  <c r="X531" i="1" s="1"/>
  <c r="W532" i="1"/>
  <c r="W533" i="1"/>
  <c r="W534" i="1"/>
  <c r="X534" i="1" s="1"/>
  <c r="W535" i="1"/>
  <c r="X535" i="1" s="1"/>
  <c r="W536" i="1"/>
  <c r="X536" i="1" s="1"/>
  <c r="W537" i="1"/>
  <c r="X537" i="1" s="1"/>
  <c r="W538" i="1"/>
  <c r="W539" i="1"/>
  <c r="X539" i="1" s="1"/>
  <c r="W540" i="1"/>
  <c r="W541" i="1"/>
  <c r="X541" i="1" s="1"/>
  <c r="W542" i="1"/>
  <c r="X542" i="1" s="1"/>
  <c r="W543" i="1"/>
  <c r="X543" i="1" s="1"/>
  <c r="W544" i="1"/>
  <c r="X544" i="1" s="1"/>
  <c r="W545" i="1"/>
  <c r="X545" i="1" s="1"/>
  <c r="W546" i="1"/>
  <c r="W547" i="1"/>
  <c r="W548" i="1"/>
  <c r="X548" i="1" s="1"/>
  <c r="W549" i="1"/>
  <c r="W550" i="1"/>
  <c r="X550" i="1" s="1"/>
  <c r="W551" i="1"/>
  <c r="X551" i="1" s="1"/>
  <c r="W552" i="1"/>
  <c r="X552" i="1" s="1"/>
  <c r="W553" i="1"/>
  <c r="X553" i="1" s="1"/>
  <c r="W554" i="1"/>
  <c r="W555" i="1"/>
  <c r="X555" i="1" s="1"/>
  <c r="W556" i="1"/>
  <c r="X556" i="1" s="1"/>
  <c r="W557" i="1"/>
  <c r="W558" i="1"/>
  <c r="X558" i="1" s="1"/>
  <c r="W559" i="1"/>
  <c r="X559" i="1" s="1"/>
  <c r="W560" i="1"/>
  <c r="W561" i="1"/>
  <c r="X561" i="1" s="1"/>
  <c r="W562" i="1"/>
  <c r="X562" i="1" s="1"/>
  <c r="W563" i="1"/>
  <c r="W564" i="1"/>
  <c r="X564" i="1" s="1"/>
  <c r="W565" i="1"/>
  <c r="W566" i="1"/>
  <c r="X566" i="1" s="1"/>
  <c r="W567" i="1"/>
  <c r="X567" i="1" s="1"/>
  <c r="W568" i="1"/>
  <c r="X568" i="1" s="1"/>
  <c r="W569" i="1"/>
  <c r="X569" i="1" s="1"/>
  <c r="W570" i="1"/>
  <c r="X570" i="1" s="1"/>
  <c r="W571" i="1"/>
  <c r="W572" i="1"/>
  <c r="W573" i="1"/>
  <c r="X573" i="1" s="1"/>
  <c r="W574" i="1"/>
  <c r="X574" i="1" s="1"/>
  <c r="W575" i="1"/>
  <c r="X575" i="1" s="1"/>
  <c r="W576" i="1"/>
  <c r="W577" i="1"/>
  <c r="X577" i="1" s="1"/>
  <c r="W578" i="1"/>
  <c r="X578" i="1" s="1"/>
  <c r="W579" i="1"/>
  <c r="W580" i="1"/>
  <c r="X580" i="1" s="1"/>
  <c r="W581" i="1"/>
  <c r="X581" i="1" s="1"/>
  <c r="W582" i="1"/>
  <c r="X582" i="1" s="1"/>
  <c r="W583" i="1"/>
  <c r="X583" i="1" s="1"/>
  <c r="W584" i="1"/>
  <c r="W585" i="1"/>
  <c r="X585" i="1" s="1"/>
  <c r="W586" i="1"/>
  <c r="W587" i="1"/>
  <c r="X587" i="1" s="1"/>
  <c r="W588" i="1"/>
  <c r="W589" i="1"/>
  <c r="X589" i="1" s="1"/>
  <c r="W590" i="1"/>
  <c r="X590" i="1" s="1"/>
  <c r="W591" i="1"/>
  <c r="X591" i="1" s="1"/>
  <c r="W592" i="1"/>
  <c r="W593" i="1"/>
  <c r="X593" i="1" s="1"/>
  <c r="W594" i="1"/>
  <c r="X594" i="1" s="1"/>
  <c r="W595" i="1"/>
  <c r="X595" i="1" s="1"/>
  <c r="W596" i="1"/>
  <c r="W597" i="1"/>
  <c r="W598" i="1"/>
  <c r="X598" i="1" s="1"/>
  <c r="W599" i="1"/>
  <c r="X599" i="1" s="1"/>
  <c r="W600" i="1"/>
  <c r="X600" i="1" s="1"/>
  <c r="W601" i="1"/>
  <c r="X601" i="1" s="1"/>
  <c r="W602" i="1"/>
  <c r="W603" i="1"/>
  <c r="X603" i="1" s="1"/>
  <c r="W604" i="1"/>
  <c r="W605" i="1"/>
  <c r="X605" i="1" s="1"/>
  <c r="W606" i="1"/>
  <c r="X606" i="1" s="1"/>
  <c r="W607" i="1"/>
  <c r="X607" i="1" s="1"/>
  <c r="W608" i="1"/>
  <c r="W609" i="1"/>
  <c r="W610" i="1"/>
  <c r="X610" i="1" s="1"/>
  <c r="W611" i="1"/>
  <c r="W612" i="1"/>
  <c r="X612" i="1" s="1"/>
  <c r="W613" i="1"/>
  <c r="W614" i="1"/>
  <c r="X614" i="1" s="1"/>
  <c r="W615" i="1"/>
  <c r="X615" i="1" s="1"/>
  <c r="W616" i="1"/>
  <c r="W617" i="1"/>
  <c r="W618" i="1"/>
  <c r="X618" i="1" s="1"/>
  <c r="W619" i="1"/>
  <c r="W620" i="1"/>
  <c r="X620" i="1" s="1"/>
  <c r="W621" i="1"/>
  <c r="W622" i="1"/>
  <c r="X622" i="1" s="1"/>
  <c r="W623" i="1"/>
  <c r="X623" i="1" s="1"/>
  <c r="W624" i="1"/>
  <c r="W625" i="1"/>
  <c r="W626" i="1"/>
  <c r="X626" i="1" s="1"/>
  <c r="W627" i="1"/>
  <c r="W628" i="1"/>
  <c r="X628" i="1" s="1"/>
  <c r="W629" i="1"/>
  <c r="W630" i="1"/>
  <c r="X630" i="1" s="1"/>
  <c r="W631" i="1"/>
  <c r="X631" i="1" s="1"/>
  <c r="W632" i="1"/>
  <c r="W633" i="1"/>
  <c r="W634" i="1"/>
  <c r="X634" i="1" s="1"/>
  <c r="W635" i="1"/>
  <c r="W636" i="1"/>
  <c r="X636" i="1" s="1"/>
  <c r="W637" i="1"/>
  <c r="W638" i="1"/>
  <c r="X638" i="1" s="1"/>
  <c r="W639" i="1"/>
  <c r="X639" i="1" s="1"/>
  <c r="W640" i="1"/>
  <c r="W641" i="1"/>
  <c r="W642" i="1"/>
  <c r="X642" i="1" s="1"/>
  <c r="W643" i="1"/>
  <c r="W644" i="1"/>
  <c r="X644" i="1" s="1"/>
  <c r="W645" i="1"/>
  <c r="W646" i="1"/>
  <c r="X646" i="1" s="1"/>
  <c r="W647" i="1"/>
  <c r="X647" i="1" s="1"/>
  <c r="W648" i="1"/>
  <c r="W649" i="1"/>
  <c r="W650" i="1"/>
  <c r="X650" i="1" s="1"/>
  <c r="W651" i="1"/>
  <c r="W652" i="1"/>
  <c r="X652" i="1" s="1"/>
  <c r="W653" i="1"/>
  <c r="W654" i="1"/>
  <c r="X654" i="1" s="1"/>
  <c r="W655" i="1"/>
  <c r="X655" i="1" s="1"/>
  <c r="W656" i="1"/>
  <c r="W657" i="1"/>
  <c r="W658" i="1"/>
  <c r="X658" i="1" s="1"/>
  <c r="W659" i="1"/>
  <c r="W660" i="1"/>
  <c r="X660" i="1" s="1"/>
  <c r="W661" i="1"/>
  <c r="W662" i="1"/>
  <c r="X662" i="1" s="1"/>
  <c r="W663" i="1"/>
  <c r="X663" i="1" s="1"/>
  <c r="W664" i="1"/>
  <c r="W665" i="1"/>
  <c r="W666" i="1"/>
  <c r="X666" i="1" s="1"/>
  <c r="W667" i="1"/>
  <c r="W668" i="1"/>
  <c r="X668" i="1" s="1"/>
  <c r="W669" i="1"/>
  <c r="W670" i="1"/>
  <c r="X670" i="1" s="1"/>
  <c r="W671" i="1"/>
  <c r="X671" i="1" s="1"/>
  <c r="W672" i="1"/>
  <c r="W673" i="1"/>
  <c r="W674" i="1"/>
  <c r="X674" i="1" s="1"/>
  <c r="W675" i="1"/>
  <c r="W676" i="1"/>
  <c r="X676" i="1" s="1"/>
  <c r="W677" i="1"/>
  <c r="W678" i="1"/>
  <c r="X678" i="1" s="1"/>
  <c r="W679" i="1"/>
  <c r="X679" i="1" s="1"/>
  <c r="W680" i="1"/>
  <c r="W681" i="1"/>
  <c r="W682" i="1"/>
  <c r="X682" i="1" s="1"/>
  <c r="W683" i="1"/>
  <c r="W684" i="1"/>
  <c r="X684" i="1" s="1"/>
  <c r="W685" i="1"/>
  <c r="W686" i="1"/>
  <c r="X686" i="1" s="1"/>
  <c r="W687" i="1"/>
  <c r="X687" i="1" s="1"/>
  <c r="W688" i="1"/>
  <c r="W689" i="1"/>
  <c r="W690" i="1"/>
  <c r="X690" i="1" s="1"/>
  <c r="W691" i="1"/>
  <c r="W692" i="1"/>
  <c r="X692" i="1" s="1"/>
  <c r="W693" i="1"/>
  <c r="W694" i="1"/>
  <c r="X694" i="1" s="1"/>
  <c r="W695" i="1"/>
  <c r="X695" i="1" s="1"/>
  <c r="W696" i="1"/>
  <c r="W697" i="1"/>
  <c r="W698" i="1"/>
  <c r="X698" i="1" s="1"/>
  <c r="W699" i="1"/>
  <c r="W700" i="1"/>
  <c r="X700" i="1" s="1"/>
  <c r="W701" i="1"/>
  <c r="W702" i="1"/>
  <c r="X702" i="1" s="1"/>
  <c r="W703" i="1"/>
  <c r="X703" i="1" s="1"/>
  <c r="W704" i="1"/>
  <c r="W705" i="1"/>
  <c r="W706" i="1"/>
  <c r="X706" i="1" s="1"/>
  <c r="W707" i="1"/>
  <c r="W708" i="1"/>
  <c r="X708" i="1" s="1"/>
  <c r="W709" i="1"/>
  <c r="W710" i="1"/>
  <c r="X710" i="1" s="1"/>
  <c r="W711" i="1"/>
  <c r="X711" i="1" s="1"/>
  <c r="W712" i="1"/>
  <c r="W713" i="1"/>
  <c r="W714" i="1"/>
  <c r="X714" i="1" s="1"/>
  <c r="W715" i="1"/>
  <c r="W716" i="1"/>
  <c r="X716" i="1" s="1"/>
  <c r="W717" i="1"/>
  <c r="W718" i="1"/>
  <c r="X718" i="1" s="1"/>
  <c r="W719" i="1"/>
  <c r="X719" i="1" s="1"/>
  <c r="W720" i="1"/>
  <c r="W721" i="1"/>
  <c r="W722" i="1"/>
  <c r="X722" i="1" s="1"/>
  <c r="W723" i="1"/>
  <c r="W724" i="1"/>
  <c r="X724" i="1" s="1"/>
  <c r="W725" i="1"/>
  <c r="W726" i="1"/>
  <c r="X726" i="1" s="1"/>
  <c r="W727" i="1"/>
  <c r="X727" i="1" s="1"/>
  <c r="W728" i="1"/>
  <c r="W729" i="1"/>
  <c r="W730" i="1"/>
  <c r="X730" i="1" s="1"/>
  <c r="W731" i="1"/>
  <c r="W732" i="1"/>
  <c r="X732" i="1" s="1"/>
  <c r="W733" i="1"/>
  <c r="W734" i="1"/>
  <c r="X734" i="1" s="1"/>
  <c r="W735" i="1"/>
  <c r="X735" i="1" s="1"/>
  <c r="W736" i="1"/>
  <c r="W737" i="1"/>
  <c r="W738" i="1"/>
  <c r="X738" i="1" s="1"/>
  <c r="W739" i="1"/>
  <c r="W740" i="1"/>
  <c r="X740" i="1" s="1"/>
  <c r="W741" i="1"/>
  <c r="W742" i="1"/>
  <c r="X742" i="1" s="1"/>
  <c r="W743" i="1"/>
  <c r="X743" i="1" s="1"/>
  <c r="W744" i="1"/>
  <c r="W745" i="1"/>
  <c r="W746" i="1"/>
  <c r="X746" i="1" s="1"/>
  <c r="W747" i="1"/>
  <c r="W748" i="1"/>
  <c r="X748" i="1" s="1"/>
  <c r="W749" i="1"/>
  <c r="W750" i="1"/>
  <c r="X750" i="1" s="1"/>
  <c r="W751" i="1"/>
  <c r="X751" i="1" s="1"/>
  <c r="W752" i="1"/>
  <c r="W753" i="1"/>
  <c r="W754" i="1"/>
  <c r="X754" i="1" s="1"/>
  <c r="W755" i="1"/>
  <c r="W756" i="1"/>
  <c r="X756" i="1" s="1"/>
  <c r="W757" i="1"/>
  <c r="W758" i="1"/>
  <c r="X758" i="1" s="1"/>
  <c r="W759" i="1"/>
  <c r="X759" i="1" s="1"/>
  <c r="W760" i="1"/>
  <c r="W761" i="1"/>
  <c r="W762" i="1"/>
  <c r="X762" i="1" s="1"/>
  <c r="W763" i="1"/>
  <c r="W764" i="1"/>
  <c r="X764" i="1" s="1"/>
  <c r="W765" i="1"/>
  <c r="W766" i="1"/>
  <c r="X766" i="1" s="1"/>
  <c r="W767" i="1"/>
  <c r="X767" i="1" s="1"/>
  <c r="W768" i="1"/>
  <c r="W769" i="1"/>
  <c r="W770" i="1"/>
  <c r="X770" i="1" s="1"/>
  <c r="W771" i="1"/>
  <c r="W772" i="1"/>
  <c r="X772" i="1" s="1"/>
  <c r="W773" i="1"/>
  <c r="W774" i="1"/>
  <c r="X774" i="1" s="1"/>
  <c r="W775" i="1"/>
  <c r="X775" i="1" s="1"/>
  <c r="W776" i="1"/>
  <c r="W777" i="1"/>
  <c r="W778" i="1"/>
  <c r="X778" i="1" s="1"/>
  <c r="W779" i="1"/>
  <c r="W780" i="1"/>
  <c r="X780" i="1" s="1"/>
  <c r="W781" i="1"/>
  <c r="W782" i="1"/>
  <c r="X782" i="1" s="1"/>
  <c r="W783" i="1"/>
  <c r="X783" i="1" s="1"/>
  <c r="W784" i="1"/>
  <c r="W785" i="1"/>
  <c r="W786" i="1"/>
  <c r="X786" i="1" s="1"/>
  <c r="W787" i="1"/>
  <c r="W788" i="1"/>
  <c r="X788" i="1" s="1"/>
  <c r="W789" i="1"/>
  <c r="W790" i="1"/>
  <c r="X790" i="1" s="1"/>
  <c r="W791" i="1"/>
  <c r="X791" i="1" s="1"/>
  <c r="W792" i="1"/>
  <c r="W793" i="1"/>
  <c r="W794" i="1"/>
  <c r="X794" i="1" s="1"/>
  <c r="W795" i="1"/>
  <c r="W796" i="1"/>
  <c r="X796" i="1" s="1"/>
  <c r="W797" i="1"/>
  <c r="W798" i="1"/>
  <c r="X798" i="1" s="1"/>
  <c r="W799" i="1"/>
  <c r="X799" i="1" s="1"/>
  <c r="W800" i="1"/>
  <c r="W801" i="1"/>
  <c r="X801" i="1" s="1"/>
  <c r="W802" i="1"/>
  <c r="W803" i="1"/>
  <c r="X803" i="1" s="1"/>
  <c r="W804" i="1"/>
  <c r="W805" i="1"/>
  <c r="X805" i="1" s="1"/>
  <c r="W806" i="1"/>
  <c r="X806" i="1" s="1"/>
  <c r="W807" i="1"/>
  <c r="W808" i="1"/>
  <c r="W809" i="1"/>
  <c r="X809" i="1" s="1"/>
  <c r="W810" i="1"/>
  <c r="W811" i="1"/>
  <c r="X811" i="1" s="1"/>
  <c r="W812" i="1"/>
  <c r="W813" i="1"/>
  <c r="X813" i="1" s="1"/>
  <c r="W814" i="1"/>
  <c r="X814" i="1" s="1"/>
  <c r="W815" i="1"/>
  <c r="W816" i="1"/>
  <c r="W817" i="1"/>
  <c r="X817" i="1" s="1"/>
  <c r="W818" i="1"/>
  <c r="W819" i="1"/>
  <c r="X819" i="1" s="1"/>
  <c r="W820" i="1"/>
  <c r="W821" i="1"/>
  <c r="X821" i="1" s="1"/>
  <c r="W822" i="1"/>
  <c r="X822" i="1" s="1"/>
  <c r="W823" i="1"/>
  <c r="W824" i="1"/>
  <c r="W825" i="1"/>
  <c r="X825" i="1" s="1"/>
  <c r="W826" i="1"/>
  <c r="W827" i="1"/>
  <c r="X827" i="1" s="1"/>
  <c r="W828" i="1"/>
  <c r="W829" i="1"/>
  <c r="X829" i="1" s="1"/>
  <c r="W830" i="1"/>
  <c r="X830" i="1" s="1"/>
  <c r="W831" i="1"/>
  <c r="W832" i="1"/>
  <c r="W833" i="1"/>
  <c r="X833" i="1" s="1"/>
  <c r="W834" i="1"/>
  <c r="W835" i="1"/>
  <c r="X835" i="1" s="1"/>
  <c r="W836" i="1"/>
  <c r="W837" i="1"/>
  <c r="X837" i="1" s="1"/>
  <c r="W838" i="1"/>
  <c r="X838" i="1" s="1"/>
  <c r="W839" i="1"/>
  <c r="W840" i="1"/>
  <c r="W841" i="1"/>
  <c r="X841" i="1" s="1"/>
  <c r="W842" i="1"/>
  <c r="W843" i="1"/>
  <c r="X843" i="1" s="1"/>
  <c r="W844" i="1"/>
  <c r="W845" i="1"/>
  <c r="X845" i="1" s="1"/>
  <c r="W846" i="1"/>
  <c r="X846" i="1" s="1"/>
  <c r="W847" i="1"/>
  <c r="W848" i="1"/>
  <c r="W849" i="1"/>
  <c r="X849" i="1" s="1"/>
  <c r="W850" i="1"/>
  <c r="W851" i="1"/>
  <c r="X851" i="1" s="1"/>
  <c r="W852" i="1"/>
  <c r="W853" i="1"/>
  <c r="X853" i="1" s="1"/>
  <c r="W854" i="1"/>
  <c r="X854" i="1" s="1"/>
  <c r="W855" i="1"/>
  <c r="W856" i="1"/>
  <c r="W857" i="1"/>
  <c r="X857" i="1" s="1"/>
  <c r="W858" i="1"/>
  <c r="W859" i="1"/>
  <c r="X859" i="1" s="1"/>
  <c r="W860" i="1"/>
  <c r="W861" i="1"/>
  <c r="X861" i="1" s="1"/>
  <c r="W862" i="1"/>
  <c r="X862" i="1" s="1"/>
  <c r="W863" i="1"/>
  <c r="W864" i="1"/>
  <c r="W865" i="1"/>
  <c r="X865" i="1" s="1"/>
  <c r="W866" i="1"/>
  <c r="W867" i="1"/>
  <c r="X867" i="1" s="1"/>
  <c r="W868" i="1"/>
  <c r="W869" i="1"/>
  <c r="X869" i="1" s="1"/>
  <c r="W870" i="1"/>
  <c r="X870" i="1" s="1"/>
  <c r="W871" i="1"/>
  <c r="W872" i="1"/>
  <c r="W873" i="1"/>
  <c r="X873" i="1" s="1"/>
  <c r="W874" i="1"/>
  <c r="W875" i="1"/>
  <c r="X875" i="1" s="1"/>
  <c r="W876" i="1"/>
  <c r="W877" i="1"/>
  <c r="X877" i="1" s="1"/>
  <c r="W878" i="1"/>
  <c r="X878" i="1" s="1"/>
  <c r="W879" i="1"/>
  <c r="W880" i="1"/>
  <c r="W881" i="1"/>
  <c r="X881" i="1" s="1"/>
  <c r="W882" i="1"/>
  <c r="W883" i="1"/>
  <c r="X883" i="1" s="1"/>
  <c r="W884" i="1"/>
  <c r="W885" i="1"/>
  <c r="X885" i="1" s="1"/>
  <c r="W886" i="1"/>
  <c r="X886" i="1" s="1"/>
  <c r="W887" i="1"/>
  <c r="W888" i="1"/>
  <c r="W889" i="1"/>
  <c r="X889" i="1" s="1"/>
  <c r="W890" i="1"/>
  <c r="W891" i="1"/>
  <c r="X891" i="1" s="1"/>
  <c r="W892" i="1"/>
  <c r="W893" i="1"/>
  <c r="X893" i="1" s="1"/>
  <c r="W894" i="1"/>
  <c r="X894" i="1" s="1"/>
  <c r="W895" i="1"/>
  <c r="W896" i="1"/>
  <c r="W897" i="1"/>
  <c r="X897" i="1" s="1"/>
  <c r="W898" i="1"/>
  <c r="W899" i="1"/>
  <c r="X899" i="1" s="1"/>
  <c r="W900" i="1"/>
  <c r="W901" i="1"/>
  <c r="X901" i="1" s="1"/>
  <c r="W902" i="1"/>
  <c r="X902" i="1" s="1"/>
  <c r="W903" i="1"/>
  <c r="W904" i="1"/>
  <c r="W905" i="1"/>
  <c r="X905" i="1" s="1"/>
  <c r="W906" i="1"/>
  <c r="W907" i="1"/>
  <c r="X907" i="1" s="1"/>
  <c r="W908" i="1"/>
  <c r="W909" i="1"/>
  <c r="X909" i="1" s="1"/>
  <c r="W910" i="1"/>
  <c r="X910" i="1" s="1"/>
  <c r="W911" i="1"/>
  <c r="W912" i="1"/>
  <c r="W913" i="1"/>
  <c r="X913" i="1" s="1"/>
  <c r="W914" i="1"/>
  <c r="W915" i="1"/>
  <c r="X915" i="1" s="1"/>
  <c r="W916" i="1"/>
  <c r="W917" i="1"/>
  <c r="X917" i="1" s="1"/>
  <c r="W918" i="1"/>
  <c r="X918" i="1" s="1"/>
  <c r="W919" i="1"/>
  <c r="W920" i="1"/>
  <c r="W921" i="1"/>
  <c r="X921" i="1" s="1"/>
  <c r="W922" i="1"/>
  <c r="W923" i="1"/>
  <c r="X923" i="1" s="1"/>
  <c r="W924" i="1"/>
  <c r="W925" i="1"/>
  <c r="X925" i="1" s="1"/>
  <c r="W926" i="1"/>
  <c r="X926" i="1" s="1"/>
  <c r="W927" i="1"/>
  <c r="W928" i="1"/>
  <c r="W929" i="1"/>
  <c r="W930" i="1"/>
  <c r="W931" i="1"/>
  <c r="X931" i="1" s="1"/>
  <c r="W932" i="1"/>
  <c r="W933" i="1"/>
  <c r="X933" i="1" s="1"/>
  <c r="W934" i="1"/>
  <c r="X934" i="1" s="1"/>
  <c r="W935" i="1"/>
  <c r="W936" i="1"/>
  <c r="W937" i="1"/>
  <c r="W938" i="1"/>
  <c r="W939" i="1"/>
  <c r="X939" i="1" s="1"/>
  <c r="W940" i="1"/>
  <c r="W941" i="1"/>
  <c r="X941" i="1" s="1"/>
  <c r="W942" i="1"/>
  <c r="X942" i="1" s="1"/>
  <c r="W943" i="1"/>
  <c r="W944" i="1"/>
  <c r="W945" i="1"/>
  <c r="W946" i="1"/>
  <c r="W947" i="1"/>
  <c r="X947" i="1" s="1"/>
  <c r="W948" i="1"/>
  <c r="W949" i="1"/>
  <c r="X949" i="1" s="1"/>
  <c r="W950" i="1"/>
  <c r="X950" i="1" s="1"/>
  <c r="W951" i="1"/>
  <c r="W952" i="1"/>
  <c r="W953" i="1"/>
  <c r="W954" i="1"/>
  <c r="W955" i="1"/>
  <c r="X955" i="1" s="1"/>
  <c r="W956" i="1"/>
  <c r="W957" i="1"/>
  <c r="X957" i="1" s="1"/>
  <c r="W958" i="1"/>
  <c r="X958" i="1" s="1"/>
  <c r="W959" i="1"/>
  <c r="W960" i="1"/>
  <c r="W961" i="1"/>
  <c r="W962" i="1"/>
  <c r="W963" i="1"/>
  <c r="X963" i="1" s="1"/>
  <c r="W964" i="1"/>
  <c r="W965" i="1"/>
  <c r="X965" i="1" s="1"/>
  <c r="W966" i="1"/>
  <c r="W967" i="1"/>
  <c r="W968" i="1"/>
  <c r="W969" i="1"/>
  <c r="W970" i="1"/>
  <c r="W971" i="1"/>
  <c r="X971" i="1" s="1"/>
  <c r="W972" i="1"/>
  <c r="W973" i="1"/>
  <c r="X973" i="1" s="1"/>
  <c r="W974" i="1"/>
  <c r="W975" i="1"/>
  <c r="W976" i="1"/>
  <c r="W977" i="1"/>
  <c r="W978" i="1"/>
  <c r="W979" i="1"/>
  <c r="X979" i="1" s="1"/>
  <c r="W980" i="1"/>
  <c r="W981" i="1"/>
  <c r="X981" i="1" s="1"/>
  <c r="W982" i="1"/>
  <c r="W983" i="1"/>
  <c r="W984" i="1"/>
  <c r="W985" i="1"/>
  <c r="W986" i="1"/>
  <c r="W987" i="1"/>
  <c r="X987" i="1" s="1"/>
  <c r="W988" i="1"/>
  <c r="W989" i="1"/>
  <c r="X989" i="1" s="1"/>
  <c r="W990" i="1"/>
  <c r="W991" i="1"/>
  <c r="W992" i="1"/>
  <c r="W993" i="1"/>
  <c r="W994" i="1"/>
  <c r="W995" i="1"/>
  <c r="X995" i="1" s="1"/>
  <c r="W996" i="1"/>
  <c r="W997" i="1"/>
  <c r="X997" i="1" s="1"/>
  <c r="W998" i="1"/>
  <c r="W999" i="1"/>
  <c r="W1000" i="1"/>
  <c r="W1001" i="1"/>
  <c r="W1002" i="1"/>
  <c r="W1003" i="1"/>
  <c r="X1003" i="1" s="1"/>
  <c r="W1004" i="1"/>
  <c r="W1005" i="1"/>
  <c r="X1005" i="1" s="1"/>
  <c r="W1006" i="1"/>
  <c r="W1007" i="1"/>
  <c r="W1008" i="1"/>
  <c r="W1009" i="1"/>
  <c r="W1010" i="1"/>
  <c r="W1011" i="1"/>
  <c r="X1011" i="1" s="1"/>
  <c r="W1012" i="1"/>
  <c r="W1013" i="1"/>
  <c r="X1013" i="1" s="1"/>
  <c r="W1014" i="1"/>
  <c r="W1015" i="1"/>
  <c r="W1016" i="1"/>
  <c r="W1017" i="1"/>
  <c r="W1018" i="1"/>
  <c r="W1019" i="1"/>
  <c r="X1019" i="1" s="1"/>
  <c r="W1020" i="1"/>
  <c r="W1021" i="1"/>
  <c r="X1021" i="1" s="1"/>
  <c r="W1022" i="1"/>
  <c r="W1023" i="1"/>
  <c r="W1024" i="1"/>
  <c r="W1025" i="1"/>
  <c r="W1026" i="1"/>
  <c r="W1027" i="1"/>
  <c r="X1027" i="1" s="1"/>
  <c r="W1028" i="1"/>
  <c r="W1029" i="1"/>
  <c r="X1029" i="1" s="1"/>
  <c r="W1030" i="1"/>
  <c r="W1031" i="1"/>
  <c r="W1032" i="1"/>
  <c r="W1033" i="1"/>
  <c r="W1034" i="1"/>
  <c r="W1035" i="1"/>
  <c r="X1035" i="1" s="1"/>
  <c r="W1036" i="1"/>
  <c r="W1037" i="1"/>
  <c r="X1037" i="1" s="1"/>
  <c r="W1038" i="1"/>
  <c r="W1039" i="1"/>
  <c r="W1040" i="1"/>
  <c r="W1041" i="1"/>
  <c r="W1042" i="1"/>
  <c r="W1043" i="1"/>
  <c r="X1043" i="1" s="1"/>
  <c r="W1044" i="1"/>
  <c r="W1045" i="1"/>
  <c r="X1045" i="1" s="1"/>
  <c r="W1046" i="1"/>
  <c r="W1047" i="1"/>
  <c r="W1048" i="1"/>
  <c r="W1049" i="1"/>
  <c r="W1050" i="1"/>
  <c r="W1051" i="1"/>
  <c r="X1051" i="1" s="1"/>
  <c r="W1052" i="1"/>
  <c r="W1053" i="1"/>
  <c r="X1053" i="1" s="1"/>
  <c r="W1054" i="1"/>
  <c r="W1055" i="1"/>
  <c r="W1056" i="1"/>
  <c r="W1057" i="1"/>
  <c r="W1058" i="1"/>
  <c r="W1059" i="1"/>
  <c r="X1059" i="1" s="1"/>
  <c r="W1060" i="1"/>
  <c r="W1061" i="1"/>
  <c r="X1061" i="1" s="1"/>
  <c r="W1062" i="1"/>
  <c r="W1063" i="1"/>
  <c r="W1064" i="1"/>
  <c r="W1065" i="1"/>
  <c r="W1066" i="1"/>
  <c r="W1067" i="1"/>
  <c r="X1067" i="1" s="1"/>
  <c r="W1068" i="1"/>
  <c r="W2" i="1"/>
  <c r="X2" i="1" s="1"/>
  <c r="U3" i="1"/>
  <c r="Y3" i="1" s="1"/>
  <c r="U4" i="1"/>
  <c r="Y4" i="1" s="1"/>
  <c r="U5" i="1"/>
  <c r="Y5" i="1" s="1"/>
  <c r="U6" i="1"/>
  <c r="Y6" i="1" s="1"/>
  <c r="U7" i="1"/>
  <c r="Y7" i="1" s="1"/>
  <c r="U8" i="1"/>
  <c r="Y8" i="1" s="1"/>
  <c r="U9" i="1"/>
  <c r="Y9" i="1" s="1"/>
  <c r="U10" i="1"/>
  <c r="Y10" i="1" s="1"/>
  <c r="U11" i="1"/>
  <c r="Y11" i="1" s="1"/>
  <c r="U12" i="1"/>
  <c r="Y12" i="1" s="1"/>
  <c r="U13" i="1"/>
  <c r="Y13" i="1" s="1"/>
  <c r="U14" i="1"/>
  <c r="Y14" i="1" s="1"/>
  <c r="U15" i="1"/>
  <c r="Y15" i="1" s="1"/>
  <c r="U16" i="1"/>
  <c r="Y16" i="1" s="1"/>
  <c r="U17" i="1"/>
  <c r="Y17" i="1" s="1"/>
  <c r="U18" i="1"/>
  <c r="Y18" i="1" s="1"/>
  <c r="U19" i="1"/>
  <c r="Y19" i="1" s="1"/>
  <c r="U20" i="1"/>
  <c r="Y20" i="1" s="1"/>
  <c r="U21" i="1"/>
  <c r="Y21" i="1" s="1"/>
  <c r="U22" i="1"/>
  <c r="Y22" i="1" s="1"/>
  <c r="U23" i="1"/>
  <c r="Y23" i="1" s="1"/>
  <c r="U24" i="1"/>
  <c r="Y24" i="1" s="1"/>
  <c r="U25" i="1"/>
  <c r="Y25" i="1" s="1"/>
  <c r="U26" i="1"/>
  <c r="Y26" i="1" s="1"/>
  <c r="U27" i="1"/>
  <c r="Y27" i="1" s="1"/>
  <c r="U28" i="1"/>
  <c r="Y28" i="1" s="1"/>
  <c r="U29" i="1"/>
  <c r="Y29" i="1" s="1"/>
  <c r="U30" i="1"/>
  <c r="Y30" i="1" s="1"/>
  <c r="U31" i="1"/>
  <c r="Y31" i="1" s="1"/>
  <c r="U32" i="1"/>
  <c r="Y32" i="1" s="1"/>
  <c r="U33" i="1"/>
  <c r="Y33" i="1" s="1"/>
  <c r="U34" i="1"/>
  <c r="Y34" i="1" s="1"/>
  <c r="U35" i="1"/>
  <c r="Y35" i="1" s="1"/>
  <c r="U36" i="1"/>
  <c r="Y36" i="1" s="1"/>
  <c r="U37" i="1"/>
  <c r="Y37" i="1" s="1"/>
  <c r="U38" i="1"/>
  <c r="Y38" i="1" s="1"/>
  <c r="U39" i="1"/>
  <c r="Y39" i="1" s="1"/>
  <c r="U40" i="1"/>
  <c r="Y40" i="1" s="1"/>
  <c r="U41" i="1"/>
  <c r="Y41" i="1" s="1"/>
  <c r="U42" i="1"/>
  <c r="Y42" i="1" s="1"/>
  <c r="U43" i="1"/>
  <c r="Y43" i="1" s="1"/>
  <c r="U44" i="1"/>
  <c r="Y44" i="1" s="1"/>
  <c r="U45" i="1"/>
  <c r="Y45" i="1" s="1"/>
  <c r="U46" i="1"/>
  <c r="Y46" i="1" s="1"/>
  <c r="U47" i="1"/>
  <c r="Y47" i="1" s="1"/>
  <c r="U48" i="1"/>
  <c r="Y48" i="1" s="1"/>
  <c r="U49" i="1"/>
  <c r="Y49" i="1" s="1"/>
  <c r="U50" i="1"/>
  <c r="Y50" i="1" s="1"/>
  <c r="U51" i="1"/>
  <c r="Y51" i="1" s="1"/>
  <c r="U52" i="1"/>
  <c r="Y52" i="1" s="1"/>
  <c r="U53" i="1"/>
  <c r="Y53" i="1" s="1"/>
  <c r="U54" i="1"/>
  <c r="Y54" i="1" s="1"/>
  <c r="U55" i="1"/>
  <c r="Y55" i="1" s="1"/>
  <c r="U56" i="1"/>
  <c r="Y56" i="1" s="1"/>
  <c r="U57" i="1"/>
  <c r="Y57" i="1" s="1"/>
  <c r="U58" i="1"/>
  <c r="Y58" i="1" s="1"/>
  <c r="U59" i="1"/>
  <c r="Y59" i="1" s="1"/>
  <c r="U60" i="1"/>
  <c r="Y60" i="1" s="1"/>
  <c r="U61" i="1"/>
  <c r="Y61" i="1" s="1"/>
  <c r="U62" i="1"/>
  <c r="Y62" i="1" s="1"/>
  <c r="U63" i="1"/>
  <c r="Y63" i="1" s="1"/>
  <c r="U64" i="1"/>
  <c r="Y64" i="1" s="1"/>
  <c r="U65" i="1"/>
  <c r="Y65" i="1" s="1"/>
  <c r="U66" i="1"/>
  <c r="Y66" i="1" s="1"/>
  <c r="U67" i="1"/>
  <c r="Y67" i="1" s="1"/>
  <c r="U68" i="1"/>
  <c r="Y68" i="1" s="1"/>
  <c r="U69" i="1"/>
  <c r="Y69" i="1" s="1"/>
  <c r="U70" i="1"/>
  <c r="Y70" i="1" s="1"/>
  <c r="U71" i="1"/>
  <c r="Y71" i="1" s="1"/>
  <c r="U72" i="1"/>
  <c r="Y72" i="1" s="1"/>
  <c r="U73" i="1"/>
  <c r="Y73" i="1" s="1"/>
  <c r="U74" i="1"/>
  <c r="Y74" i="1" s="1"/>
  <c r="U75" i="1"/>
  <c r="Y75" i="1" s="1"/>
  <c r="U76" i="1"/>
  <c r="Y76" i="1" s="1"/>
  <c r="U77" i="1"/>
  <c r="Y77" i="1" s="1"/>
  <c r="U78" i="1"/>
  <c r="Y78" i="1" s="1"/>
  <c r="U79" i="1"/>
  <c r="Y79" i="1" s="1"/>
  <c r="U80" i="1"/>
  <c r="Y80" i="1" s="1"/>
  <c r="U81" i="1"/>
  <c r="Y81" i="1" s="1"/>
  <c r="U82" i="1"/>
  <c r="Y82" i="1" s="1"/>
  <c r="U83" i="1"/>
  <c r="Y83" i="1" s="1"/>
  <c r="U84" i="1"/>
  <c r="Y84" i="1" s="1"/>
  <c r="U85" i="1"/>
  <c r="Y85" i="1" s="1"/>
  <c r="U86" i="1"/>
  <c r="Y86" i="1" s="1"/>
  <c r="U87" i="1"/>
  <c r="Y87" i="1" s="1"/>
  <c r="U88" i="1"/>
  <c r="Y88" i="1" s="1"/>
  <c r="U89" i="1"/>
  <c r="Y89" i="1" s="1"/>
  <c r="U90" i="1"/>
  <c r="Y90" i="1" s="1"/>
  <c r="U91" i="1"/>
  <c r="Y91" i="1" s="1"/>
  <c r="U92" i="1"/>
  <c r="Y92" i="1" s="1"/>
  <c r="U93" i="1"/>
  <c r="Y93" i="1" s="1"/>
  <c r="U94" i="1"/>
  <c r="Y94" i="1" s="1"/>
  <c r="U95" i="1"/>
  <c r="Y95" i="1" s="1"/>
  <c r="U96" i="1"/>
  <c r="Y96" i="1" s="1"/>
  <c r="U97" i="1"/>
  <c r="Y97" i="1" s="1"/>
  <c r="U98" i="1"/>
  <c r="Y98" i="1" s="1"/>
  <c r="U99" i="1"/>
  <c r="Y99" i="1" s="1"/>
  <c r="U100" i="1"/>
  <c r="Y100" i="1" s="1"/>
  <c r="U101" i="1"/>
  <c r="Y101" i="1" s="1"/>
  <c r="U102" i="1"/>
  <c r="Y102" i="1" s="1"/>
  <c r="U103" i="1"/>
  <c r="Y103" i="1" s="1"/>
  <c r="U104" i="1"/>
  <c r="Y104" i="1" s="1"/>
  <c r="U105" i="1"/>
  <c r="Y105" i="1" s="1"/>
  <c r="U106" i="1"/>
  <c r="Y106" i="1" s="1"/>
  <c r="U107" i="1"/>
  <c r="Y107" i="1" s="1"/>
  <c r="U108" i="1"/>
  <c r="Y108" i="1" s="1"/>
  <c r="U109" i="1"/>
  <c r="Y109" i="1" s="1"/>
  <c r="U110" i="1"/>
  <c r="Y110" i="1" s="1"/>
  <c r="U111" i="1"/>
  <c r="Y111" i="1" s="1"/>
  <c r="U112" i="1"/>
  <c r="Y112" i="1" s="1"/>
  <c r="U113" i="1"/>
  <c r="Y113" i="1" s="1"/>
  <c r="U114" i="1"/>
  <c r="Y114" i="1" s="1"/>
  <c r="U115" i="1"/>
  <c r="Y115" i="1" s="1"/>
  <c r="U116" i="1"/>
  <c r="Y116" i="1" s="1"/>
  <c r="U117" i="1"/>
  <c r="Y117" i="1" s="1"/>
  <c r="U118" i="1"/>
  <c r="Y118" i="1" s="1"/>
  <c r="U119" i="1"/>
  <c r="Y119" i="1" s="1"/>
  <c r="U120" i="1"/>
  <c r="Y120" i="1" s="1"/>
  <c r="U121" i="1"/>
  <c r="Y121" i="1" s="1"/>
  <c r="U122" i="1"/>
  <c r="Y122" i="1" s="1"/>
  <c r="U123" i="1"/>
  <c r="Y123" i="1" s="1"/>
  <c r="U124" i="1"/>
  <c r="Y124" i="1" s="1"/>
  <c r="U125" i="1"/>
  <c r="Y125" i="1" s="1"/>
  <c r="U126" i="1"/>
  <c r="Y126" i="1" s="1"/>
  <c r="U127" i="1"/>
  <c r="Y127" i="1" s="1"/>
  <c r="U128" i="1"/>
  <c r="Y128" i="1" s="1"/>
  <c r="U129" i="1"/>
  <c r="Y129" i="1" s="1"/>
  <c r="U130" i="1"/>
  <c r="Y130" i="1" s="1"/>
  <c r="U131" i="1"/>
  <c r="Y131" i="1" s="1"/>
  <c r="U132" i="1"/>
  <c r="Y132" i="1" s="1"/>
  <c r="U133" i="1"/>
  <c r="Y133" i="1" s="1"/>
  <c r="U134" i="1"/>
  <c r="Y134" i="1" s="1"/>
  <c r="U135" i="1"/>
  <c r="Y135" i="1" s="1"/>
  <c r="U136" i="1"/>
  <c r="Y136" i="1" s="1"/>
  <c r="U137" i="1"/>
  <c r="Y137" i="1" s="1"/>
  <c r="U138" i="1"/>
  <c r="Y138" i="1" s="1"/>
  <c r="U139" i="1"/>
  <c r="Y139" i="1" s="1"/>
  <c r="U140" i="1"/>
  <c r="Y140" i="1" s="1"/>
  <c r="U141" i="1"/>
  <c r="Y141" i="1" s="1"/>
  <c r="U142" i="1"/>
  <c r="Y142" i="1" s="1"/>
  <c r="U143" i="1"/>
  <c r="Y143" i="1" s="1"/>
  <c r="U144" i="1"/>
  <c r="Y144" i="1" s="1"/>
  <c r="U145" i="1"/>
  <c r="Y145" i="1" s="1"/>
  <c r="U146" i="1"/>
  <c r="Y146" i="1" s="1"/>
  <c r="U147" i="1"/>
  <c r="Y147" i="1" s="1"/>
  <c r="U148" i="1"/>
  <c r="Y148" i="1" s="1"/>
  <c r="U149" i="1"/>
  <c r="Y149" i="1" s="1"/>
  <c r="U150" i="1"/>
  <c r="Y150" i="1" s="1"/>
  <c r="U151" i="1"/>
  <c r="Y151" i="1" s="1"/>
  <c r="U152" i="1"/>
  <c r="Y152" i="1" s="1"/>
  <c r="U153" i="1"/>
  <c r="Y153" i="1" s="1"/>
  <c r="U154" i="1"/>
  <c r="Y154" i="1" s="1"/>
  <c r="U155" i="1"/>
  <c r="Y155" i="1" s="1"/>
  <c r="U156" i="1"/>
  <c r="Y156" i="1" s="1"/>
  <c r="U157" i="1"/>
  <c r="Y157" i="1" s="1"/>
  <c r="U158" i="1"/>
  <c r="Y158" i="1" s="1"/>
  <c r="U159" i="1"/>
  <c r="Y159" i="1" s="1"/>
  <c r="U160" i="1"/>
  <c r="Y160" i="1" s="1"/>
  <c r="U161" i="1"/>
  <c r="Y161" i="1" s="1"/>
  <c r="U162" i="1"/>
  <c r="Y162" i="1" s="1"/>
  <c r="U163" i="1"/>
  <c r="Y163" i="1" s="1"/>
  <c r="U164" i="1"/>
  <c r="Y164" i="1" s="1"/>
  <c r="U165" i="1"/>
  <c r="Y165" i="1" s="1"/>
  <c r="U166" i="1"/>
  <c r="Y166" i="1" s="1"/>
  <c r="U167" i="1"/>
  <c r="Y167" i="1" s="1"/>
  <c r="U168" i="1"/>
  <c r="Y168" i="1" s="1"/>
  <c r="U169" i="1"/>
  <c r="Y169" i="1" s="1"/>
  <c r="U170" i="1"/>
  <c r="Y170" i="1" s="1"/>
  <c r="U171" i="1"/>
  <c r="Y171" i="1" s="1"/>
  <c r="U172" i="1"/>
  <c r="Y172" i="1" s="1"/>
  <c r="U173" i="1"/>
  <c r="Y173" i="1" s="1"/>
  <c r="U174" i="1"/>
  <c r="Y174" i="1" s="1"/>
  <c r="U175" i="1"/>
  <c r="Y175" i="1" s="1"/>
  <c r="U176" i="1"/>
  <c r="Y176" i="1" s="1"/>
  <c r="U177" i="1"/>
  <c r="Y177" i="1" s="1"/>
  <c r="U178" i="1"/>
  <c r="Y178" i="1" s="1"/>
  <c r="U179" i="1"/>
  <c r="Y179" i="1" s="1"/>
  <c r="U180" i="1"/>
  <c r="Y180" i="1" s="1"/>
  <c r="U181" i="1"/>
  <c r="Y181" i="1" s="1"/>
  <c r="U182" i="1"/>
  <c r="Y182" i="1" s="1"/>
  <c r="U183" i="1"/>
  <c r="Y183" i="1" s="1"/>
  <c r="U184" i="1"/>
  <c r="Y184" i="1" s="1"/>
  <c r="U185" i="1"/>
  <c r="Y185" i="1" s="1"/>
  <c r="U186" i="1"/>
  <c r="Y186" i="1" s="1"/>
  <c r="U187" i="1"/>
  <c r="Y187" i="1" s="1"/>
  <c r="U188" i="1"/>
  <c r="Y188" i="1" s="1"/>
  <c r="U189" i="1"/>
  <c r="Y189" i="1" s="1"/>
  <c r="U190" i="1"/>
  <c r="Y190" i="1" s="1"/>
  <c r="U191" i="1"/>
  <c r="Y191" i="1" s="1"/>
  <c r="U192" i="1"/>
  <c r="Y192" i="1" s="1"/>
  <c r="U193" i="1"/>
  <c r="Y193" i="1" s="1"/>
  <c r="U194" i="1"/>
  <c r="Y194" i="1" s="1"/>
  <c r="U195" i="1"/>
  <c r="Y195" i="1" s="1"/>
  <c r="U196" i="1"/>
  <c r="Y196" i="1" s="1"/>
  <c r="U197" i="1"/>
  <c r="Y197" i="1" s="1"/>
  <c r="U198" i="1"/>
  <c r="Y198" i="1" s="1"/>
  <c r="U199" i="1"/>
  <c r="Y199" i="1" s="1"/>
  <c r="U200" i="1"/>
  <c r="Y200" i="1" s="1"/>
  <c r="U201" i="1"/>
  <c r="Y201" i="1" s="1"/>
  <c r="U202" i="1"/>
  <c r="Y202" i="1" s="1"/>
  <c r="U203" i="1"/>
  <c r="Y203" i="1" s="1"/>
  <c r="U204" i="1"/>
  <c r="Y204" i="1" s="1"/>
  <c r="U205" i="1"/>
  <c r="Y205" i="1" s="1"/>
  <c r="U206" i="1"/>
  <c r="Y206" i="1" s="1"/>
  <c r="U207" i="1"/>
  <c r="Y207" i="1" s="1"/>
  <c r="U208" i="1"/>
  <c r="Y208" i="1" s="1"/>
  <c r="U209" i="1"/>
  <c r="Y209" i="1" s="1"/>
  <c r="U210" i="1"/>
  <c r="Y210" i="1" s="1"/>
  <c r="U211" i="1"/>
  <c r="Y211" i="1" s="1"/>
  <c r="U212" i="1"/>
  <c r="Y212" i="1" s="1"/>
  <c r="U213" i="1"/>
  <c r="Y213" i="1" s="1"/>
  <c r="U214" i="1"/>
  <c r="Y214" i="1" s="1"/>
  <c r="U215" i="1"/>
  <c r="Y215" i="1" s="1"/>
  <c r="U216" i="1"/>
  <c r="Y216" i="1" s="1"/>
  <c r="U217" i="1"/>
  <c r="Y217" i="1" s="1"/>
  <c r="U218" i="1"/>
  <c r="Y218" i="1" s="1"/>
  <c r="U219" i="1"/>
  <c r="Y219" i="1" s="1"/>
  <c r="U220" i="1"/>
  <c r="Y220" i="1" s="1"/>
  <c r="U221" i="1"/>
  <c r="Y221" i="1" s="1"/>
  <c r="U222" i="1"/>
  <c r="Y222" i="1" s="1"/>
  <c r="U223" i="1"/>
  <c r="Y223" i="1" s="1"/>
  <c r="U224" i="1"/>
  <c r="Y224" i="1" s="1"/>
  <c r="U225" i="1"/>
  <c r="Y225" i="1" s="1"/>
  <c r="U226" i="1"/>
  <c r="Y226" i="1" s="1"/>
  <c r="U227" i="1"/>
  <c r="Y227" i="1" s="1"/>
  <c r="U228" i="1"/>
  <c r="Y228" i="1" s="1"/>
  <c r="U229" i="1"/>
  <c r="Y229" i="1" s="1"/>
  <c r="U230" i="1"/>
  <c r="Y230" i="1" s="1"/>
  <c r="U231" i="1"/>
  <c r="Y231" i="1" s="1"/>
  <c r="U232" i="1"/>
  <c r="Y232" i="1" s="1"/>
  <c r="U233" i="1"/>
  <c r="Y233" i="1" s="1"/>
  <c r="U234" i="1"/>
  <c r="Y234" i="1" s="1"/>
  <c r="U235" i="1"/>
  <c r="Y235" i="1" s="1"/>
  <c r="U236" i="1"/>
  <c r="Y236" i="1" s="1"/>
  <c r="U237" i="1"/>
  <c r="Y237" i="1" s="1"/>
  <c r="U238" i="1"/>
  <c r="Y238" i="1" s="1"/>
  <c r="U239" i="1"/>
  <c r="Y239" i="1" s="1"/>
  <c r="U240" i="1"/>
  <c r="Y240" i="1" s="1"/>
  <c r="U241" i="1"/>
  <c r="Y241" i="1" s="1"/>
  <c r="U242" i="1"/>
  <c r="Y242" i="1" s="1"/>
  <c r="U243" i="1"/>
  <c r="Y243" i="1" s="1"/>
  <c r="U244" i="1"/>
  <c r="Y244" i="1" s="1"/>
  <c r="U245" i="1"/>
  <c r="Y245" i="1" s="1"/>
  <c r="U246" i="1"/>
  <c r="Y246" i="1" s="1"/>
  <c r="U247" i="1"/>
  <c r="Y247" i="1" s="1"/>
  <c r="U248" i="1"/>
  <c r="Y248" i="1" s="1"/>
  <c r="U249" i="1"/>
  <c r="Y249" i="1" s="1"/>
  <c r="U250" i="1"/>
  <c r="Y250" i="1" s="1"/>
  <c r="U251" i="1"/>
  <c r="Y251" i="1" s="1"/>
  <c r="U252" i="1"/>
  <c r="Y252" i="1" s="1"/>
  <c r="U253" i="1"/>
  <c r="Y253" i="1" s="1"/>
  <c r="U254" i="1"/>
  <c r="Y254" i="1" s="1"/>
  <c r="U255" i="1"/>
  <c r="Y255" i="1" s="1"/>
  <c r="U256" i="1"/>
  <c r="Y256" i="1" s="1"/>
  <c r="U257" i="1"/>
  <c r="Y257" i="1" s="1"/>
  <c r="U258" i="1"/>
  <c r="Y258" i="1" s="1"/>
  <c r="U259" i="1"/>
  <c r="Y259" i="1" s="1"/>
  <c r="U260" i="1"/>
  <c r="Y260" i="1" s="1"/>
  <c r="U261" i="1"/>
  <c r="Y261" i="1" s="1"/>
  <c r="U262" i="1"/>
  <c r="Y262" i="1" s="1"/>
  <c r="U263" i="1"/>
  <c r="Y263" i="1" s="1"/>
  <c r="U264" i="1"/>
  <c r="Y264" i="1" s="1"/>
  <c r="U265" i="1"/>
  <c r="Y265" i="1" s="1"/>
  <c r="U266" i="1"/>
  <c r="Y266" i="1" s="1"/>
  <c r="U267" i="1"/>
  <c r="Y267" i="1" s="1"/>
  <c r="U268" i="1"/>
  <c r="Y268" i="1" s="1"/>
  <c r="U269" i="1"/>
  <c r="Y269" i="1" s="1"/>
  <c r="U270" i="1"/>
  <c r="Y270" i="1" s="1"/>
  <c r="U271" i="1"/>
  <c r="Y271" i="1" s="1"/>
  <c r="U272" i="1"/>
  <c r="Y272" i="1" s="1"/>
  <c r="U273" i="1"/>
  <c r="Y273" i="1" s="1"/>
  <c r="U274" i="1"/>
  <c r="Y274" i="1" s="1"/>
  <c r="U275" i="1"/>
  <c r="Y275" i="1" s="1"/>
  <c r="U276" i="1"/>
  <c r="Y276" i="1" s="1"/>
  <c r="U277" i="1"/>
  <c r="Y277" i="1" s="1"/>
  <c r="U278" i="1"/>
  <c r="Y278" i="1" s="1"/>
  <c r="U279" i="1"/>
  <c r="Y279" i="1" s="1"/>
  <c r="U280" i="1"/>
  <c r="Y280" i="1" s="1"/>
  <c r="U281" i="1"/>
  <c r="Y281" i="1" s="1"/>
  <c r="U282" i="1"/>
  <c r="Y282" i="1" s="1"/>
  <c r="U283" i="1"/>
  <c r="Y283" i="1" s="1"/>
  <c r="U284" i="1"/>
  <c r="Y284" i="1" s="1"/>
  <c r="U285" i="1"/>
  <c r="Y285" i="1" s="1"/>
  <c r="U286" i="1"/>
  <c r="Y286" i="1" s="1"/>
  <c r="U287" i="1"/>
  <c r="Y287" i="1" s="1"/>
  <c r="U288" i="1"/>
  <c r="Y288" i="1" s="1"/>
  <c r="U289" i="1"/>
  <c r="Y289" i="1" s="1"/>
  <c r="U290" i="1"/>
  <c r="Y290" i="1" s="1"/>
  <c r="U291" i="1"/>
  <c r="Y291" i="1" s="1"/>
  <c r="U292" i="1"/>
  <c r="Y292" i="1" s="1"/>
  <c r="U293" i="1"/>
  <c r="Y293" i="1" s="1"/>
  <c r="U294" i="1"/>
  <c r="Y294" i="1" s="1"/>
  <c r="U295" i="1"/>
  <c r="Y295" i="1" s="1"/>
  <c r="U296" i="1"/>
  <c r="Y296" i="1" s="1"/>
  <c r="U297" i="1"/>
  <c r="Y297" i="1" s="1"/>
  <c r="U298" i="1"/>
  <c r="Y298" i="1" s="1"/>
  <c r="U299" i="1"/>
  <c r="Y299" i="1" s="1"/>
  <c r="U300" i="1"/>
  <c r="Y300" i="1" s="1"/>
  <c r="U301" i="1"/>
  <c r="Y301" i="1" s="1"/>
  <c r="U302" i="1"/>
  <c r="Y302" i="1" s="1"/>
  <c r="U303" i="1"/>
  <c r="Y303" i="1" s="1"/>
  <c r="U304" i="1"/>
  <c r="Y304" i="1" s="1"/>
  <c r="U305" i="1"/>
  <c r="Y305" i="1" s="1"/>
  <c r="U306" i="1"/>
  <c r="Y306" i="1" s="1"/>
  <c r="U307" i="1"/>
  <c r="Y307" i="1" s="1"/>
  <c r="U308" i="1"/>
  <c r="Y308" i="1" s="1"/>
  <c r="U309" i="1"/>
  <c r="Y309" i="1" s="1"/>
  <c r="U310" i="1"/>
  <c r="Y310" i="1" s="1"/>
  <c r="U311" i="1"/>
  <c r="Y311" i="1" s="1"/>
  <c r="U312" i="1"/>
  <c r="Y312" i="1" s="1"/>
  <c r="U313" i="1"/>
  <c r="Y313" i="1" s="1"/>
  <c r="U314" i="1"/>
  <c r="Y314" i="1" s="1"/>
  <c r="U315" i="1"/>
  <c r="Y315" i="1" s="1"/>
  <c r="U316" i="1"/>
  <c r="Y316" i="1" s="1"/>
  <c r="U317" i="1"/>
  <c r="Y317" i="1" s="1"/>
  <c r="U318" i="1"/>
  <c r="Y318" i="1" s="1"/>
  <c r="U319" i="1"/>
  <c r="Y319" i="1" s="1"/>
  <c r="U320" i="1"/>
  <c r="Y320" i="1" s="1"/>
  <c r="U321" i="1"/>
  <c r="Y321" i="1" s="1"/>
  <c r="U322" i="1"/>
  <c r="Y322" i="1" s="1"/>
  <c r="U323" i="1"/>
  <c r="Y323" i="1" s="1"/>
  <c r="U324" i="1"/>
  <c r="Y324" i="1" s="1"/>
  <c r="U325" i="1"/>
  <c r="Y325" i="1" s="1"/>
  <c r="U326" i="1"/>
  <c r="Y326" i="1" s="1"/>
  <c r="U327" i="1"/>
  <c r="Y327" i="1" s="1"/>
  <c r="U328" i="1"/>
  <c r="Y328" i="1" s="1"/>
  <c r="U329" i="1"/>
  <c r="Y329" i="1" s="1"/>
  <c r="U330" i="1"/>
  <c r="Y330" i="1" s="1"/>
  <c r="U331" i="1"/>
  <c r="Y331" i="1" s="1"/>
  <c r="U332" i="1"/>
  <c r="Y332" i="1" s="1"/>
  <c r="U333" i="1"/>
  <c r="Y333" i="1" s="1"/>
  <c r="U334" i="1"/>
  <c r="Y334" i="1" s="1"/>
  <c r="U335" i="1"/>
  <c r="Y335" i="1" s="1"/>
  <c r="U336" i="1"/>
  <c r="Y336" i="1" s="1"/>
  <c r="U337" i="1"/>
  <c r="Y337" i="1" s="1"/>
  <c r="U338" i="1"/>
  <c r="Y338" i="1" s="1"/>
  <c r="U339" i="1"/>
  <c r="Y339" i="1" s="1"/>
  <c r="U340" i="1"/>
  <c r="Y340" i="1" s="1"/>
  <c r="U341" i="1"/>
  <c r="Y341" i="1" s="1"/>
  <c r="U342" i="1"/>
  <c r="Y342" i="1" s="1"/>
  <c r="U343" i="1"/>
  <c r="Y343" i="1" s="1"/>
  <c r="U344" i="1"/>
  <c r="Y344" i="1" s="1"/>
  <c r="U345" i="1"/>
  <c r="Y345" i="1" s="1"/>
  <c r="U346" i="1"/>
  <c r="Y346" i="1" s="1"/>
  <c r="U347" i="1"/>
  <c r="Y347" i="1" s="1"/>
  <c r="U348" i="1"/>
  <c r="Y348" i="1" s="1"/>
  <c r="U349" i="1"/>
  <c r="Y349" i="1" s="1"/>
  <c r="U350" i="1"/>
  <c r="Y350" i="1" s="1"/>
  <c r="U351" i="1"/>
  <c r="Y351" i="1" s="1"/>
  <c r="U352" i="1"/>
  <c r="Y352" i="1" s="1"/>
  <c r="U353" i="1"/>
  <c r="Y353" i="1" s="1"/>
  <c r="U354" i="1"/>
  <c r="Y354" i="1" s="1"/>
  <c r="U355" i="1"/>
  <c r="Y355" i="1" s="1"/>
  <c r="U356" i="1"/>
  <c r="Y356" i="1" s="1"/>
  <c r="U357" i="1"/>
  <c r="Y357" i="1" s="1"/>
  <c r="U358" i="1"/>
  <c r="Y358" i="1" s="1"/>
  <c r="U359" i="1"/>
  <c r="Y359" i="1" s="1"/>
  <c r="U360" i="1"/>
  <c r="Y360" i="1" s="1"/>
  <c r="U361" i="1"/>
  <c r="Y361" i="1" s="1"/>
  <c r="U362" i="1"/>
  <c r="Y362" i="1" s="1"/>
  <c r="U363" i="1"/>
  <c r="Y363" i="1" s="1"/>
  <c r="U364" i="1"/>
  <c r="Y364" i="1" s="1"/>
  <c r="U365" i="1"/>
  <c r="Y365" i="1" s="1"/>
  <c r="U366" i="1"/>
  <c r="Y366" i="1" s="1"/>
  <c r="U367" i="1"/>
  <c r="Y367" i="1" s="1"/>
  <c r="U368" i="1"/>
  <c r="Y368" i="1" s="1"/>
  <c r="U369" i="1"/>
  <c r="Y369" i="1" s="1"/>
  <c r="U370" i="1"/>
  <c r="Y370" i="1" s="1"/>
  <c r="U371" i="1"/>
  <c r="Y371" i="1" s="1"/>
  <c r="U372" i="1"/>
  <c r="Y372" i="1" s="1"/>
  <c r="U373" i="1"/>
  <c r="Y373" i="1" s="1"/>
  <c r="U374" i="1"/>
  <c r="Y374" i="1" s="1"/>
  <c r="U375" i="1"/>
  <c r="Y375" i="1" s="1"/>
  <c r="U376" i="1"/>
  <c r="Y376" i="1" s="1"/>
  <c r="U377" i="1"/>
  <c r="Y377" i="1" s="1"/>
  <c r="U378" i="1"/>
  <c r="Y378" i="1" s="1"/>
  <c r="U379" i="1"/>
  <c r="Y379" i="1" s="1"/>
  <c r="U380" i="1"/>
  <c r="Y380" i="1" s="1"/>
  <c r="U381" i="1"/>
  <c r="Y381" i="1" s="1"/>
  <c r="U382" i="1"/>
  <c r="Y382" i="1" s="1"/>
  <c r="U383" i="1"/>
  <c r="Y383" i="1" s="1"/>
  <c r="U384" i="1"/>
  <c r="Y384" i="1" s="1"/>
  <c r="U385" i="1"/>
  <c r="Y385" i="1" s="1"/>
  <c r="U386" i="1"/>
  <c r="Y386" i="1" s="1"/>
  <c r="U387" i="1"/>
  <c r="Y387" i="1" s="1"/>
  <c r="U388" i="1"/>
  <c r="Y388" i="1" s="1"/>
  <c r="U389" i="1"/>
  <c r="Y389" i="1" s="1"/>
  <c r="U390" i="1"/>
  <c r="Y390" i="1" s="1"/>
  <c r="U391" i="1"/>
  <c r="Y391" i="1" s="1"/>
  <c r="U392" i="1"/>
  <c r="Y392" i="1" s="1"/>
  <c r="U393" i="1"/>
  <c r="Y393" i="1" s="1"/>
  <c r="U394" i="1"/>
  <c r="Y394" i="1" s="1"/>
  <c r="U395" i="1"/>
  <c r="Y395" i="1" s="1"/>
  <c r="U396" i="1"/>
  <c r="Y396" i="1" s="1"/>
  <c r="U397" i="1"/>
  <c r="Y397" i="1" s="1"/>
  <c r="U398" i="1"/>
  <c r="Y398" i="1" s="1"/>
  <c r="U399" i="1"/>
  <c r="Y399" i="1" s="1"/>
  <c r="U400" i="1"/>
  <c r="Y400" i="1" s="1"/>
  <c r="U401" i="1"/>
  <c r="Y401" i="1" s="1"/>
  <c r="U402" i="1"/>
  <c r="Y402" i="1" s="1"/>
  <c r="U403" i="1"/>
  <c r="Y403" i="1" s="1"/>
  <c r="U404" i="1"/>
  <c r="Y404" i="1" s="1"/>
  <c r="U405" i="1"/>
  <c r="Y405" i="1" s="1"/>
  <c r="U406" i="1"/>
  <c r="Y406" i="1" s="1"/>
  <c r="U407" i="1"/>
  <c r="Y407" i="1" s="1"/>
  <c r="U408" i="1"/>
  <c r="Y408" i="1" s="1"/>
  <c r="U409" i="1"/>
  <c r="Y409" i="1" s="1"/>
  <c r="U410" i="1"/>
  <c r="Y410" i="1" s="1"/>
  <c r="U411" i="1"/>
  <c r="Y411" i="1" s="1"/>
  <c r="U412" i="1"/>
  <c r="Y412" i="1" s="1"/>
  <c r="U413" i="1"/>
  <c r="Y413" i="1" s="1"/>
  <c r="U414" i="1"/>
  <c r="Y414" i="1" s="1"/>
  <c r="U415" i="1"/>
  <c r="Y415" i="1" s="1"/>
  <c r="U416" i="1"/>
  <c r="Y416" i="1" s="1"/>
  <c r="U417" i="1"/>
  <c r="Y417" i="1" s="1"/>
  <c r="U418" i="1"/>
  <c r="Y418" i="1" s="1"/>
  <c r="U419" i="1"/>
  <c r="Y419" i="1" s="1"/>
  <c r="U420" i="1"/>
  <c r="Y420" i="1" s="1"/>
  <c r="U421" i="1"/>
  <c r="Y421" i="1" s="1"/>
  <c r="U422" i="1"/>
  <c r="Y422" i="1" s="1"/>
  <c r="U423" i="1"/>
  <c r="Y423" i="1" s="1"/>
  <c r="U424" i="1"/>
  <c r="Y424" i="1" s="1"/>
  <c r="U425" i="1"/>
  <c r="Y425" i="1" s="1"/>
  <c r="U426" i="1"/>
  <c r="Y426" i="1" s="1"/>
  <c r="U427" i="1"/>
  <c r="Y427" i="1" s="1"/>
  <c r="U428" i="1"/>
  <c r="Y428" i="1" s="1"/>
  <c r="U429" i="1"/>
  <c r="Y429" i="1" s="1"/>
  <c r="U430" i="1"/>
  <c r="Y430" i="1" s="1"/>
  <c r="U431" i="1"/>
  <c r="Y431" i="1" s="1"/>
  <c r="U432" i="1"/>
  <c r="Y432" i="1" s="1"/>
  <c r="U433" i="1"/>
  <c r="Y433" i="1" s="1"/>
  <c r="U434" i="1"/>
  <c r="Y434" i="1" s="1"/>
  <c r="U435" i="1"/>
  <c r="Y435" i="1" s="1"/>
  <c r="U436" i="1"/>
  <c r="Y436" i="1" s="1"/>
  <c r="U437" i="1"/>
  <c r="Y437" i="1" s="1"/>
  <c r="U438" i="1"/>
  <c r="Y438" i="1" s="1"/>
  <c r="U439" i="1"/>
  <c r="Y439" i="1" s="1"/>
  <c r="U440" i="1"/>
  <c r="Y440" i="1" s="1"/>
  <c r="U441" i="1"/>
  <c r="Y441" i="1" s="1"/>
  <c r="U442" i="1"/>
  <c r="Y442" i="1" s="1"/>
  <c r="U443" i="1"/>
  <c r="Y443" i="1" s="1"/>
  <c r="U444" i="1"/>
  <c r="Y444" i="1" s="1"/>
  <c r="U445" i="1"/>
  <c r="Y445" i="1" s="1"/>
  <c r="U446" i="1"/>
  <c r="Y446" i="1" s="1"/>
  <c r="U447" i="1"/>
  <c r="Y447" i="1" s="1"/>
  <c r="U448" i="1"/>
  <c r="Y448" i="1" s="1"/>
  <c r="U449" i="1"/>
  <c r="Y449" i="1" s="1"/>
  <c r="U450" i="1"/>
  <c r="Y450" i="1" s="1"/>
  <c r="U451" i="1"/>
  <c r="Y451" i="1" s="1"/>
  <c r="U452" i="1"/>
  <c r="Y452" i="1" s="1"/>
  <c r="U453" i="1"/>
  <c r="Y453" i="1" s="1"/>
  <c r="U454" i="1"/>
  <c r="Y454" i="1" s="1"/>
  <c r="U455" i="1"/>
  <c r="Y455" i="1" s="1"/>
  <c r="U456" i="1"/>
  <c r="Y456" i="1" s="1"/>
  <c r="U457" i="1"/>
  <c r="Y457" i="1" s="1"/>
  <c r="U458" i="1"/>
  <c r="Y458" i="1" s="1"/>
  <c r="U459" i="1"/>
  <c r="Y459" i="1" s="1"/>
  <c r="U460" i="1"/>
  <c r="Y460" i="1" s="1"/>
  <c r="U461" i="1"/>
  <c r="Y461" i="1" s="1"/>
  <c r="U462" i="1"/>
  <c r="Y462" i="1" s="1"/>
  <c r="U463" i="1"/>
  <c r="Y463" i="1" s="1"/>
  <c r="U464" i="1"/>
  <c r="Y464" i="1" s="1"/>
  <c r="U465" i="1"/>
  <c r="Y465" i="1" s="1"/>
  <c r="U466" i="1"/>
  <c r="Y466" i="1" s="1"/>
  <c r="U467" i="1"/>
  <c r="Y467" i="1" s="1"/>
  <c r="U468" i="1"/>
  <c r="Y468" i="1" s="1"/>
  <c r="U469" i="1"/>
  <c r="Y469" i="1" s="1"/>
  <c r="U470" i="1"/>
  <c r="Y470" i="1" s="1"/>
  <c r="U471" i="1"/>
  <c r="Y471" i="1" s="1"/>
  <c r="U472" i="1"/>
  <c r="Y472" i="1" s="1"/>
  <c r="U473" i="1"/>
  <c r="Y473" i="1" s="1"/>
  <c r="U474" i="1"/>
  <c r="Y474" i="1" s="1"/>
  <c r="U475" i="1"/>
  <c r="Y475" i="1" s="1"/>
  <c r="U476" i="1"/>
  <c r="Y476" i="1" s="1"/>
  <c r="U477" i="1"/>
  <c r="Y477" i="1" s="1"/>
  <c r="U478" i="1"/>
  <c r="Y478" i="1" s="1"/>
  <c r="U479" i="1"/>
  <c r="Y479" i="1" s="1"/>
  <c r="U480" i="1"/>
  <c r="Y480" i="1" s="1"/>
  <c r="U481" i="1"/>
  <c r="Y481" i="1" s="1"/>
  <c r="U482" i="1"/>
  <c r="Y482" i="1" s="1"/>
  <c r="U483" i="1"/>
  <c r="Y483" i="1" s="1"/>
  <c r="U484" i="1"/>
  <c r="Y484" i="1" s="1"/>
  <c r="U485" i="1"/>
  <c r="Y485" i="1" s="1"/>
  <c r="U486" i="1"/>
  <c r="Y486" i="1" s="1"/>
  <c r="U487" i="1"/>
  <c r="Y487" i="1" s="1"/>
  <c r="U488" i="1"/>
  <c r="Y488" i="1" s="1"/>
  <c r="U489" i="1"/>
  <c r="Y489" i="1" s="1"/>
  <c r="U490" i="1"/>
  <c r="Y490" i="1" s="1"/>
  <c r="U491" i="1"/>
  <c r="Y491" i="1" s="1"/>
  <c r="U492" i="1"/>
  <c r="Y492" i="1" s="1"/>
  <c r="U493" i="1"/>
  <c r="Y493" i="1" s="1"/>
  <c r="U494" i="1"/>
  <c r="Y494" i="1" s="1"/>
  <c r="U495" i="1"/>
  <c r="Y495" i="1" s="1"/>
  <c r="U496" i="1"/>
  <c r="Y496" i="1" s="1"/>
  <c r="U497" i="1"/>
  <c r="Y497" i="1" s="1"/>
  <c r="U498" i="1"/>
  <c r="Y498" i="1" s="1"/>
  <c r="U499" i="1"/>
  <c r="Y499" i="1" s="1"/>
  <c r="U500" i="1"/>
  <c r="Y500" i="1" s="1"/>
  <c r="U501" i="1"/>
  <c r="Y501" i="1" s="1"/>
  <c r="U502" i="1"/>
  <c r="Y502" i="1" s="1"/>
  <c r="U503" i="1"/>
  <c r="Y503" i="1" s="1"/>
  <c r="U504" i="1"/>
  <c r="Y504" i="1" s="1"/>
  <c r="U505" i="1"/>
  <c r="Y505" i="1" s="1"/>
  <c r="U506" i="1"/>
  <c r="Y506" i="1" s="1"/>
  <c r="U507" i="1"/>
  <c r="Y507" i="1" s="1"/>
  <c r="U508" i="1"/>
  <c r="Y508" i="1" s="1"/>
  <c r="U509" i="1"/>
  <c r="Y509" i="1" s="1"/>
  <c r="U510" i="1"/>
  <c r="Y510" i="1" s="1"/>
  <c r="U511" i="1"/>
  <c r="Y511" i="1" s="1"/>
  <c r="U512" i="1"/>
  <c r="Y512" i="1" s="1"/>
  <c r="U513" i="1"/>
  <c r="Y513" i="1" s="1"/>
  <c r="U514" i="1"/>
  <c r="Y514" i="1" s="1"/>
  <c r="U515" i="1"/>
  <c r="Y515" i="1" s="1"/>
  <c r="U516" i="1"/>
  <c r="Y516" i="1" s="1"/>
  <c r="U517" i="1"/>
  <c r="Y517" i="1" s="1"/>
  <c r="U518" i="1"/>
  <c r="Y518" i="1" s="1"/>
  <c r="U519" i="1"/>
  <c r="Y519" i="1" s="1"/>
  <c r="U520" i="1"/>
  <c r="Y520" i="1" s="1"/>
  <c r="U521" i="1"/>
  <c r="Y521" i="1" s="1"/>
  <c r="U522" i="1"/>
  <c r="Y522" i="1" s="1"/>
  <c r="U523" i="1"/>
  <c r="Y523" i="1" s="1"/>
  <c r="U524" i="1"/>
  <c r="Y524" i="1" s="1"/>
  <c r="U525" i="1"/>
  <c r="Y525" i="1" s="1"/>
  <c r="U526" i="1"/>
  <c r="Y526" i="1" s="1"/>
  <c r="U527" i="1"/>
  <c r="Y527" i="1" s="1"/>
  <c r="U528" i="1"/>
  <c r="Y528" i="1" s="1"/>
  <c r="U529" i="1"/>
  <c r="Y529" i="1" s="1"/>
  <c r="U530" i="1"/>
  <c r="Y530" i="1" s="1"/>
  <c r="U531" i="1"/>
  <c r="Y531" i="1" s="1"/>
  <c r="U532" i="1"/>
  <c r="Y532" i="1" s="1"/>
  <c r="U533" i="1"/>
  <c r="Y533" i="1" s="1"/>
  <c r="U534" i="1"/>
  <c r="Y534" i="1" s="1"/>
  <c r="U535" i="1"/>
  <c r="Y535" i="1" s="1"/>
  <c r="U536" i="1"/>
  <c r="Y536" i="1" s="1"/>
  <c r="U537" i="1"/>
  <c r="Y537" i="1" s="1"/>
  <c r="U538" i="1"/>
  <c r="Y538" i="1" s="1"/>
  <c r="U539" i="1"/>
  <c r="Y539" i="1" s="1"/>
  <c r="U540" i="1"/>
  <c r="Y540" i="1" s="1"/>
  <c r="U541" i="1"/>
  <c r="Y541" i="1" s="1"/>
  <c r="U542" i="1"/>
  <c r="Y542" i="1" s="1"/>
  <c r="U543" i="1"/>
  <c r="Y543" i="1" s="1"/>
  <c r="U544" i="1"/>
  <c r="Y544" i="1" s="1"/>
  <c r="U545" i="1"/>
  <c r="Y545" i="1" s="1"/>
  <c r="U546" i="1"/>
  <c r="Y546" i="1" s="1"/>
  <c r="U547" i="1"/>
  <c r="Y547" i="1" s="1"/>
  <c r="U548" i="1"/>
  <c r="Y548" i="1" s="1"/>
  <c r="U549" i="1"/>
  <c r="Y549" i="1" s="1"/>
  <c r="U550" i="1"/>
  <c r="Y550" i="1" s="1"/>
  <c r="U551" i="1"/>
  <c r="Y551" i="1" s="1"/>
  <c r="U552" i="1"/>
  <c r="Y552" i="1" s="1"/>
  <c r="U553" i="1"/>
  <c r="Y553" i="1" s="1"/>
  <c r="U554" i="1"/>
  <c r="Y554" i="1" s="1"/>
  <c r="U555" i="1"/>
  <c r="Y555" i="1" s="1"/>
  <c r="U556" i="1"/>
  <c r="Y556" i="1" s="1"/>
  <c r="U557" i="1"/>
  <c r="Y557" i="1" s="1"/>
  <c r="U558" i="1"/>
  <c r="Y558" i="1" s="1"/>
  <c r="U559" i="1"/>
  <c r="Y559" i="1" s="1"/>
  <c r="U560" i="1"/>
  <c r="Y560" i="1" s="1"/>
  <c r="U561" i="1"/>
  <c r="Y561" i="1" s="1"/>
  <c r="U562" i="1"/>
  <c r="Y562" i="1" s="1"/>
  <c r="U563" i="1"/>
  <c r="Y563" i="1" s="1"/>
  <c r="U564" i="1"/>
  <c r="Y564" i="1" s="1"/>
  <c r="U565" i="1"/>
  <c r="Y565" i="1" s="1"/>
  <c r="U566" i="1"/>
  <c r="Y566" i="1" s="1"/>
  <c r="U567" i="1"/>
  <c r="Y567" i="1" s="1"/>
  <c r="U568" i="1"/>
  <c r="Y568" i="1" s="1"/>
  <c r="U569" i="1"/>
  <c r="Y569" i="1" s="1"/>
  <c r="U570" i="1"/>
  <c r="Y570" i="1" s="1"/>
  <c r="U571" i="1"/>
  <c r="Y571" i="1" s="1"/>
  <c r="U572" i="1"/>
  <c r="Y572" i="1" s="1"/>
  <c r="U573" i="1"/>
  <c r="Y573" i="1" s="1"/>
  <c r="U574" i="1"/>
  <c r="Y574" i="1" s="1"/>
  <c r="U575" i="1"/>
  <c r="Y575" i="1" s="1"/>
  <c r="U576" i="1"/>
  <c r="Y576" i="1" s="1"/>
  <c r="U577" i="1"/>
  <c r="Y577" i="1" s="1"/>
  <c r="U578" i="1"/>
  <c r="Y578" i="1" s="1"/>
  <c r="U579" i="1"/>
  <c r="Y579" i="1" s="1"/>
  <c r="U580" i="1"/>
  <c r="Y580" i="1" s="1"/>
  <c r="U581" i="1"/>
  <c r="Y581" i="1" s="1"/>
  <c r="U582" i="1"/>
  <c r="Y582" i="1" s="1"/>
  <c r="U583" i="1"/>
  <c r="Y583" i="1" s="1"/>
  <c r="U584" i="1"/>
  <c r="Y584" i="1" s="1"/>
  <c r="U585" i="1"/>
  <c r="Y585" i="1" s="1"/>
  <c r="U586" i="1"/>
  <c r="Y586" i="1" s="1"/>
  <c r="U587" i="1"/>
  <c r="Y587" i="1" s="1"/>
  <c r="U588" i="1"/>
  <c r="Y588" i="1" s="1"/>
  <c r="U589" i="1"/>
  <c r="Y589" i="1" s="1"/>
  <c r="U590" i="1"/>
  <c r="Y590" i="1" s="1"/>
  <c r="U591" i="1"/>
  <c r="Y591" i="1" s="1"/>
  <c r="U592" i="1"/>
  <c r="Y592" i="1" s="1"/>
  <c r="U593" i="1"/>
  <c r="Y593" i="1" s="1"/>
  <c r="U594" i="1"/>
  <c r="Y594" i="1" s="1"/>
  <c r="U595" i="1"/>
  <c r="Y595" i="1" s="1"/>
  <c r="U596" i="1"/>
  <c r="Y596" i="1" s="1"/>
  <c r="U597" i="1"/>
  <c r="Y597" i="1" s="1"/>
  <c r="U598" i="1"/>
  <c r="Y598" i="1" s="1"/>
  <c r="U599" i="1"/>
  <c r="Y599" i="1" s="1"/>
  <c r="U600" i="1"/>
  <c r="Y600" i="1" s="1"/>
  <c r="U601" i="1"/>
  <c r="Y601" i="1" s="1"/>
  <c r="U602" i="1"/>
  <c r="Y602" i="1" s="1"/>
  <c r="U603" i="1"/>
  <c r="Y603" i="1" s="1"/>
  <c r="U604" i="1"/>
  <c r="Y604" i="1" s="1"/>
  <c r="U605" i="1"/>
  <c r="Y605" i="1" s="1"/>
  <c r="U606" i="1"/>
  <c r="Y606" i="1" s="1"/>
  <c r="U607" i="1"/>
  <c r="Y607" i="1" s="1"/>
  <c r="U608" i="1"/>
  <c r="Y608" i="1" s="1"/>
  <c r="U609" i="1"/>
  <c r="Y609" i="1" s="1"/>
  <c r="U610" i="1"/>
  <c r="Y610" i="1" s="1"/>
  <c r="U611" i="1"/>
  <c r="Y611" i="1" s="1"/>
  <c r="U612" i="1"/>
  <c r="Y612" i="1" s="1"/>
  <c r="U613" i="1"/>
  <c r="Y613" i="1" s="1"/>
  <c r="U614" i="1"/>
  <c r="Y614" i="1" s="1"/>
  <c r="U615" i="1"/>
  <c r="Y615" i="1" s="1"/>
  <c r="U616" i="1"/>
  <c r="Y616" i="1" s="1"/>
  <c r="U617" i="1"/>
  <c r="Y617" i="1" s="1"/>
  <c r="U618" i="1"/>
  <c r="Y618" i="1" s="1"/>
  <c r="U619" i="1"/>
  <c r="Y619" i="1" s="1"/>
  <c r="U620" i="1"/>
  <c r="Y620" i="1" s="1"/>
  <c r="U621" i="1"/>
  <c r="Y621" i="1" s="1"/>
  <c r="U622" i="1"/>
  <c r="Y622" i="1" s="1"/>
  <c r="U623" i="1"/>
  <c r="Y623" i="1" s="1"/>
  <c r="U624" i="1"/>
  <c r="Y624" i="1" s="1"/>
  <c r="U625" i="1"/>
  <c r="Y625" i="1" s="1"/>
  <c r="U626" i="1"/>
  <c r="Y626" i="1" s="1"/>
  <c r="U627" i="1"/>
  <c r="Y627" i="1" s="1"/>
  <c r="U628" i="1"/>
  <c r="Y628" i="1" s="1"/>
  <c r="U629" i="1"/>
  <c r="Y629" i="1" s="1"/>
  <c r="U630" i="1"/>
  <c r="Y630" i="1" s="1"/>
  <c r="U631" i="1"/>
  <c r="Y631" i="1" s="1"/>
  <c r="U632" i="1"/>
  <c r="Y632" i="1" s="1"/>
  <c r="U633" i="1"/>
  <c r="Y633" i="1" s="1"/>
  <c r="U634" i="1"/>
  <c r="Y634" i="1" s="1"/>
  <c r="U635" i="1"/>
  <c r="Y635" i="1" s="1"/>
  <c r="U636" i="1"/>
  <c r="Y636" i="1" s="1"/>
  <c r="U637" i="1"/>
  <c r="Y637" i="1" s="1"/>
  <c r="U638" i="1"/>
  <c r="Y638" i="1" s="1"/>
  <c r="U639" i="1"/>
  <c r="Y639" i="1" s="1"/>
  <c r="U640" i="1"/>
  <c r="Y640" i="1" s="1"/>
  <c r="U641" i="1"/>
  <c r="Y641" i="1" s="1"/>
  <c r="U642" i="1"/>
  <c r="Y642" i="1" s="1"/>
  <c r="U643" i="1"/>
  <c r="Y643" i="1" s="1"/>
  <c r="U644" i="1"/>
  <c r="Y644" i="1" s="1"/>
  <c r="U645" i="1"/>
  <c r="Y645" i="1" s="1"/>
  <c r="U646" i="1"/>
  <c r="Y646" i="1" s="1"/>
  <c r="U647" i="1"/>
  <c r="Y647" i="1" s="1"/>
  <c r="U648" i="1"/>
  <c r="Y648" i="1" s="1"/>
  <c r="U649" i="1"/>
  <c r="Y649" i="1" s="1"/>
  <c r="U650" i="1"/>
  <c r="Y650" i="1" s="1"/>
  <c r="U651" i="1"/>
  <c r="Y651" i="1" s="1"/>
  <c r="U652" i="1"/>
  <c r="Y652" i="1" s="1"/>
  <c r="U653" i="1"/>
  <c r="Y653" i="1" s="1"/>
  <c r="U654" i="1"/>
  <c r="Y654" i="1" s="1"/>
  <c r="U655" i="1"/>
  <c r="Y655" i="1" s="1"/>
  <c r="U656" i="1"/>
  <c r="Y656" i="1" s="1"/>
  <c r="U657" i="1"/>
  <c r="Y657" i="1" s="1"/>
  <c r="U658" i="1"/>
  <c r="Y658" i="1" s="1"/>
  <c r="U659" i="1"/>
  <c r="Y659" i="1" s="1"/>
  <c r="U660" i="1"/>
  <c r="Y660" i="1" s="1"/>
  <c r="U661" i="1"/>
  <c r="Y661" i="1" s="1"/>
  <c r="U662" i="1"/>
  <c r="Y662" i="1" s="1"/>
  <c r="U663" i="1"/>
  <c r="Y663" i="1" s="1"/>
  <c r="U664" i="1"/>
  <c r="Y664" i="1" s="1"/>
  <c r="U665" i="1"/>
  <c r="Y665" i="1" s="1"/>
  <c r="U666" i="1"/>
  <c r="Y666" i="1" s="1"/>
  <c r="U667" i="1"/>
  <c r="Y667" i="1" s="1"/>
  <c r="U668" i="1"/>
  <c r="Y668" i="1" s="1"/>
  <c r="U669" i="1"/>
  <c r="Y669" i="1" s="1"/>
  <c r="U670" i="1"/>
  <c r="Y670" i="1" s="1"/>
  <c r="U671" i="1"/>
  <c r="Y671" i="1" s="1"/>
  <c r="U672" i="1"/>
  <c r="Y672" i="1" s="1"/>
  <c r="U673" i="1"/>
  <c r="Y673" i="1" s="1"/>
  <c r="U674" i="1"/>
  <c r="Y674" i="1" s="1"/>
  <c r="U675" i="1"/>
  <c r="Y675" i="1" s="1"/>
  <c r="U676" i="1"/>
  <c r="Y676" i="1" s="1"/>
  <c r="U677" i="1"/>
  <c r="Y677" i="1" s="1"/>
  <c r="U678" i="1"/>
  <c r="Y678" i="1" s="1"/>
  <c r="U679" i="1"/>
  <c r="Y679" i="1" s="1"/>
  <c r="U680" i="1"/>
  <c r="Y680" i="1" s="1"/>
  <c r="U681" i="1"/>
  <c r="Y681" i="1" s="1"/>
  <c r="U682" i="1"/>
  <c r="Y682" i="1" s="1"/>
  <c r="U683" i="1"/>
  <c r="Y683" i="1" s="1"/>
  <c r="U684" i="1"/>
  <c r="Y684" i="1" s="1"/>
  <c r="U685" i="1"/>
  <c r="Y685" i="1" s="1"/>
  <c r="U686" i="1"/>
  <c r="Y686" i="1" s="1"/>
  <c r="U687" i="1"/>
  <c r="Y687" i="1" s="1"/>
  <c r="U688" i="1"/>
  <c r="Y688" i="1" s="1"/>
  <c r="U689" i="1"/>
  <c r="Y689" i="1" s="1"/>
  <c r="U690" i="1"/>
  <c r="Y690" i="1" s="1"/>
  <c r="U691" i="1"/>
  <c r="Y691" i="1" s="1"/>
  <c r="U692" i="1"/>
  <c r="Y692" i="1" s="1"/>
  <c r="U693" i="1"/>
  <c r="Y693" i="1" s="1"/>
  <c r="U694" i="1"/>
  <c r="Y694" i="1" s="1"/>
  <c r="U695" i="1"/>
  <c r="Y695" i="1" s="1"/>
  <c r="U696" i="1"/>
  <c r="Y696" i="1" s="1"/>
  <c r="U697" i="1"/>
  <c r="Y697" i="1" s="1"/>
  <c r="U698" i="1"/>
  <c r="Y698" i="1" s="1"/>
  <c r="U699" i="1"/>
  <c r="Y699" i="1" s="1"/>
  <c r="U700" i="1"/>
  <c r="Y700" i="1" s="1"/>
  <c r="U701" i="1"/>
  <c r="Y701" i="1" s="1"/>
  <c r="U702" i="1"/>
  <c r="Y702" i="1" s="1"/>
  <c r="U703" i="1"/>
  <c r="Y703" i="1" s="1"/>
  <c r="U704" i="1"/>
  <c r="Y704" i="1" s="1"/>
  <c r="U705" i="1"/>
  <c r="Y705" i="1" s="1"/>
  <c r="U706" i="1"/>
  <c r="Y706" i="1" s="1"/>
  <c r="U707" i="1"/>
  <c r="Y707" i="1" s="1"/>
  <c r="U708" i="1"/>
  <c r="Y708" i="1" s="1"/>
  <c r="U709" i="1"/>
  <c r="Y709" i="1" s="1"/>
  <c r="U710" i="1"/>
  <c r="Y710" i="1" s="1"/>
  <c r="U711" i="1"/>
  <c r="Y711" i="1" s="1"/>
  <c r="U712" i="1"/>
  <c r="Y712" i="1" s="1"/>
  <c r="U713" i="1"/>
  <c r="Y713" i="1" s="1"/>
  <c r="U714" i="1"/>
  <c r="Y714" i="1" s="1"/>
  <c r="U715" i="1"/>
  <c r="Y715" i="1" s="1"/>
  <c r="U716" i="1"/>
  <c r="Y716" i="1" s="1"/>
  <c r="U717" i="1"/>
  <c r="Y717" i="1" s="1"/>
  <c r="U718" i="1"/>
  <c r="Y718" i="1" s="1"/>
  <c r="U719" i="1"/>
  <c r="Y719" i="1" s="1"/>
  <c r="U720" i="1"/>
  <c r="Y720" i="1" s="1"/>
  <c r="U721" i="1"/>
  <c r="Y721" i="1" s="1"/>
  <c r="U722" i="1"/>
  <c r="Y722" i="1" s="1"/>
  <c r="U723" i="1"/>
  <c r="Y723" i="1" s="1"/>
  <c r="U724" i="1"/>
  <c r="Y724" i="1" s="1"/>
  <c r="U725" i="1"/>
  <c r="Y725" i="1" s="1"/>
  <c r="U726" i="1"/>
  <c r="Y726" i="1" s="1"/>
  <c r="U727" i="1"/>
  <c r="Y727" i="1" s="1"/>
  <c r="U728" i="1"/>
  <c r="Y728" i="1" s="1"/>
  <c r="U729" i="1"/>
  <c r="Y729" i="1" s="1"/>
  <c r="U730" i="1"/>
  <c r="Y730" i="1" s="1"/>
  <c r="U731" i="1"/>
  <c r="Y731" i="1" s="1"/>
  <c r="U732" i="1"/>
  <c r="Y732" i="1" s="1"/>
  <c r="U733" i="1"/>
  <c r="Y733" i="1" s="1"/>
  <c r="U734" i="1"/>
  <c r="Y734" i="1" s="1"/>
  <c r="U735" i="1"/>
  <c r="Y735" i="1" s="1"/>
  <c r="U736" i="1"/>
  <c r="Y736" i="1" s="1"/>
  <c r="U737" i="1"/>
  <c r="Y737" i="1" s="1"/>
  <c r="U738" i="1"/>
  <c r="Y738" i="1" s="1"/>
  <c r="U739" i="1"/>
  <c r="Y739" i="1" s="1"/>
  <c r="U740" i="1"/>
  <c r="Y740" i="1" s="1"/>
  <c r="U741" i="1"/>
  <c r="Y741" i="1" s="1"/>
  <c r="U742" i="1"/>
  <c r="Y742" i="1" s="1"/>
  <c r="U743" i="1"/>
  <c r="Y743" i="1" s="1"/>
  <c r="U744" i="1"/>
  <c r="Y744" i="1" s="1"/>
  <c r="U745" i="1"/>
  <c r="Y745" i="1" s="1"/>
  <c r="U746" i="1"/>
  <c r="Y746" i="1" s="1"/>
  <c r="U747" i="1"/>
  <c r="Y747" i="1" s="1"/>
  <c r="U748" i="1"/>
  <c r="Y748" i="1" s="1"/>
  <c r="U749" i="1"/>
  <c r="Y749" i="1" s="1"/>
  <c r="U750" i="1"/>
  <c r="Y750" i="1" s="1"/>
  <c r="U751" i="1"/>
  <c r="Y751" i="1" s="1"/>
  <c r="U752" i="1"/>
  <c r="Y752" i="1" s="1"/>
  <c r="U753" i="1"/>
  <c r="Y753" i="1" s="1"/>
  <c r="U754" i="1"/>
  <c r="Y754" i="1" s="1"/>
  <c r="U755" i="1"/>
  <c r="Y755" i="1" s="1"/>
  <c r="U756" i="1"/>
  <c r="Y756" i="1" s="1"/>
  <c r="U757" i="1"/>
  <c r="Y757" i="1" s="1"/>
  <c r="U758" i="1"/>
  <c r="Y758" i="1" s="1"/>
  <c r="U759" i="1"/>
  <c r="Y759" i="1" s="1"/>
  <c r="U760" i="1"/>
  <c r="Y760" i="1" s="1"/>
  <c r="U761" i="1"/>
  <c r="Y761" i="1" s="1"/>
  <c r="U762" i="1"/>
  <c r="Y762" i="1" s="1"/>
  <c r="U763" i="1"/>
  <c r="Y763" i="1" s="1"/>
  <c r="U764" i="1"/>
  <c r="Y764" i="1" s="1"/>
  <c r="U765" i="1"/>
  <c r="Y765" i="1" s="1"/>
  <c r="U766" i="1"/>
  <c r="Y766" i="1" s="1"/>
  <c r="U767" i="1"/>
  <c r="Y767" i="1" s="1"/>
  <c r="U768" i="1"/>
  <c r="Y768" i="1" s="1"/>
  <c r="U769" i="1"/>
  <c r="Y769" i="1" s="1"/>
  <c r="U770" i="1"/>
  <c r="Y770" i="1" s="1"/>
  <c r="U771" i="1"/>
  <c r="Y771" i="1" s="1"/>
  <c r="U772" i="1"/>
  <c r="Y772" i="1" s="1"/>
  <c r="U773" i="1"/>
  <c r="Y773" i="1" s="1"/>
  <c r="U774" i="1"/>
  <c r="Y774" i="1" s="1"/>
  <c r="U775" i="1"/>
  <c r="Y775" i="1" s="1"/>
  <c r="U776" i="1"/>
  <c r="Y776" i="1" s="1"/>
  <c r="U777" i="1"/>
  <c r="Y777" i="1" s="1"/>
  <c r="U778" i="1"/>
  <c r="Y778" i="1" s="1"/>
  <c r="U779" i="1"/>
  <c r="Y779" i="1" s="1"/>
  <c r="U780" i="1"/>
  <c r="Y780" i="1" s="1"/>
  <c r="U781" i="1"/>
  <c r="Y781" i="1" s="1"/>
  <c r="U782" i="1"/>
  <c r="Y782" i="1" s="1"/>
  <c r="U783" i="1"/>
  <c r="Y783" i="1" s="1"/>
  <c r="U784" i="1"/>
  <c r="Y784" i="1" s="1"/>
  <c r="U785" i="1"/>
  <c r="Y785" i="1" s="1"/>
  <c r="U786" i="1"/>
  <c r="Y786" i="1" s="1"/>
  <c r="U787" i="1"/>
  <c r="Y787" i="1" s="1"/>
  <c r="U788" i="1"/>
  <c r="Y788" i="1" s="1"/>
  <c r="U789" i="1"/>
  <c r="Y789" i="1" s="1"/>
  <c r="U790" i="1"/>
  <c r="Y790" i="1" s="1"/>
  <c r="U791" i="1"/>
  <c r="Y791" i="1" s="1"/>
  <c r="U792" i="1"/>
  <c r="Y792" i="1" s="1"/>
  <c r="U793" i="1"/>
  <c r="Y793" i="1" s="1"/>
  <c r="U794" i="1"/>
  <c r="Y794" i="1" s="1"/>
  <c r="U795" i="1"/>
  <c r="Y795" i="1" s="1"/>
  <c r="U796" i="1"/>
  <c r="Y796" i="1" s="1"/>
  <c r="U797" i="1"/>
  <c r="Y797" i="1" s="1"/>
  <c r="U798" i="1"/>
  <c r="Y798" i="1" s="1"/>
  <c r="U799" i="1"/>
  <c r="Y799" i="1" s="1"/>
  <c r="U800" i="1"/>
  <c r="Y800" i="1" s="1"/>
  <c r="U801" i="1"/>
  <c r="Y801" i="1" s="1"/>
  <c r="U802" i="1"/>
  <c r="Y802" i="1" s="1"/>
  <c r="U803" i="1"/>
  <c r="Y803" i="1" s="1"/>
  <c r="U804" i="1"/>
  <c r="Y804" i="1" s="1"/>
  <c r="U805" i="1"/>
  <c r="Y805" i="1" s="1"/>
  <c r="U806" i="1"/>
  <c r="Y806" i="1" s="1"/>
  <c r="U807" i="1"/>
  <c r="Y807" i="1" s="1"/>
  <c r="U808" i="1"/>
  <c r="Y808" i="1" s="1"/>
  <c r="U809" i="1"/>
  <c r="Y809" i="1" s="1"/>
  <c r="U810" i="1"/>
  <c r="Y810" i="1" s="1"/>
  <c r="U811" i="1"/>
  <c r="Y811" i="1" s="1"/>
  <c r="U812" i="1"/>
  <c r="Y812" i="1" s="1"/>
  <c r="U813" i="1"/>
  <c r="Y813" i="1" s="1"/>
  <c r="U814" i="1"/>
  <c r="Y814" i="1" s="1"/>
  <c r="U815" i="1"/>
  <c r="Y815" i="1" s="1"/>
  <c r="U816" i="1"/>
  <c r="Y816" i="1" s="1"/>
  <c r="U817" i="1"/>
  <c r="Y817" i="1" s="1"/>
  <c r="U818" i="1"/>
  <c r="Y818" i="1" s="1"/>
  <c r="U819" i="1"/>
  <c r="Y819" i="1" s="1"/>
  <c r="U820" i="1"/>
  <c r="Y820" i="1" s="1"/>
  <c r="U821" i="1"/>
  <c r="Y821" i="1" s="1"/>
  <c r="U822" i="1"/>
  <c r="Y822" i="1" s="1"/>
  <c r="U823" i="1"/>
  <c r="Y823" i="1" s="1"/>
  <c r="U824" i="1"/>
  <c r="Y824" i="1" s="1"/>
  <c r="U825" i="1"/>
  <c r="Y825" i="1" s="1"/>
  <c r="U826" i="1"/>
  <c r="Y826" i="1" s="1"/>
  <c r="U827" i="1"/>
  <c r="Y827" i="1" s="1"/>
  <c r="U828" i="1"/>
  <c r="Y828" i="1" s="1"/>
  <c r="U829" i="1"/>
  <c r="Y829" i="1" s="1"/>
  <c r="U830" i="1"/>
  <c r="Y830" i="1" s="1"/>
  <c r="U831" i="1"/>
  <c r="Y831" i="1" s="1"/>
  <c r="U832" i="1"/>
  <c r="Y832" i="1" s="1"/>
  <c r="U833" i="1"/>
  <c r="Y833" i="1" s="1"/>
  <c r="U834" i="1"/>
  <c r="Y834" i="1" s="1"/>
  <c r="U835" i="1"/>
  <c r="Y835" i="1" s="1"/>
  <c r="U836" i="1"/>
  <c r="Y836" i="1" s="1"/>
  <c r="U837" i="1"/>
  <c r="Y837" i="1" s="1"/>
  <c r="U838" i="1"/>
  <c r="Y838" i="1" s="1"/>
  <c r="U839" i="1"/>
  <c r="Y839" i="1" s="1"/>
  <c r="U840" i="1"/>
  <c r="Y840" i="1" s="1"/>
  <c r="U841" i="1"/>
  <c r="Y841" i="1" s="1"/>
  <c r="U842" i="1"/>
  <c r="Y842" i="1" s="1"/>
  <c r="U843" i="1"/>
  <c r="Y843" i="1" s="1"/>
  <c r="U844" i="1"/>
  <c r="Y844" i="1" s="1"/>
  <c r="U845" i="1"/>
  <c r="Y845" i="1" s="1"/>
  <c r="U846" i="1"/>
  <c r="Y846" i="1" s="1"/>
  <c r="U847" i="1"/>
  <c r="Y847" i="1" s="1"/>
  <c r="U848" i="1"/>
  <c r="Y848" i="1" s="1"/>
  <c r="U849" i="1"/>
  <c r="Y849" i="1" s="1"/>
  <c r="U850" i="1"/>
  <c r="Y850" i="1" s="1"/>
  <c r="U851" i="1"/>
  <c r="Y851" i="1" s="1"/>
  <c r="U852" i="1"/>
  <c r="Y852" i="1" s="1"/>
  <c r="U853" i="1"/>
  <c r="Y853" i="1" s="1"/>
  <c r="U854" i="1"/>
  <c r="Y854" i="1" s="1"/>
  <c r="U855" i="1"/>
  <c r="Y855" i="1" s="1"/>
  <c r="U856" i="1"/>
  <c r="Y856" i="1" s="1"/>
  <c r="U857" i="1"/>
  <c r="Y857" i="1" s="1"/>
  <c r="U858" i="1"/>
  <c r="Y858" i="1" s="1"/>
  <c r="U859" i="1"/>
  <c r="Y859" i="1" s="1"/>
  <c r="U860" i="1"/>
  <c r="Y860" i="1" s="1"/>
  <c r="U861" i="1"/>
  <c r="Y861" i="1" s="1"/>
  <c r="U862" i="1"/>
  <c r="Y862" i="1" s="1"/>
  <c r="U863" i="1"/>
  <c r="Y863" i="1" s="1"/>
  <c r="U864" i="1"/>
  <c r="Y864" i="1" s="1"/>
  <c r="U865" i="1"/>
  <c r="Y865" i="1" s="1"/>
  <c r="U866" i="1"/>
  <c r="Y866" i="1" s="1"/>
  <c r="U867" i="1"/>
  <c r="Y867" i="1" s="1"/>
  <c r="U868" i="1"/>
  <c r="Y868" i="1" s="1"/>
  <c r="U869" i="1"/>
  <c r="Y869" i="1" s="1"/>
  <c r="U870" i="1"/>
  <c r="Y870" i="1" s="1"/>
  <c r="U871" i="1"/>
  <c r="Y871" i="1" s="1"/>
  <c r="U872" i="1"/>
  <c r="Y872" i="1" s="1"/>
  <c r="U873" i="1"/>
  <c r="Y873" i="1" s="1"/>
  <c r="U874" i="1"/>
  <c r="Y874" i="1" s="1"/>
  <c r="U875" i="1"/>
  <c r="Y875" i="1" s="1"/>
  <c r="U876" i="1"/>
  <c r="Y876" i="1" s="1"/>
  <c r="U877" i="1"/>
  <c r="Y877" i="1" s="1"/>
  <c r="U878" i="1"/>
  <c r="Y878" i="1" s="1"/>
  <c r="U879" i="1"/>
  <c r="Y879" i="1" s="1"/>
  <c r="U880" i="1"/>
  <c r="Y880" i="1" s="1"/>
  <c r="U881" i="1"/>
  <c r="Y881" i="1" s="1"/>
  <c r="U882" i="1"/>
  <c r="Y882" i="1" s="1"/>
  <c r="U883" i="1"/>
  <c r="Y883" i="1" s="1"/>
  <c r="U884" i="1"/>
  <c r="Y884" i="1" s="1"/>
  <c r="U885" i="1"/>
  <c r="Y885" i="1" s="1"/>
  <c r="U886" i="1"/>
  <c r="Y886" i="1" s="1"/>
  <c r="U887" i="1"/>
  <c r="Y887" i="1" s="1"/>
  <c r="U888" i="1"/>
  <c r="Y888" i="1" s="1"/>
  <c r="U889" i="1"/>
  <c r="Y889" i="1" s="1"/>
  <c r="U890" i="1"/>
  <c r="Y890" i="1" s="1"/>
  <c r="U891" i="1"/>
  <c r="Y891" i="1" s="1"/>
  <c r="U892" i="1"/>
  <c r="Y892" i="1" s="1"/>
  <c r="U893" i="1"/>
  <c r="Y893" i="1" s="1"/>
  <c r="U894" i="1"/>
  <c r="Y894" i="1" s="1"/>
  <c r="U895" i="1"/>
  <c r="Y895" i="1" s="1"/>
  <c r="U896" i="1"/>
  <c r="Y896" i="1" s="1"/>
  <c r="U897" i="1"/>
  <c r="Y897" i="1" s="1"/>
  <c r="U898" i="1"/>
  <c r="Y898" i="1" s="1"/>
  <c r="U899" i="1"/>
  <c r="Y899" i="1" s="1"/>
  <c r="U900" i="1"/>
  <c r="Y900" i="1" s="1"/>
  <c r="U901" i="1"/>
  <c r="Y901" i="1" s="1"/>
  <c r="U902" i="1"/>
  <c r="Y902" i="1" s="1"/>
  <c r="U903" i="1"/>
  <c r="Y903" i="1" s="1"/>
  <c r="U904" i="1"/>
  <c r="Y904" i="1" s="1"/>
  <c r="U905" i="1"/>
  <c r="Y905" i="1" s="1"/>
  <c r="U906" i="1"/>
  <c r="Y906" i="1" s="1"/>
  <c r="U907" i="1"/>
  <c r="Y907" i="1" s="1"/>
  <c r="U908" i="1"/>
  <c r="Y908" i="1" s="1"/>
  <c r="U909" i="1"/>
  <c r="Y909" i="1" s="1"/>
  <c r="U910" i="1"/>
  <c r="Y910" i="1" s="1"/>
  <c r="U911" i="1"/>
  <c r="Y911" i="1" s="1"/>
  <c r="U912" i="1"/>
  <c r="Y912" i="1" s="1"/>
  <c r="U913" i="1"/>
  <c r="Y913" i="1" s="1"/>
  <c r="U914" i="1"/>
  <c r="Y914" i="1" s="1"/>
  <c r="U915" i="1"/>
  <c r="Y915" i="1" s="1"/>
  <c r="U916" i="1"/>
  <c r="Y916" i="1" s="1"/>
  <c r="U917" i="1"/>
  <c r="Y917" i="1" s="1"/>
  <c r="U918" i="1"/>
  <c r="Y918" i="1" s="1"/>
  <c r="U919" i="1"/>
  <c r="Y919" i="1" s="1"/>
  <c r="U920" i="1"/>
  <c r="Y920" i="1" s="1"/>
  <c r="U921" i="1"/>
  <c r="Y921" i="1" s="1"/>
  <c r="U922" i="1"/>
  <c r="Y922" i="1" s="1"/>
  <c r="U923" i="1"/>
  <c r="Y923" i="1" s="1"/>
  <c r="U924" i="1"/>
  <c r="Y924" i="1" s="1"/>
  <c r="U925" i="1"/>
  <c r="Y925" i="1" s="1"/>
  <c r="U926" i="1"/>
  <c r="Y926" i="1" s="1"/>
  <c r="U927" i="1"/>
  <c r="Y927" i="1" s="1"/>
  <c r="U928" i="1"/>
  <c r="Y928" i="1" s="1"/>
  <c r="U929" i="1"/>
  <c r="Y929" i="1" s="1"/>
  <c r="U930" i="1"/>
  <c r="Y930" i="1" s="1"/>
  <c r="U931" i="1"/>
  <c r="Y931" i="1" s="1"/>
  <c r="U932" i="1"/>
  <c r="Y932" i="1" s="1"/>
  <c r="U933" i="1"/>
  <c r="Y933" i="1" s="1"/>
  <c r="U934" i="1"/>
  <c r="Y934" i="1" s="1"/>
  <c r="U935" i="1"/>
  <c r="Y935" i="1" s="1"/>
  <c r="U936" i="1"/>
  <c r="Y936" i="1" s="1"/>
  <c r="U937" i="1"/>
  <c r="Y937" i="1" s="1"/>
  <c r="U938" i="1"/>
  <c r="Y938" i="1" s="1"/>
  <c r="U939" i="1"/>
  <c r="Y939" i="1" s="1"/>
  <c r="U940" i="1"/>
  <c r="Y940" i="1" s="1"/>
  <c r="U941" i="1"/>
  <c r="Y941" i="1" s="1"/>
  <c r="U942" i="1"/>
  <c r="Y942" i="1" s="1"/>
  <c r="U943" i="1"/>
  <c r="Y943" i="1" s="1"/>
  <c r="U944" i="1"/>
  <c r="Y944" i="1" s="1"/>
  <c r="U945" i="1"/>
  <c r="Y945" i="1" s="1"/>
  <c r="U946" i="1"/>
  <c r="Y946" i="1" s="1"/>
  <c r="U947" i="1"/>
  <c r="Y947" i="1" s="1"/>
  <c r="U948" i="1"/>
  <c r="Y948" i="1" s="1"/>
  <c r="U949" i="1"/>
  <c r="Y949" i="1" s="1"/>
  <c r="U950" i="1"/>
  <c r="Y950" i="1" s="1"/>
  <c r="U951" i="1"/>
  <c r="Y951" i="1" s="1"/>
  <c r="U952" i="1"/>
  <c r="Y952" i="1" s="1"/>
  <c r="U953" i="1"/>
  <c r="Y953" i="1" s="1"/>
  <c r="U954" i="1"/>
  <c r="Y954" i="1" s="1"/>
  <c r="U955" i="1"/>
  <c r="Y955" i="1" s="1"/>
  <c r="U956" i="1"/>
  <c r="Y956" i="1" s="1"/>
  <c r="U957" i="1"/>
  <c r="Y957" i="1" s="1"/>
  <c r="U958" i="1"/>
  <c r="Y958" i="1" s="1"/>
  <c r="U959" i="1"/>
  <c r="Y959" i="1" s="1"/>
  <c r="U960" i="1"/>
  <c r="Y960" i="1" s="1"/>
  <c r="U961" i="1"/>
  <c r="Y961" i="1" s="1"/>
  <c r="U962" i="1"/>
  <c r="Y962" i="1" s="1"/>
  <c r="U963" i="1"/>
  <c r="Y963" i="1" s="1"/>
  <c r="U964" i="1"/>
  <c r="Y964" i="1" s="1"/>
  <c r="U965" i="1"/>
  <c r="Y965" i="1" s="1"/>
  <c r="U966" i="1"/>
  <c r="Y966" i="1" s="1"/>
  <c r="U967" i="1"/>
  <c r="Y967" i="1" s="1"/>
  <c r="U968" i="1"/>
  <c r="Y968" i="1" s="1"/>
  <c r="U969" i="1"/>
  <c r="Y969" i="1" s="1"/>
  <c r="U970" i="1"/>
  <c r="Y970" i="1" s="1"/>
  <c r="U971" i="1"/>
  <c r="Y971" i="1" s="1"/>
  <c r="U972" i="1"/>
  <c r="Y972" i="1" s="1"/>
  <c r="U973" i="1"/>
  <c r="Y973" i="1" s="1"/>
  <c r="U974" i="1"/>
  <c r="Y974" i="1" s="1"/>
  <c r="U975" i="1"/>
  <c r="Y975" i="1" s="1"/>
  <c r="U976" i="1"/>
  <c r="Y976" i="1" s="1"/>
  <c r="U977" i="1"/>
  <c r="Y977" i="1" s="1"/>
  <c r="U978" i="1"/>
  <c r="Y978" i="1" s="1"/>
  <c r="U979" i="1"/>
  <c r="Y979" i="1" s="1"/>
  <c r="U980" i="1"/>
  <c r="Y980" i="1" s="1"/>
  <c r="U981" i="1"/>
  <c r="Y981" i="1" s="1"/>
  <c r="U982" i="1"/>
  <c r="Y982" i="1" s="1"/>
  <c r="U983" i="1"/>
  <c r="Y983" i="1" s="1"/>
  <c r="U984" i="1"/>
  <c r="Y984" i="1" s="1"/>
  <c r="U985" i="1"/>
  <c r="Y985" i="1" s="1"/>
  <c r="U986" i="1"/>
  <c r="Y986" i="1" s="1"/>
  <c r="U987" i="1"/>
  <c r="Y987" i="1" s="1"/>
  <c r="U988" i="1"/>
  <c r="Y988" i="1" s="1"/>
  <c r="U989" i="1"/>
  <c r="Y989" i="1" s="1"/>
  <c r="U990" i="1"/>
  <c r="Y990" i="1" s="1"/>
  <c r="U991" i="1"/>
  <c r="Y991" i="1" s="1"/>
  <c r="U992" i="1"/>
  <c r="Y992" i="1" s="1"/>
  <c r="U993" i="1"/>
  <c r="Y993" i="1" s="1"/>
  <c r="U994" i="1"/>
  <c r="Y994" i="1" s="1"/>
  <c r="U995" i="1"/>
  <c r="Y995" i="1" s="1"/>
  <c r="U996" i="1"/>
  <c r="Y996" i="1" s="1"/>
  <c r="U997" i="1"/>
  <c r="Y997" i="1" s="1"/>
  <c r="U998" i="1"/>
  <c r="Y998" i="1" s="1"/>
  <c r="U999" i="1"/>
  <c r="Y999" i="1" s="1"/>
  <c r="U1000" i="1"/>
  <c r="Y1000" i="1" s="1"/>
  <c r="U1001" i="1"/>
  <c r="Y1001" i="1" s="1"/>
  <c r="U1002" i="1"/>
  <c r="Y1002" i="1" s="1"/>
  <c r="U1003" i="1"/>
  <c r="Y1003" i="1" s="1"/>
  <c r="U1004" i="1"/>
  <c r="Y1004" i="1" s="1"/>
  <c r="U1005" i="1"/>
  <c r="Y1005" i="1" s="1"/>
  <c r="U1006" i="1"/>
  <c r="Y1006" i="1" s="1"/>
  <c r="U1007" i="1"/>
  <c r="Y1007" i="1" s="1"/>
  <c r="U1008" i="1"/>
  <c r="Y1008" i="1" s="1"/>
  <c r="U1009" i="1"/>
  <c r="Y1009" i="1" s="1"/>
  <c r="U1010" i="1"/>
  <c r="Y1010" i="1" s="1"/>
  <c r="U1011" i="1"/>
  <c r="Y1011" i="1" s="1"/>
  <c r="U1012" i="1"/>
  <c r="Y1012" i="1" s="1"/>
  <c r="U1013" i="1"/>
  <c r="Y1013" i="1" s="1"/>
  <c r="U1014" i="1"/>
  <c r="Y1014" i="1" s="1"/>
  <c r="U1015" i="1"/>
  <c r="Y1015" i="1" s="1"/>
  <c r="U1016" i="1"/>
  <c r="Y1016" i="1" s="1"/>
  <c r="U1017" i="1"/>
  <c r="Y1017" i="1" s="1"/>
  <c r="U1018" i="1"/>
  <c r="Y1018" i="1" s="1"/>
  <c r="U1019" i="1"/>
  <c r="Y1019" i="1" s="1"/>
  <c r="U1020" i="1"/>
  <c r="Y1020" i="1" s="1"/>
  <c r="U1021" i="1"/>
  <c r="Y1021" i="1" s="1"/>
  <c r="U1022" i="1"/>
  <c r="Y1022" i="1" s="1"/>
  <c r="U1023" i="1"/>
  <c r="Y1023" i="1" s="1"/>
  <c r="U1024" i="1"/>
  <c r="Y1024" i="1" s="1"/>
  <c r="U1025" i="1"/>
  <c r="Y1025" i="1" s="1"/>
  <c r="U1026" i="1"/>
  <c r="Y1026" i="1" s="1"/>
  <c r="U1027" i="1"/>
  <c r="Y1027" i="1" s="1"/>
  <c r="U1028" i="1"/>
  <c r="Y1028" i="1" s="1"/>
  <c r="U1029" i="1"/>
  <c r="Y1029" i="1" s="1"/>
  <c r="U1030" i="1"/>
  <c r="Y1030" i="1" s="1"/>
  <c r="U1031" i="1"/>
  <c r="Y1031" i="1" s="1"/>
  <c r="U1032" i="1"/>
  <c r="Y1032" i="1" s="1"/>
  <c r="U1033" i="1"/>
  <c r="Y1033" i="1" s="1"/>
  <c r="U1034" i="1"/>
  <c r="Y1034" i="1" s="1"/>
  <c r="U1035" i="1"/>
  <c r="Y1035" i="1" s="1"/>
  <c r="U1036" i="1"/>
  <c r="Y1036" i="1" s="1"/>
  <c r="U1037" i="1"/>
  <c r="Y1037" i="1" s="1"/>
  <c r="U1038" i="1"/>
  <c r="Y1038" i="1" s="1"/>
  <c r="U1039" i="1"/>
  <c r="Y1039" i="1" s="1"/>
  <c r="U1040" i="1"/>
  <c r="Y1040" i="1" s="1"/>
  <c r="U1041" i="1"/>
  <c r="Y1041" i="1" s="1"/>
  <c r="U1042" i="1"/>
  <c r="Y1042" i="1" s="1"/>
  <c r="U1043" i="1"/>
  <c r="Y1043" i="1" s="1"/>
  <c r="U1044" i="1"/>
  <c r="Y1044" i="1" s="1"/>
  <c r="U1045" i="1"/>
  <c r="Y1045" i="1" s="1"/>
  <c r="U1046" i="1"/>
  <c r="Y1046" i="1" s="1"/>
  <c r="U1047" i="1"/>
  <c r="Y1047" i="1" s="1"/>
  <c r="U1048" i="1"/>
  <c r="Y1048" i="1" s="1"/>
  <c r="U1049" i="1"/>
  <c r="Y1049" i="1" s="1"/>
  <c r="U1050" i="1"/>
  <c r="Y1050" i="1" s="1"/>
  <c r="U1051" i="1"/>
  <c r="Y1051" i="1" s="1"/>
  <c r="U1052" i="1"/>
  <c r="Y1052" i="1" s="1"/>
  <c r="U1053" i="1"/>
  <c r="Y1053" i="1" s="1"/>
  <c r="U1054" i="1"/>
  <c r="Y1054" i="1" s="1"/>
  <c r="U1055" i="1"/>
  <c r="Y1055" i="1" s="1"/>
  <c r="U1056" i="1"/>
  <c r="Y1056" i="1" s="1"/>
  <c r="U1057" i="1"/>
  <c r="Y1057" i="1" s="1"/>
  <c r="U1058" i="1"/>
  <c r="Y1058" i="1" s="1"/>
  <c r="U1059" i="1"/>
  <c r="Y1059" i="1" s="1"/>
  <c r="U1060" i="1"/>
  <c r="Y1060" i="1" s="1"/>
  <c r="U1061" i="1"/>
  <c r="Y1061" i="1" s="1"/>
  <c r="U1062" i="1"/>
  <c r="Y1062" i="1" s="1"/>
  <c r="U1063" i="1"/>
  <c r="Y1063" i="1" s="1"/>
  <c r="U1064" i="1"/>
  <c r="Y1064" i="1" s="1"/>
  <c r="U1065" i="1"/>
  <c r="Y1065" i="1" s="1"/>
  <c r="U1066" i="1"/>
  <c r="Y1066" i="1" s="1"/>
  <c r="U1067" i="1"/>
  <c r="Y1067" i="1" s="1"/>
  <c r="U1068" i="1"/>
  <c r="Y1068" i="1" s="1"/>
  <c r="U2" i="1"/>
  <c r="Y2" i="1" s="1"/>
  <c r="Z1068" i="1" l="1"/>
  <c r="AA1068" i="1" s="1"/>
  <c r="X1068" i="1"/>
  <c r="Z1020" i="1"/>
  <c r="AA1020" i="1" s="1"/>
  <c r="X1020" i="1"/>
  <c r="Z964" i="1"/>
  <c r="AA964" i="1" s="1"/>
  <c r="X964" i="1"/>
  <c r="Z908" i="1"/>
  <c r="AA908" i="1" s="1"/>
  <c r="X908" i="1"/>
  <c r="Z852" i="1"/>
  <c r="AA852" i="1" s="1"/>
  <c r="X852" i="1"/>
  <c r="Z588" i="1"/>
  <c r="AA588" i="1" s="1"/>
  <c r="X588" i="1"/>
  <c r="Z540" i="1"/>
  <c r="AA540" i="1" s="1"/>
  <c r="X540" i="1"/>
  <c r="Z476" i="1"/>
  <c r="AA476" i="1" s="1"/>
  <c r="X476" i="1"/>
  <c r="Z380" i="1"/>
  <c r="AA380" i="1" s="1"/>
  <c r="X380" i="1"/>
  <c r="Z324" i="1"/>
  <c r="AA324" i="1" s="1"/>
  <c r="X324" i="1"/>
  <c r="Z252" i="1"/>
  <c r="AA252" i="1" s="1"/>
  <c r="X252" i="1"/>
  <c r="Z1023" i="1"/>
  <c r="AA1023" i="1" s="1"/>
  <c r="X1023" i="1"/>
  <c r="Z1054" i="1"/>
  <c r="AA1054" i="1" s="1"/>
  <c r="X1054" i="1"/>
  <c r="Z1038" i="1"/>
  <c r="AA1038" i="1" s="1"/>
  <c r="X1038" i="1"/>
  <c r="Z1022" i="1"/>
  <c r="AA1022" i="1" s="1"/>
  <c r="X1022" i="1"/>
  <c r="Z1006" i="1"/>
  <c r="AA1006" i="1" s="1"/>
  <c r="X1006" i="1"/>
  <c r="Z990" i="1"/>
  <c r="AA990" i="1" s="1"/>
  <c r="X990" i="1"/>
  <c r="Z797" i="1"/>
  <c r="AA797" i="1" s="1"/>
  <c r="X797" i="1"/>
  <c r="Z789" i="1"/>
  <c r="AA789" i="1" s="1"/>
  <c r="X789" i="1"/>
  <c r="Z781" i="1"/>
  <c r="AA781" i="1" s="1"/>
  <c r="X781" i="1"/>
  <c r="Z773" i="1"/>
  <c r="AA773" i="1" s="1"/>
  <c r="X773" i="1"/>
  <c r="Z765" i="1"/>
  <c r="AA765" i="1" s="1"/>
  <c r="X765" i="1"/>
  <c r="Z757" i="1"/>
  <c r="AA757" i="1" s="1"/>
  <c r="X757" i="1"/>
  <c r="Z749" i="1"/>
  <c r="AA749" i="1" s="1"/>
  <c r="X749" i="1"/>
  <c r="Z741" i="1"/>
  <c r="AA741" i="1" s="1"/>
  <c r="X741" i="1"/>
  <c r="Z733" i="1"/>
  <c r="AA733" i="1" s="1"/>
  <c r="X733" i="1"/>
  <c r="Z725" i="1"/>
  <c r="AA725" i="1" s="1"/>
  <c r="X725" i="1"/>
  <c r="Z717" i="1"/>
  <c r="AA717" i="1" s="1"/>
  <c r="X717" i="1"/>
  <c r="Z709" i="1"/>
  <c r="AA709" i="1" s="1"/>
  <c r="X709" i="1"/>
  <c r="Z701" i="1"/>
  <c r="AA701" i="1" s="1"/>
  <c r="X701" i="1"/>
  <c r="Z693" i="1"/>
  <c r="AA693" i="1" s="1"/>
  <c r="X693" i="1"/>
  <c r="Z685" i="1"/>
  <c r="AA685" i="1" s="1"/>
  <c r="X685" i="1"/>
  <c r="Z677" i="1"/>
  <c r="AA677" i="1" s="1"/>
  <c r="X677" i="1"/>
  <c r="Z669" i="1"/>
  <c r="AA669" i="1" s="1"/>
  <c r="X669" i="1"/>
  <c r="Z661" i="1"/>
  <c r="AA661" i="1" s="1"/>
  <c r="X661" i="1"/>
  <c r="Z653" i="1"/>
  <c r="AA653" i="1" s="1"/>
  <c r="X653" i="1"/>
  <c r="Z645" i="1"/>
  <c r="AA645" i="1" s="1"/>
  <c r="X645" i="1"/>
  <c r="Z637" i="1"/>
  <c r="AA637" i="1" s="1"/>
  <c r="X637" i="1"/>
  <c r="Z629" i="1"/>
  <c r="AA629" i="1" s="1"/>
  <c r="X629" i="1"/>
  <c r="Z621" i="1"/>
  <c r="AA621" i="1" s="1"/>
  <c r="X621" i="1"/>
  <c r="Z613" i="1"/>
  <c r="AA613" i="1" s="1"/>
  <c r="X613" i="1"/>
  <c r="Z597" i="1"/>
  <c r="AA597" i="1" s="1"/>
  <c r="X597" i="1"/>
  <c r="Z565" i="1"/>
  <c r="AA565" i="1" s="1"/>
  <c r="X565" i="1"/>
  <c r="Z557" i="1"/>
  <c r="AA557" i="1" s="1"/>
  <c r="X557" i="1"/>
  <c r="Z549" i="1"/>
  <c r="AA549" i="1" s="1"/>
  <c r="X549" i="1"/>
  <c r="Z533" i="1"/>
  <c r="AA533" i="1" s="1"/>
  <c r="X533" i="1"/>
  <c r="Z429" i="1"/>
  <c r="AA429" i="1" s="1"/>
  <c r="X429" i="1"/>
  <c r="Z421" i="1"/>
  <c r="AA421" i="1" s="1"/>
  <c r="X421" i="1"/>
  <c r="Z413" i="1"/>
  <c r="AA413" i="1" s="1"/>
  <c r="X413" i="1"/>
  <c r="Z381" i="1"/>
  <c r="AA381" i="1" s="1"/>
  <c r="X381" i="1"/>
  <c r="Z365" i="1"/>
  <c r="AA365" i="1" s="1"/>
  <c r="X365" i="1"/>
  <c r="Z357" i="1"/>
  <c r="AA357" i="1" s="1"/>
  <c r="X357" i="1"/>
  <c r="Z349" i="1"/>
  <c r="AA349" i="1" s="1"/>
  <c r="X349" i="1"/>
  <c r="Z301" i="1"/>
  <c r="AA301" i="1" s="1"/>
  <c r="X301" i="1"/>
  <c r="Z293" i="1"/>
  <c r="AA293" i="1" s="1"/>
  <c r="X293" i="1"/>
  <c r="Z285" i="1"/>
  <c r="AA285" i="1" s="1"/>
  <c r="X285" i="1"/>
  <c r="Z237" i="1"/>
  <c r="AA237" i="1" s="1"/>
  <c r="X237" i="1"/>
  <c r="Z229" i="1"/>
  <c r="AA229" i="1" s="1"/>
  <c r="X229" i="1"/>
  <c r="Z221" i="1"/>
  <c r="AA221" i="1" s="1"/>
  <c r="X221" i="1"/>
  <c r="Z173" i="1"/>
  <c r="AA173" i="1" s="1"/>
  <c r="X173" i="1"/>
  <c r="Z165" i="1"/>
  <c r="AA165" i="1" s="1"/>
  <c r="X165" i="1"/>
  <c r="Z157" i="1"/>
  <c r="AA157" i="1" s="1"/>
  <c r="X157" i="1"/>
  <c r="Z110" i="1"/>
  <c r="AA110" i="1" s="1"/>
  <c r="X110" i="1"/>
  <c r="Z102" i="1"/>
  <c r="AA102" i="1" s="1"/>
  <c r="X102" i="1"/>
  <c r="Z94" i="1"/>
  <c r="AA94" i="1" s="1"/>
  <c r="X94" i="1"/>
  <c r="Z22" i="1"/>
  <c r="AA22" i="1" s="1"/>
  <c r="X22" i="1"/>
  <c r="Z1028" i="1"/>
  <c r="AA1028" i="1" s="1"/>
  <c r="X1028" i="1"/>
  <c r="Z980" i="1"/>
  <c r="AA980" i="1" s="1"/>
  <c r="X980" i="1"/>
  <c r="Z916" i="1"/>
  <c r="AA916" i="1" s="1"/>
  <c r="X916" i="1"/>
  <c r="Z868" i="1"/>
  <c r="AA868" i="1" s="1"/>
  <c r="X868" i="1"/>
  <c r="Z828" i="1"/>
  <c r="AA828" i="1" s="1"/>
  <c r="X828" i="1"/>
  <c r="Z804" i="1"/>
  <c r="AA804" i="1" s="1"/>
  <c r="X804" i="1"/>
  <c r="Z508" i="1"/>
  <c r="AA508" i="1" s="1"/>
  <c r="X508" i="1"/>
  <c r="Z468" i="1"/>
  <c r="AA468" i="1" s="1"/>
  <c r="X468" i="1"/>
  <c r="Z444" i="1"/>
  <c r="AA444" i="1" s="1"/>
  <c r="X444" i="1"/>
  <c r="Z69" i="1"/>
  <c r="AA69" i="1" s="1"/>
  <c r="X69" i="1"/>
  <c r="Z795" i="1"/>
  <c r="AA795" i="1" s="1"/>
  <c r="X795" i="1"/>
  <c r="Z787" i="1"/>
  <c r="AA787" i="1" s="1"/>
  <c r="X787" i="1"/>
  <c r="Z779" i="1"/>
  <c r="AA779" i="1" s="1"/>
  <c r="X779" i="1"/>
  <c r="Z771" i="1"/>
  <c r="AA771" i="1" s="1"/>
  <c r="X771" i="1"/>
  <c r="Z763" i="1"/>
  <c r="AA763" i="1" s="1"/>
  <c r="X763" i="1"/>
  <c r="Z755" i="1"/>
  <c r="AA755" i="1" s="1"/>
  <c r="X755" i="1"/>
  <c r="Z747" i="1"/>
  <c r="AA747" i="1" s="1"/>
  <c r="X747" i="1"/>
  <c r="Z739" i="1"/>
  <c r="AA739" i="1" s="1"/>
  <c r="X739" i="1"/>
  <c r="Z731" i="1"/>
  <c r="AA731" i="1" s="1"/>
  <c r="X731" i="1"/>
  <c r="Z723" i="1"/>
  <c r="AA723" i="1" s="1"/>
  <c r="X723" i="1"/>
  <c r="Z715" i="1"/>
  <c r="AA715" i="1" s="1"/>
  <c r="X715" i="1"/>
  <c r="Z707" i="1"/>
  <c r="AA707" i="1" s="1"/>
  <c r="X707" i="1"/>
  <c r="Z699" i="1"/>
  <c r="AA699" i="1" s="1"/>
  <c r="X699" i="1"/>
  <c r="Z691" i="1"/>
  <c r="AA691" i="1" s="1"/>
  <c r="X691" i="1"/>
  <c r="Z683" i="1"/>
  <c r="AA683" i="1" s="1"/>
  <c r="X683" i="1"/>
  <c r="Z675" i="1"/>
  <c r="AA675" i="1" s="1"/>
  <c r="X675" i="1"/>
  <c r="Z667" i="1"/>
  <c r="AA667" i="1" s="1"/>
  <c r="X667" i="1"/>
  <c r="Z659" i="1"/>
  <c r="AA659" i="1" s="1"/>
  <c r="X659" i="1"/>
  <c r="Z651" i="1"/>
  <c r="AA651" i="1" s="1"/>
  <c r="X651" i="1"/>
  <c r="Z643" i="1"/>
  <c r="AA643" i="1" s="1"/>
  <c r="X643" i="1"/>
  <c r="Z635" i="1"/>
  <c r="AA635" i="1" s="1"/>
  <c r="X635" i="1"/>
  <c r="Z627" i="1"/>
  <c r="AA627" i="1" s="1"/>
  <c r="X627" i="1"/>
  <c r="Z619" i="1"/>
  <c r="AA619" i="1" s="1"/>
  <c r="X619" i="1"/>
  <c r="Z611" i="1"/>
  <c r="AA611" i="1" s="1"/>
  <c r="X611" i="1"/>
  <c r="Z579" i="1"/>
  <c r="AA579" i="1" s="1"/>
  <c r="X579" i="1"/>
  <c r="Z571" i="1"/>
  <c r="AA571" i="1" s="1"/>
  <c r="X571" i="1"/>
  <c r="Z563" i="1"/>
  <c r="AA563" i="1" s="1"/>
  <c r="X563" i="1"/>
  <c r="Z547" i="1"/>
  <c r="AA547" i="1" s="1"/>
  <c r="X547" i="1"/>
  <c r="Z515" i="1"/>
  <c r="AA515" i="1" s="1"/>
  <c r="X515" i="1"/>
  <c r="Z1060" i="1"/>
  <c r="AA1060" i="1" s="1"/>
  <c r="X1060" i="1"/>
  <c r="Z1004" i="1"/>
  <c r="AA1004" i="1" s="1"/>
  <c r="X1004" i="1"/>
  <c r="Z948" i="1"/>
  <c r="AA948" i="1" s="1"/>
  <c r="X948" i="1"/>
  <c r="Z892" i="1"/>
  <c r="AA892" i="1" s="1"/>
  <c r="X892" i="1"/>
  <c r="Z836" i="1"/>
  <c r="AA836" i="1" s="1"/>
  <c r="X836" i="1"/>
  <c r="Z812" i="1"/>
  <c r="AA812" i="1" s="1"/>
  <c r="X812" i="1"/>
  <c r="Z524" i="1"/>
  <c r="AA524" i="1" s="1"/>
  <c r="X524" i="1"/>
  <c r="Z260" i="1"/>
  <c r="AA260" i="1" s="1"/>
  <c r="X260" i="1"/>
  <c r="Z244" i="1"/>
  <c r="AA244" i="1" s="1"/>
  <c r="X244" i="1"/>
  <c r="Z61" i="1"/>
  <c r="AA61" i="1" s="1"/>
  <c r="X61" i="1"/>
  <c r="Z1058" i="1"/>
  <c r="AA1058" i="1" s="1"/>
  <c r="X1058" i="1"/>
  <c r="Z1042" i="1"/>
  <c r="AA1042" i="1" s="1"/>
  <c r="X1042" i="1"/>
  <c r="Z1026" i="1"/>
  <c r="AA1026" i="1" s="1"/>
  <c r="X1026" i="1"/>
  <c r="Z1010" i="1"/>
  <c r="AA1010" i="1" s="1"/>
  <c r="X1010" i="1"/>
  <c r="Z994" i="1"/>
  <c r="AA994" i="1" s="1"/>
  <c r="X994" i="1"/>
  <c r="Z970" i="1"/>
  <c r="AA970" i="1" s="1"/>
  <c r="X970" i="1"/>
  <c r="Z954" i="1"/>
  <c r="AA954" i="1" s="1"/>
  <c r="X954" i="1"/>
  <c r="Z938" i="1"/>
  <c r="AA938" i="1" s="1"/>
  <c r="X938" i="1"/>
  <c r="Z922" i="1"/>
  <c r="AA922" i="1" s="1"/>
  <c r="X922" i="1"/>
  <c r="Z906" i="1"/>
  <c r="AA906" i="1" s="1"/>
  <c r="X906" i="1"/>
  <c r="Z882" i="1"/>
  <c r="AA882" i="1" s="1"/>
  <c r="X882" i="1"/>
  <c r="Z866" i="1"/>
  <c r="AA866" i="1" s="1"/>
  <c r="X866" i="1"/>
  <c r="Z850" i="1"/>
  <c r="AA850" i="1" s="1"/>
  <c r="X850" i="1"/>
  <c r="Z834" i="1"/>
  <c r="AA834" i="1" s="1"/>
  <c r="X834" i="1"/>
  <c r="Z818" i="1"/>
  <c r="AA818" i="1" s="1"/>
  <c r="X818" i="1"/>
  <c r="Z602" i="1"/>
  <c r="AA602" i="1" s="1"/>
  <c r="X602" i="1"/>
  <c r="Z586" i="1"/>
  <c r="AA586" i="1" s="1"/>
  <c r="X586" i="1"/>
  <c r="Z554" i="1"/>
  <c r="AA554" i="1" s="1"/>
  <c r="X554" i="1"/>
  <c r="Z546" i="1"/>
  <c r="AA546" i="1" s="1"/>
  <c r="X546" i="1"/>
  <c r="Z538" i="1"/>
  <c r="AA538" i="1" s="1"/>
  <c r="X538" i="1"/>
  <c r="Z522" i="1"/>
  <c r="AA522" i="1" s="1"/>
  <c r="X522" i="1"/>
  <c r="Z506" i="1"/>
  <c r="AA506" i="1" s="1"/>
  <c r="X506" i="1"/>
  <c r="Z490" i="1"/>
  <c r="AA490" i="1" s="1"/>
  <c r="X490" i="1"/>
  <c r="Z474" i="1"/>
  <c r="AA474" i="1" s="1"/>
  <c r="X474" i="1"/>
  <c r="Z458" i="1"/>
  <c r="AA458" i="1" s="1"/>
  <c r="X458" i="1"/>
  <c r="Z442" i="1"/>
  <c r="AA442" i="1" s="1"/>
  <c r="X442" i="1"/>
  <c r="Z426" i="1"/>
  <c r="AA426" i="1" s="1"/>
  <c r="X426" i="1"/>
  <c r="Z410" i="1"/>
  <c r="AA410" i="1" s="1"/>
  <c r="X410" i="1"/>
  <c r="Z402" i="1"/>
  <c r="AA402" i="1" s="1"/>
  <c r="X402" i="1"/>
  <c r="Z394" i="1"/>
  <c r="AA394" i="1" s="1"/>
  <c r="X394" i="1"/>
  <c r="Z362" i="1"/>
  <c r="AA362" i="1" s="1"/>
  <c r="X362" i="1"/>
  <c r="Z346" i="1"/>
  <c r="AA346" i="1" s="1"/>
  <c r="X346" i="1"/>
  <c r="Z338" i="1"/>
  <c r="AA338" i="1" s="1"/>
  <c r="X338" i="1"/>
  <c r="Z330" i="1"/>
  <c r="AA330" i="1" s="1"/>
  <c r="X330" i="1"/>
  <c r="Z282" i="1"/>
  <c r="AA282" i="1" s="1"/>
  <c r="X282" i="1"/>
  <c r="Z274" i="1"/>
  <c r="AA274" i="1" s="1"/>
  <c r="X274" i="1"/>
  <c r="Z266" i="1"/>
  <c r="AA266" i="1" s="1"/>
  <c r="X266" i="1"/>
  <c r="Z218" i="1"/>
  <c r="AA218" i="1" s="1"/>
  <c r="X218" i="1"/>
  <c r="Z210" i="1"/>
  <c r="AA210" i="1" s="1"/>
  <c r="X210" i="1"/>
  <c r="Z202" i="1"/>
  <c r="AA202" i="1" s="1"/>
  <c r="X202" i="1"/>
  <c r="Z154" i="1"/>
  <c r="AA154" i="1" s="1"/>
  <c r="X154" i="1"/>
  <c r="Z146" i="1"/>
  <c r="AA146" i="1" s="1"/>
  <c r="X146" i="1"/>
  <c r="Z138" i="1"/>
  <c r="AA138" i="1" s="1"/>
  <c r="X138" i="1"/>
  <c r="Z91" i="1"/>
  <c r="AA91" i="1" s="1"/>
  <c r="X91" i="1"/>
  <c r="Z83" i="1"/>
  <c r="AA83" i="1" s="1"/>
  <c r="X83" i="1"/>
  <c r="Z75" i="1"/>
  <c r="AA75" i="1" s="1"/>
  <c r="X75" i="1"/>
  <c r="Z1012" i="1"/>
  <c r="AA1012" i="1" s="1"/>
  <c r="X1012" i="1"/>
  <c r="Z940" i="1"/>
  <c r="AA940" i="1" s="1"/>
  <c r="X940" i="1"/>
  <c r="Z860" i="1"/>
  <c r="AA860" i="1" s="1"/>
  <c r="X860" i="1"/>
  <c r="Z596" i="1"/>
  <c r="AA596" i="1" s="1"/>
  <c r="X596" i="1"/>
  <c r="Z388" i="1"/>
  <c r="AA388" i="1" s="1"/>
  <c r="X388" i="1"/>
  <c r="Z116" i="1"/>
  <c r="AA116" i="1" s="1"/>
  <c r="X116" i="1"/>
  <c r="Z1066" i="1"/>
  <c r="AA1066" i="1" s="1"/>
  <c r="X1066" i="1"/>
  <c r="Z1050" i="1"/>
  <c r="AA1050" i="1" s="1"/>
  <c r="X1050" i="1"/>
  <c r="Z1034" i="1"/>
  <c r="AA1034" i="1" s="1"/>
  <c r="X1034" i="1"/>
  <c r="Z1018" i="1"/>
  <c r="AA1018" i="1" s="1"/>
  <c r="X1018" i="1"/>
  <c r="Z1002" i="1"/>
  <c r="AA1002" i="1" s="1"/>
  <c r="X1002" i="1"/>
  <c r="Z986" i="1"/>
  <c r="AA986" i="1" s="1"/>
  <c r="X986" i="1"/>
  <c r="Z978" i="1"/>
  <c r="AA978" i="1" s="1"/>
  <c r="X978" i="1"/>
  <c r="Z962" i="1"/>
  <c r="AA962" i="1" s="1"/>
  <c r="X962" i="1"/>
  <c r="Z946" i="1"/>
  <c r="AA946" i="1" s="1"/>
  <c r="X946" i="1"/>
  <c r="Z930" i="1"/>
  <c r="AA930" i="1" s="1"/>
  <c r="X930" i="1"/>
  <c r="Z914" i="1"/>
  <c r="AA914" i="1" s="1"/>
  <c r="X914" i="1"/>
  <c r="Z898" i="1"/>
  <c r="AA898" i="1" s="1"/>
  <c r="X898" i="1"/>
  <c r="Z890" i="1"/>
  <c r="AA890" i="1" s="1"/>
  <c r="X890" i="1"/>
  <c r="Z874" i="1"/>
  <c r="AA874" i="1" s="1"/>
  <c r="X874" i="1"/>
  <c r="Z858" i="1"/>
  <c r="AA858" i="1" s="1"/>
  <c r="X858" i="1"/>
  <c r="Z842" i="1"/>
  <c r="AA842" i="1" s="1"/>
  <c r="X842" i="1"/>
  <c r="Z826" i="1"/>
  <c r="AA826" i="1" s="1"/>
  <c r="X826" i="1"/>
  <c r="Z810" i="1"/>
  <c r="AA810" i="1" s="1"/>
  <c r="X810" i="1"/>
  <c r="Z802" i="1"/>
  <c r="AA802" i="1" s="1"/>
  <c r="X802" i="1"/>
  <c r="Z1065" i="1"/>
  <c r="AA1065" i="1" s="1"/>
  <c r="X1065" i="1"/>
  <c r="Z1057" i="1"/>
  <c r="AA1057" i="1" s="1"/>
  <c r="X1057" i="1"/>
  <c r="Z1049" i="1"/>
  <c r="AA1049" i="1" s="1"/>
  <c r="X1049" i="1"/>
  <c r="Z1041" i="1"/>
  <c r="AA1041" i="1" s="1"/>
  <c r="X1041" i="1"/>
  <c r="Z1033" i="1"/>
  <c r="AA1033" i="1" s="1"/>
  <c r="X1033" i="1"/>
  <c r="Z1025" i="1"/>
  <c r="AA1025" i="1" s="1"/>
  <c r="X1025" i="1"/>
  <c r="Z1017" i="1"/>
  <c r="AA1017" i="1" s="1"/>
  <c r="X1017" i="1"/>
  <c r="Z1009" i="1"/>
  <c r="AA1009" i="1" s="1"/>
  <c r="X1009" i="1"/>
  <c r="Z1001" i="1"/>
  <c r="AA1001" i="1" s="1"/>
  <c r="X1001" i="1"/>
  <c r="Z993" i="1"/>
  <c r="AA993" i="1" s="1"/>
  <c r="X993" i="1"/>
  <c r="Z985" i="1"/>
  <c r="AA985" i="1" s="1"/>
  <c r="X985" i="1"/>
  <c r="Z977" i="1"/>
  <c r="AA977" i="1" s="1"/>
  <c r="X977" i="1"/>
  <c r="Z969" i="1"/>
  <c r="AA969" i="1" s="1"/>
  <c r="X969" i="1"/>
  <c r="Z961" i="1"/>
  <c r="AA961" i="1" s="1"/>
  <c r="X961" i="1"/>
  <c r="Z953" i="1"/>
  <c r="AA953" i="1" s="1"/>
  <c r="X953" i="1"/>
  <c r="Z945" i="1"/>
  <c r="AA945" i="1" s="1"/>
  <c r="X945" i="1"/>
  <c r="Z937" i="1"/>
  <c r="AA937" i="1" s="1"/>
  <c r="X937" i="1"/>
  <c r="Z929" i="1"/>
  <c r="AA929" i="1" s="1"/>
  <c r="X929" i="1"/>
  <c r="Z793" i="1"/>
  <c r="AA793" i="1" s="1"/>
  <c r="X793" i="1"/>
  <c r="Z785" i="1"/>
  <c r="AA785" i="1" s="1"/>
  <c r="X785" i="1"/>
  <c r="Z777" i="1"/>
  <c r="AA777" i="1" s="1"/>
  <c r="X777" i="1"/>
  <c r="Z769" i="1"/>
  <c r="AA769" i="1" s="1"/>
  <c r="X769" i="1"/>
  <c r="Z761" i="1"/>
  <c r="AA761" i="1" s="1"/>
  <c r="X761" i="1"/>
  <c r="Z753" i="1"/>
  <c r="AA753" i="1" s="1"/>
  <c r="X753" i="1"/>
  <c r="Z745" i="1"/>
  <c r="AA745" i="1" s="1"/>
  <c r="X745" i="1"/>
  <c r="Z737" i="1"/>
  <c r="AA737" i="1" s="1"/>
  <c r="X737" i="1"/>
  <c r="Z729" i="1"/>
  <c r="AA729" i="1" s="1"/>
  <c r="X729" i="1"/>
  <c r="Z721" i="1"/>
  <c r="AA721" i="1" s="1"/>
  <c r="X721" i="1"/>
  <c r="Z713" i="1"/>
  <c r="AA713" i="1" s="1"/>
  <c r="X713" i="1"/>
  <c r="Z705" i="1"/>
  <c r="AA705" i="1" s="1"/>
  <c r="X705" i="1"/>
  <c r="Z697" i="1"/>
  <c r="AA697" i="1" s="1"/>
  <c r="X697" i="1"/>
  <c r="Z689" i="1"/>
  <c r="AA689" i="1" s="1"/>
  <c r="X689" i="1"/>
  <c r="Z681" i="1"/>
  <c r="AA681" i="1" s="1"/>
  <c r="X681" i="1"/>
  <c r="Z673" i="1"/>
  <c r="AA673" i="1" s="1"/>
  <c r="X673" i="1"/>
  <c r="Z665" i="1"/>
  <c r="AA665" i="1" s="1"/>
  <c r="X665" i="1"/>
  <c r="Z657" i="1"/>
  <c r="AA657" i="1" s="1"/>
  <c r="X657" i="1"/>
  <c r="Z649" i="1"/>
  <c r="AA649" i="1" s="1"/>
  <c r="X649" i="1"/>
  <c r="Z641" i="1"/>
  <c r="AA641" i="1" s="1"/>
  <c r="X641" i="1"/>
  <c r="Z633" i="1"/>
  <c r="AA633" i="1" s="1"/>
  <c r="X633" i="1"/>
  <c r="Z625" i="1"/>
  <c r="AA625" i="1" s="1"/>
  <c r="X625" i="1"/>
  <c r="Z617" i="1"/>
  <c r="AA617" i="1" s="1"/>
  <c r="X617" i="1"/>
  <c r="Z609" i="1"/>
  <c r="AA609" i="1" s="1"/>
  <c r="X609" i="1"/>
  <c r="Z1044" i="1"/>
  <c r="AA1044" i="1" s="1"/>
  <c r="X1044" i="1"/>
  <c r="Z996" i="1"/>
  <c r="AA996" i="1" s="1"/>
  <c r="X996" i="1"/>
  <c r="Z956" i="1"/>
  <c r="AA956" i="1" s="1"/>
  <c r="X956" i="1"/>
  <c r="Z900" i="1"/>
  <c r="AA900" i="1" s="1"/>
  <c r="X900" i="1"/>
  <c r="Z844" i="1"/>
  <c r="AA844" i="1" s="1"/>
  <c r="X844" i="1"/>
  <c r="Z820" i="1"/>
  <c r="AA820" i="1" s="1"/>
  <c r="X820" i="1"/>
  <c r="Z604" i="1"/>
  <c r="AA604" i="1" s="1"/>
  <c r="X604" i="1"/>
  <c r="Z572" i="1"/>
  <c r="AA572" i="1" s="1"/>
  <c r="X572" i="1"/>
  <c r="Z532" i="1"/>
  <c r="AA532" i="1" s="1"/>
  <c r="X532" i="1"/>
  <c r="Z484" i="1"/>
  <c r="AA484" i="1" s="1"/>
  <c r="X484" i="1"/>
  <c r="Z452" i="1"/>
  <c r="AA452" i="1" s="1"/>
  <c r="X452" i="1"/>
  <c r="Z340" i="1"/>
  <c r="AA340" i="1" s="1"/>
  <c r="X340" i="1"/>
  <c r="Z316" i="1"/>
  <c r="AA316" i="1" s="1"/>
  <c r="X316" i="1"/>
  <c r="Z196" i="1"/>
  <c r="AA196" i="1" s="1"/>
  <c r="X196" i="1"/>
  <c r="Z180" i="1"/>
  <c r="AA180" i="1" s="1"/>
  <c r="X180" i="1"/>
  <c r="Z1064" i="1"/>
  <c r="AA1064" i="1" s="1"/>
  <c r="X1064" i="1"/>
  <c r="Z1056" i="1"/>
  <c r="AA1056" i="1" s="1"/>
  <c r="X1056" i="1"/>
  <c r="Z1048" i="1"/>
  <c r="AA1048" i="1" s="1"/>
  <c r="X1048" i="1"/>
  <c r="Z1040" i="1"/>
  <c r="AA1040" i="1" s="1"/>
  <c r="X1040" i="1"/>
  <c r="Z1032" i="1"/>
  <c r="AA1032" i="1" s="1"/>
  <c r="X1032" i="1"/>
  <c r="Z1024" i="1"/>
  <c r="AA1024" i="1" s="1"/>
  <c r="X1024" i="1"/>
  <c r="Z1016" i="1"/>
  <c r="AA1016" i="1" s="1"/>
  <c r="X1016" i="1"/>
  <c r="Z1008" i="1"/>
  <c r="AA1008" i="1" s="1"/>
  <c r="X1008" i="1"/>
  <c r="Z1000" i="1"/>
  <c r="AA1000" i="1" s="1"/>
  <c r="X1000" i="1"/>
  <c r="Z992" i="1"/>
  <c r="AA992" i="1" s="1"/>
  <c r="X992" i="1"/>
  <c r="Z984" i="1"/>
  <c r="AA984" i="1" s="1"/>
  <c r="X984" i="1"/>
  <c r="Z976" i="1"/>
  <c r="AA976" i="1" s="1"/>
  <c r="X976" i="1"/>
  <c r="Z968" i="1"/>
  <c r="AA968" i="1" s="1"/>
  <c r="X968" i="1"/>
  <c r="Z960" i="1"/>
  <c r="AA960" i="1" s="1"/>
  <c r="X960" i="1"/>
  <c r="Z952" i="1"/>
  <c r="AA952" i="1" s="1"/>
  <c r="X952" i="1"/>
  <c r="Z944" i="1"/>
  <c r="AA944" i="1" s="1"/>
  <c r="X944" i="1"/>
  <c r="Z936" i="1"/>
  <c r="AA936" i="1" s="1"/>
  <c r="X936" i="1"/>
  <c r="Z928" i="1"/>
  <c r="AA928" i="1" s="1"/>
  <c r="X928" i="1"/>
  <c r="Z920" i="1"/>
  <c r="AA920" i="1" s="1"/>
  <c r="X920" i="1"/>
  <c r="Z912" i="1"/>
  <c r="AA912" i="1" s="1"/>
  <c r="X912" i="1"/>
  <c r="Z904" i="1"/>
  <c r="AA904" i="1" s="1"/>
  <c r="X904" i="1"/>
  <c r="Z896" i="1"/>
  <c r="AA896" i="1" s="1"/>
  <c r="X896" i="1"/>
  <c r="Z888" i="1"/>
  <c r="AA888" i="1" s="1"/>
  <c r="X888" i="1"/>
  <c r="Z880" i="1"/>
  <c r="AA880" i="1" s="1"/>
  <c r="X880" i="1"/>
  <c r="Z872" i="1"/>
  <c r="AA872" i="1" s="1"/>
  <c r="X872" i="1"/>
  <c r="Z864" i="1"/>
  <c r="AA864" i="1" s="1"/>
  <c r="X864" i="1"/>
  <c r="Z856" i="1"/>
  <c r="AA856" i="1" s="1"/>
  <c r="X856" i="1"/>
  <c r="Z848" i="1"/>
  <c r="AA848" i="1" s="1"/>
  <c r="X848" i="1"/>
  <c r="Z840" i="1"/>
  <c r="AA840" i="1" s="1"/>
  <c r="X840" i="1"/>
  <c r="Z832" i="1"/>
  <c r="AA832" i="1" s="1"/>
  <c r="X832" i="1"/>
  <c r="Z824" i="1"/>
  <c r="AA824" i="1" s="1"/>
  <c r="X824" i="1"/>
  <c r="Z816" i="1"/>
  <c r="AA816" i="1" s="1"/>
  <c r="X816" i="1"/>
  <c r="Z808" i="1"/>
  <c r="AA808" i="1" s="1"/>
  <c r="X808" i="1"/>
  <c r="Z800" i="1"/>
  <c r="AA800" i="1" s="1"/>
  <c r="X800" i="1"/>
  <c r="Z792" i="1"/>
  <c r="AA792" i="1" s="1"/>
  <c r="X792" i="1"/>
  <c r="Z784" i="1"/>
  <c r="AA784" i="1" s="1"/>
  <c r="X784" i="1"/>
  <c r="Z776" i="1"/>
  <c r="AA776" i="1" s="1"/>
  <c r="X776" i="1"/>
  <c r="Z768" i="1"/>
  <c r="AA768" i="1" s="1"/>
  <c r="X768" i="1"/>
  <c r="Z760" i="1"/>
  <c r="AA760" i="1" s="1"/>
  <c r="X760" i="1"/>
  <c r="Z752" i="1"/>
  <c r="AA752" i="1" s="1"/>
  <c r="X752" i="1"/>
  <c r="Z744" i="1"/>
  <c r="AA744" i="1" s="1"/>
  <c r="X744" i="1"/>
  <c r="Z736" i="1"/>
  <c r="AA736" i="1" s="1"/>
  <c r="X736" i="1"/>
  <c r="Z728" i="1"/>
  <c r="AA728" i="1" s="1"/>
  <c r="X728" i="1"/>
  <c r="Z720" i="1"/>
  <c r="AA720" i="1" s="1"/>
  <c r="X720" i="1"/>
  <c r="Z712" i="1"/>
  <c r="AA712" i="1" s="1"/>
  <c r="X712" i="1"/>
  <c r="Z704" i="1"/>
  <c r="AA704" i="1" s="1"/>
  <c r="X704" i="1"/>
  <c r="Z696" i="1"/>
  <c r="AA696" i="1" s="1"/>
  <c r="X696" i="1"/>
  <c r="Z688" i="1"/>
  <c r="AA688" i="1" s="1"/>
  <c r="X688" i="1"/>
  <c r="Z680" i="1"/>
  <c r="AA680" i="1" s="1"/>
  <c r="X680" i="1"/>
  <c r="Z672" i="1"/>
  <c r="AA672" i="1" s="1"/>
  <c r="X672" i="1"/>
  <c r="Z664" i="1"/>
  <c r="AA664" i="1" s="1"/>
  <c r="X664" i="1"/>
  <c r="Z656" i="1"/>
  <c r="AA656" i="1" s="1"/>
  <c r="X656" i="1"/>
  <c r="Z648" i="1"/>
  <c r="AA648" i="1" s="1"/>
  <c r="X648" i="1"/>
  <c r="Z640" i="1"/>
  <c r="AA640" i="1" s="1"/>
  <c r="X640" i="1"/>
  <c r="Z632" i="1"/>
  <c r="AA632" i="1" s="1"/>
  <c r="X632" i="1"/>
  <c r="Z624" i="1"/>
  <c r="AA624" i="1" s="1"/>
  <c r="X624" i="1"/>
  <c r="Z616" i="1"/>
  <c r="AA616" i="1" s="1"/>
  <c r="X616" i="1"/>
  <c r="Z608" i="1"/>
  <c r="AA608" i="1" s="1"/>
  <c r="X608" i="1"/>
  <c r="Z592" i="1"/>
  <c r="AA592" i="1" s="1"/>
  <c r="X592" i="1"/>
  <c r="Z584" i="1"/>
  <c r="AA584" i="1" s="1"/>
  <c r="X584" i="1"/>
  <c r="Z576" i="1"/>
  <c r="AA576" i="1" s="1"/>
  <c r="X576" i="1"/>
  <c r="Z560" i="1"/>
  <c r="AA560" i="1" s="1"/>
  <c r="X560" i="1"/>
  <c r="Z528" i="1"/>
  <c r="AA528" i="1" s="1"/>
  <c r="X528" i="1"/>
  <c r="Z520" i="1"/>
  <c r="AA520" i="1" s="1"/>
  <c r="X520" i="1"/>
  <c r="Z512" i="1"/>
  <c r="AA512" i="1" s="1"/>
  <c r="X512" i="1"/>
  <c r="Z496" i="1"/>
  <c r="AA496" i="1" s="1"/>
  <c r="X496" i="1"/>
  <c r="Z480" i="1"/>
  <c r="AA480" i="1" s="1"/>
  <c r="X480" i="1"/>
  <c r="Z464" i="1"/>
  <c r="AA464" i="1" s="1"/>
  <c r="X464" i="1"/>
  <c r="Z448" i="1"/>
  <c r="AA448" i="1" s="1"/>
  <c r="X448" i="1"/>
  <c r="Z1052" i="1"/>
  <c r="AA1052" i="1" s="1"/>
  <c r="X1052" i="1"/>
  <c r="Z988" i="1"/>
  <c r="AA988" i="1" s="1"/>
  <c r="X988" i="1"/>
  <c r="Z932" i="1"/>
  <c r="AA932" i="1" s="1"/>
  <c r="X932" i="1"/>
  <c r="Z876" i="1"/>
  <c r="AA876" i="1" s="1"/>
  <c r="X876" i="1"/>
  <c r="Z492" i="1"/>
  <c r="AA492" i="1" s="1"/>
  <c r="X492" i="1"/>
  <c r="Z308" i="1"/>
  <c r="AA308" i="1" s="1"/>
  <c r="X308" i="1"/>
  <c r="Z124" i="1"/>
  <c r="AA124" i="1" s="1"/>
  <c r="X124" i="1"/>
  <c r="Z1063" i="1"/>
  <c r="AA1063" i="1" s="1"/>
  <c r="X1063" i="1"/>
  <c r="Z1055" i="1"/>
  <c r="AA1055" i="1" s="1"/>
  <c r="X1055" i="1"/>
  <c r="Z1047" i="1"/>
  <c r="AA1047" i="1" s="1"/>
  <c r="X1047" i="1"/>
  <c r="Z1039" i="1"/>
  <c r="AA1039" i="1" s="1"/>
  <c r="X1039" i="1"/>
  <c r="Z1015" i="1"/>
  <c r="AA1015" i="1" s="1"/>
  <c r="X1015" i="1"/>
  <c r="Z1007" i="1"/>
  <c r="AA1007" i="1" s="1"/>
  <c r="X1007" i="1"/>
  <c r="Z999" i="1"/>
  <c r="AA999" i="1" s="1"/>
  <c r="X999" i="1"/>
  <c r="Z991" i="1"/>
  <c r="AA991" i="1" s="1"/>
  <c r="X991" i="1"/>
  <c r="Z983" i="1"/>
  <c r="AA983" i="1" s="1"/>
  <c r="X983" i="1"/>
  <c r="Z975" i="1"/>
  <c r="AA975" i="1" s="1"/>
  <c r="X975" i="1"/>
  <c r="Z967" i="1"/>
  <c r="AA967" i="1" s="1"/>
  <c r="X967" i="1"/>
  <c r="Z959" i="1"/>
  <c r="AA959" i="1" s="1"/>
  <c r="X959" i="1"/>
  <c r="Z951" i="1"/>
  <c r="AA951" i="1" s="1"/>
  <c r="X951" i="1"/>
  <c r="Z943" i="1"/>
  <c r="AA943" i="1" s="1"/>
  <c r="X943" i="1"/>
  <c r="Z935" i="1"/>
  <c r="AA935" i="1" s="1"/>
  <c r="X935" i="1"/>
  <c r="Z927" i="1"/>
  <c r="AA927" i="1" s="1"/>
  <c r="X927" i="1"/>
  <c r="Z919" i="1"/>
  <c r="AA919" i="1" s="1"/>
  <c r="X919" i="1"/>
  <c r="Z911" i="1"/>
  <c r="AA911" i="1" s="1"/>
  <c r="X911" i="1"/>
  <c r="Z903" i="1"/>
  <c r="AA903" i="1" s="1"/>
  <c r="X903" i="1"/>
  <c r="Z895" i="1"/>
  <c r="AA895" i="1" s="1"/>
  <c r="X895" i="1"/>
  <c r="Z887" i="1"/>
  <c r="AA887" i="1" s="1"/>
  <c r="X887" i="1"/>
  <c r="Z879" i="1"/>
  <c r="AA879" i="1" s="1"/>
  <c r="X879" i="1"/>
  <c r="Z871" i="1"/>
  <c r="AA871" i="1" s="1"/>
  <c r="X871" i="1"/>
  <c r="Z863" i="1"/>
  <c r="AA863" i="1" s="1"/>
  <c r="X863" i="1"/>
  <c r="Z855" i="1"/>
  <c r="AA855" i="1" s="1"/>
  <c r="X855" i="1"/>
  <c r="Z847" i="1"/>
  <c r="AA847" i="1" s="1"/>
  <c r="X847" i="1"/>
  <c r="Z839" i="1"/>
  <c r="AA839" i="1" s="1"/>
  <c r="X839" i="1"/>
  <c r="Z831" i="1"/>
  <c r="AA831" i="1" s="1"/>
  <c r="X831" i="1"/>
  <c r="Z823" i="1"/>
  <c r="AA823" i="1" s="1"/>
  <c r="X823" i="1"/>
  <c r="Z815" i="1"/>
  <c r="AA815" i="1" s="1"/>
  <c r="X815" i="1"/>
  <c r="Z807" i="1"/>
  <c r="AA807" i="1" s="1"/>
  <c r="X807" i="1"/>
  <c r="Z1036" i="1"/>
  <c r="AA1036" i="1" s="1"/>
  <c r="X1036" i="1"/>
  <c r="Z972" i="1"/>
  <c r="AA972" i="1" s="1"/>
  <c r="X972" i="1"/>
  <c r="Z924" i="1"/>
  <c r="AA924" i="1" s="1"/>
  <c r="X924" i="1"/>
  <c r="Z884" i="1"/>
  <c r="AA884" i="1" s="1"/>
  <c r="X884" i="1"/>
  <c r="Z500" i="1"/>
  <c r="AA500" i="1" s="1"/>
  <c r="X500" i="1"/>
  <c r="Z460" i="1"/>
  <c r="AA460" i="1" s="1"/>
  <c r="X460" i="1"/>
  <c r="Z436" i="1"/>
  <c r="AA436" i="1" s="1"/>
  <c r="X436" i="1"/>
  <c r="Z404" i="1"/>
  <c r="AA404" i="1" s="1"/>
  <c r="X404" i="1"/>
  <c r="Z372" i="1"/>
  <c r="AA372" i="1" s="1"/>
  <c r="X372" i="1"/>
  <c r="Z188" i="1"/>
  <c r="AA188" i="1" s="1"/>
  <c r="X188" i="1"/>
  <c r="Z132" i="1"/>
  <c r="AA132" i="1" s="1"/>
  <c r="X132" i="1"/>
  <c r="Z1031" i="1"/>
  <c r="AA1031" i="1" s="1"/>
  <c r="X1031" i="1"/>
  <c r="Z1062" i="1"/>
  <c r="AA1062" i="1" s="1"/>
  <c r="X1062" i="1"/>
  <c r="Z1046" i="1"/>
  <c r="AA1046" i="1" s="1"/>
  <c r="X1046" i="1"/>
  <c r="Z1030" i="1"/>
  <c r="AA1030" i="1" s="1"/>
  <c r="X1030" i="1"/>
  <c r="Z1014" i="1"/>
  <c r="AA1014" i="1" s="1"/>
  <c r="X1014" i="1"/>
  <c r="Z998" i="1"/>
  <c r="AA998" i="1" s="1"/>
  <c r="X998" i="1"/>
  <c r="Z982" i="1"/>
  <c r="AA982" i="1" s="1"/>
  <c r="X982" i="1"/>
  <c r="Z974" i="1"/>
  <c r="AA974" i="1" s="1"/>
  <c r="X974" i="1"/>
  <c r="Z966" i="1"/>
  <c r="AA966" i="1" s="1"/>
  <c r="X966" i="1"/>
  <c r="Z39" i="1"/>
  <c r="AA39" i="1" s="1"/>
  <c r="X39" i="1"/>
  <c r="Z921" i="1"/>
  <c r="AA921" i="1" s="1"/>
  <c r="Z913" i="1"/>
  <c r="AA913" i="1" s="1"/>
  <c r="Z905" i="1"/>
  <c r="AA905" i="1" s="1"/>
  <c r="Z897" i="1"/>
  <c r="AA897" i="1" s="1"/>
  <c r="Z889" i="1"/>
  <c r="AA889" i="1" s="1"/>
  <c r="Z881" i="1"/>
  <c r="AA881" i="1" s="1"/>
  <c r="Z873" i="1"/>
  <c r="AA873" i="1" s="1"/>
  <c r="Z865" i="1"/>
  <c r="AA865" i="1" s="1"/>
  <c r="Z857" i="1"/>
  <c r="AA857" i="1" s="1"/>
  <c r="Z849" i="1"/>
  <c r="AA849" i="1" s="1"/>
  <c r="Z841" i="1"/>
  <c r="AA841" i="1" s="1"/>
  <c r="Z833" i="1"/>
  <c r="AA833" i="1" s="1"/>
  <c r="Z825" i="1"/>
  <c r="AA825" i="1" s="1"/>
  <c r="Z817" i="1"/>
  <c r="AA817" i="1" s="1"/>
  <c r="Z809" i="1"/>
  <c r="AA809" i="1" s="1"/>
  <c r="Z801" i="1"/>
  <c r="AA801" i="1" s="1"/>
  <c r="Z794" i="1"/>
  <c r="AA794" i="1" s="1"/>
  <c r="Z786" i="1"/>
  <c r="AA786" i="1" s="1"/>
  <c r="Z778" i="1"/>
  <c r="AA778" i="1" s="1"/>
  <c r="Z770" i="1"/>
  <c r="AA770" i="1" s="1"/>
  <c r="Z762" i="1"/>
  <c r="AA762" i="1" s="1"/>
  <c r="Z754" i="1"/>
  <c r="AA754" i="1" s="1"/>
  <c r="Z746" i="1"/>
  <c r="AA746" i="1" s="1"/>
  <c r="Z738" i="1"/>
  <c r="AA738" i="1" s="1"/>
  <c r="Z730" i="1"/>
  <c r="AA730" i="1" s="1"/>
  <c r="Z722" i="1"/>
  <c r="AA722" i="1" s="1"/>
  <c r="Z714" i="1"/>
  <c r="AA714" i="1" s="1"/>
  <c r="Z706" i="1"/>
  <c r="AA706" i="1" s="1"/>
  <c r="Z698" i="1"/>
  <c r="AA698" i="1" s="1"/>
  <c r="Z690" i="1"/>
  <c r="AA690" i="1" s="1"/>
  <c r="Z682" i="1"/>
  <c r="AA682" i="1" s="1"/>
  <c r="Z674" i="1"/>
  <c r="AA674" i="1" s="1"/>
  <c r="Z666" i="1"/>
  <c r="AA666" i="1" s="1"/>
  <c r="Z658" i="1"/>
  <c r="AA658" i="1" s="1"/>
  <c r="Z650" i="1"/>
  <c r="AA650" i="1" s="1"/>
  <c r="Z642" i="1"/>
  <c r="AA642" i="1" s="1"/>
  <c r="Z634" i="1"/>
  <c r="AA634" i="1" s="1"/>
  <c r="Z626" i="1"/>
  <c r="AA626" i="1" s="1"/>
  <c r="Z618" i="1"/>
  <c r="AA618" i="1" s="1"/>
  <c r="Z610" i="1"/>
  <c r="AA610" i="1" s="1"/>
  <c r="Z594" i="1"/>
  <c r="AA594" i="1" s="1"/>
  <c r="Z578" i="1"/>
  <c r="AA578" i="1" s="1"/>
  <c r="Z570" i="1"/>
  <c r="AA570" i="1" s="1"/>
  <c r="Z562" i="1"/>
  <c r="AA562" i="1" s="1"/>
  <c r="Z530" i="1"/>
  <c r="AA530" i="1" s="1"/>
  <c r="Z514" i="1"/>
  <c r="AA514" i="1" s="1"/>
  <c r="Z498" i="1"/>
  <c r="AA498" i="1" s="1"/>
  <c r="Z482" i="1"/>
  <c r="AA482" i="1" s="1"/>
  <c r="Z466" i="1"/>
  <c r="AA466" i="1" s="1"/>
  <c r="Z450" i="1"/>
  <c r="AA450" i="1" s="1"/>
  <c r="Z434" i="1"/>
  <c r="AA434" i="1" s="1"/>
  <c r="Z418" i="1"/>
  <c r="AA418" i="1" s="1"/>
  <c r="Z386" i="1"/>
  <c r="AA386" i="1" s="1"/>
  <c r="Z378" i="1"/>
  <c r="AA378" i="1" s="1"/>
  <c r="Z370" i="1"/>
  <c r="AA370" i="1" s="1"/>
  <c r="Z354" i="1"/>
  <c r="AA354" i="1" s="1"/>
  <c r="Z322" i="1"/>
  <c r="AA322" i="1" s="1"/>
  <c r="Z314" i="1"/>
  <c r="AA314" i="1" s="1"/>
  <c r="Z306" i="1"/>
  <c r="AA306" i="1" s="1"/>
  <c r="Z298" i="1"/>
  <c r="AA298" i="1" s="1"/>
  <c r="Z290" i="1"/>
  <c r="AA290" i="1" s="1"/>
  <c r="Z258" i="1"/>
  <c r="AA258" i="1" s="1"/>
  <c r="Z250" i="1"/>
  <c r="AA250" i="1" s="1"/>
  <c r="Z242" i="1"/>
  <c r="AA242" i="1" s="1"/>
  <c r="Z234" i="1"/>
  <c r="AA234" i="1" s="1"/>
  <c r="Z226" i="1"/>
  <c r="AA226" i="1" s="1"/>
  <c r="Z194" i="1"/>
  <c r="AA194" i="1" s="1"/>
  <c r="Z186" i="1"/>
  <c r="AA186" i="1" s="1"/>
  <c r="Z178" i="1"/>
  <c r="AA178" i="1" s="1"/>
  <c r="Z170" i="1"/>
  <c r="AA170" i="1" s="1"/>
  <c r="Z162" i="1"/>
  <c r="AA162" i="1" s="1"/>
  <c r="Z130" i="1"/>
  <c r="AA130" i="1" s="1"/>
  <c r="Z122" i="1"/>
  <c r="AA122" i="1" s="1"/>
  <c r="Z114" i="1"/>
  <c r="AA114" i="1" s="1"/>
  <c r="Z107" i="1"/>
  <c r="AA107" i="1" s="1"/>
  <c r="Z99" i="1"/>
  <c r="AA99" i="1" s="1"/>
  <c r="Z67" i="1"/>
  <c r="AA67" i="1" s="1"/>
  <c r="Z59" i="1"/>
  <c r="AA59" i="1" s="1"/>
  <c r="Z51" i="1"/>
  <c r="AA51" i="1" s="1"/>
  <c r="Z43" i="1"/>
  <c r="AA43" i="1" s="1"/>
  <c r="Z35" i="1"/>
  <c r="AA35" i="1" s="1"/>
  <c r="Z27" i="1"/>
  <c r="AA27" i="1" s="1"/>
  <c r="Z19" i="1"/>
  <c r="AA19" i="1" s="1"/>
  <c r="Z11" i="1"/>
  <c r="AA11" i="1" s="1"/>
  <c r="Z3" i="1"/>
  <c r="AA3" i="1" s="1"/>
  <c r="Z601" i="1"/>
  <c r="AA601" i="1" s="1"/>
  <c r="Z593" i="1"/>
  <c r="AA593" i="1" s="1"/>
  <c r="Z585" i="1"/>
  <c r="AA585" i="1" s="1"/>
  <c r="Z577" i="1"/>
  <c r="AA577" i="1" s="1"/>
  <c r="Z569" i="1"/>
  <c r="AA569" i="1" s="1"/>
  <c r="Z561" i="1"/>
  <c r="AA561" i="1" s="1"/>
  <c r="Z553" i="1"/>
  <c r="AA553" i="1" s="1"/>
  <c r="Z545" i="1"/>
  <c r="AA545" i="1" s="1"/>
  <c r="Z537" i="1"/>
  <c r="AA537" i="1" s="1"/>
  <c r="Z529" i="1"/>
  <c r="AA529" i="1" s="1"/>
  <c r="Z521" i="1"/>
  <c r="AA521" i="1" s="1"/>
  <c r="Z513" i="1"/>
  <c r="AA513" i="1" s="1"/>
  <c r="Z505" i="1"/>
  <c r="AA505" i="1" s="1"/>
  <c r="Z497" i="1"/>
  <c r="AA497" i="1" s="1"/>
  <c r="Z489" i="1"/>
  <c r="AA489" i="1" s="1"/>
  <c r="Z481" i="1"/>
  <c r="AA481" i="1" s="1"/>
  <c r="Z473" i="1"/>
  <c r="AA473" i="1" s="1"/>
  <c r="Z465" i="1"/>
  <c r="AA465" i="1" s="1"/>
  <c r="Z457" i="1"/>
  <c r="AA457" i="1" s="1"/>
  <c r="Z449" i="1"/>
  <c r="AA449" i="1" s="1"/>
  <c r="Z441" i="1"/>
  <c r="AA441" i="1" s="1"/>
  <c r="Z433" i="1"/>
  <c r="AA433" i="1" s="1"/>
  <c r="Z425" i="1"/>
  <c r="AA425" i="1" s="1"/>
  <c r="Z417" i="1"/>
  <c r="AA417" i="1" s="1"/>
  <c r="Z409" i="1"/>
  <c r="AA409" i="1" s="1"/>
  <c r="Z401" i="1"/>
  <c r="AA401" i="1" s="1"/>
  <c r="Z393" i="1"/>
  <c r="AA393" i="1" s="1"/>
  <c r="Z385" i="1"/>
  <c r="AA385" i="1" s="1"/>
  <c r="Z377" i="1"/>
  <c r="AA377" i="1" s="1"/>
  <c r="Z369" i="1"/>
  <c r="AA369" i="1" s="1"/>
  <c r="Z361" i="1"/>
  <c r="AA361" i="1" s="1"/>
  <c r="Z353" i="1"/>
  <c r="AA353" i="1" s="1"/>
  <c r="Z345" i="1"/>
  <c r="AA345" i="1" s="1"/>
  <c r="Z337" i="1"/>
  <c r="AA337" i="1" s="1"/>
  <c r="Z329" i="1"/>
  <c r="AA329" i="1" s="1"/>
  <c r="Z321" i="1"/>
  <c r="AA321" i="1" s="1"/>
  <c r="Z313" i="1"/>
  <c r="AA313" i="1" s="1"/>
  <c r="Z305" i="1"/>
  <c r="AA305" i="1" s="1"/>
  <c r="Z297" i="1"/>
  <c r="AA297" i="1" s="1"/>
  <c r="Z289" i="1"/>
  <c r="AA289" i="1" s="1"/>
  <c r="Z281" i="1"/>
  <c r="AA281" i="1" s="1"/>
  <c r="Z273" i="1"/>
  <c r="AA273" i="1" s="1"/>
  <c r="Z265" i="1"/>
  <c r="AA265" i="1" s="1"/>
  <c r="Z257" i="1"/>
  <c r="AA257" i="1" s="1"/>
  <c r="Z249" i="1"/>
  <c r="AA249" i="1" s="1"/>
  <c r="Z241" i="1"/>
  <c r="AA241" i="1" s="1"/>
  <c r="Z233" i="1"/>
  <c r="AA233" i="1" s="1"/>
  <c r="Z225" i="1"/>
  <c r="AA225" i="1" s="1"/>
  <c r="Z217" i="1"/>
  <c r="AA217" i="1" s="1"/>
  <c r="Z209" i="1"/>
  <c r="AA209" i="1" s="1"/>
  <c r="Z201" i="1"/>
  <c r="AA201" i="1" s="1"/>
  <c r="Z193" i="1"/>
  <c r="AA193" i="1" s="1"/>
  <c r="Z185" i="1"/>
  <c r="AA185" i="1" s="1"/>
  <c r="Z177" i="1"/>
  <c r="AA177" i="1" s="1"/>
  <c r="Z169" i="1"/>
  <c r="AA169" i="1" s="1"/>
  <c r="Z161" i="1"/>
  <c r="AA161" i="1" s="1"/>
  <c r="Z153" i="1"/>
  <c r="AA153" i="1" s="1"/>
  <c r="Z145" i="1"/>
  <c r="AA145" i="1" s="1"/>
  <c r="Z137" i="1"/>
  <c r="AA137" i="1" s="1"/>
  <c r="Z129" i="1"/>
  <c r="AA129" i="1" s="1"/>
  <c r="Z121" i="1"/>
  <c r="AA121" i="1" s="1"/>
  <c r="Z106" i="1"/>
  <c r="AA106" i="1" s="1"/>
  <c r="Z98" i="1"/>
  <c r="AA98" i="1" s="1"/>
  <c r="Z90" i="1"/>
  <c r="AA90" i="1" s="1"/>
  <c r="Z82" i="1"/>
  <c r="AA82" i="1" s="1"/>
  <c r="Z74" i="1"/>
  <c r="AA74" i="1" s="1"/>
  <c r="Z66" i="1"/>
  <c r="AA66" i="1" s="1"/>
  <c r="Z58" i="1"/>
  <c r="AA58" i="1" s="1"/>
  <c r="Z50" i="1"/>
  <c r="AA50" i="1" s="1"/>
  <c r="Z42" i="1"/>
  <c r="AA42" i="1" s="1"/>
  <c r="Z34" i="1"/>
  <c r="AA34" i="1" s="1"/>
  <c r="Z26" i="1"/>
  <c r="AA26" i="1" s="1"/>
  <c r="Z600" i="1"/>
  <c r="AA600" i="1" s="1"/>
  <c r="Z568" i="1"/>
  <c r="AA568" i="1" s="1"/>
  <c r="Z552" i="1"/>
  <c r="AA552" i="1" s="1"/>
  <c r="Z544" i="1"/>
  <c r="AA544" i="1" s="1"/>
  <c r="Z536" i="1"/>
  <c r="AA536" i="1" s="1"/>
  <c r="Z504" i="1"/>
  <c r="AA504" i="1" s="1"/>
  <c r="Z488" i="1"/>
  <c r="AA488" i="1" s="1"/>
  <c r="Z472" i="1"/>
  <c r="AA472" i="1" s="1"/>
  <c r="Z456" i="1"/>
  <c r="AA456" i="1" s="1"/>
  <c r="Z440" i="1"/>
  <c r="AA440" i="1" s="1"/>
  <c r="Z432" i="1"/>
  <c r="AA432" i="1" s="1"/>
  <c r="Z424" i="1"/>
  <c r="AA424" i="1" s="1"/>
  <c r="Z416" i="1"/>
  <c r="AA416" i="1" s="1"/>
  <c r="Z408" i="1"/>
  <c r="AA408" i="1" s="1"/>
  <c r="Z400" i="1"/>
  <c r="AA400" i="1" s="1"/>
  <c r="Z392" i="1"/>
  <c r="AA392" i="1" s="1"/>
  <c r="Z384" i="1"/>
  <c r="AA384" i="1" s="1"/>
  <c r="Z376" i="1"/>
  <c r="AA376" i="1" s="1"/>
  <c r="Z368" i="1"/>
  <c r="AA368" i="1" s="1"/>
  <c r="Z360" i="1"/>
  <c r="AA360" i="1" s="1"/>
  <c r="Z352" i="1"/>
  <c r="AA352" i="1" s="1"/>
  <c r="Z344" i="1"/>
  <c r="AA344" i="1" s="1"/>
  <c r="Z336" i="1"/>
  <c r="AA336" i="1" s="1"/>
  <c r="Z328" i="1"/>
  <c r="AA328" i="1" s="1"/>
  <c r="Z320" i="1"/>
  <c r="AA320" i="1" s="1"/>
  <c r="Z312" i="1"/>
  <c r="AA312" i="1" s="1"/>
  <c r="Z304" i="1"/>
  <c r="AA304" i="1" s="1"/>
  <c r="Z296" i="1"/>
  <c r="AA296" i="1" s="1"/>
  <c r="Z288" i="1"/>
  <c r="AA288" i="1" s="1"/>
  <c r="Z280" i="1"/>
  <c r="AA280" i="1" s="1"/>
  <c r="Z272" i="1"/>
  <c r="AA272" i="1" s="1"/>
  <c r="Z264" i="1"/>
  <c r="AA264" i="1" s="1"/>
  <c r="Z256" i="1"/>
  <c r="AA256" i="1" s="1"/>
  <c r="Z248" i="1"/>
  <c r="AA248" i="1" s="1"/>
  <c r="Z240" i="1"/>
  <c r="AA240" i="1" s="1"/>
  <c r="Z232" i="1"/>
  <c r="AA232" i="1" s="1"/>
  <c r="Z224" i="1"/>
  <c r="AA224" i="1" s="1"/>
  <c r="Z216" i="1"/>
  <c r="AA216" i="1" s="1"/>
  <c r="Z208" i="1"/>
  <c r="AA208" i="1" s="1"/>
  <c r="Z200" i="1"/>
  <c r="AA200" i="1" s="1"/>
  <c r="Z192" i="1"/>
  <c r="AA192" i="1" s="1"/>
  <c r="Z184" i="1"/>
  <c r="AA184" i="1" s="1"/>
  <c r="Z176" i="1"/>
  <c r="AA176" i="1" s="1"/>
  <c r="Z168" i="1"/>
  <c r="AA168" i="1" s="1"/>
  <c r="Z160" i="1"/>
  <c r="AA160" i="1" s="1"/>
  <c r="Z152" i="1"/>
  <c r="AA152" i="1" s="1"/>
  <c r="Z144" i="1"/>
  <c r="AA144" i="1" s="1"/>
  <c r="Z136" i="1"/>
  <c r="AA136" i="1" s="1"/>
  <c r="Z128" i="1"/>
  <c r="AA128" i="1" s="1"/>
  <c r="Z120" i="1"/>
  <c r="AA120" i="1" s="1"/>
  <c r="Z113" i="1"/>
  <c r="AA113" i="1" s="1"/>
  <c r="Z105" i="1"/>
  <c r="AA105" i="1" s="1"/>
  <c r="Z97" i="1"/>
  <c r="AA97" i="1" s="1"/>
  <c r="Z89" i="1"/>
  <c r="AA89" i="1" s="1"/>
  <c r="Z81" i="1"/>
  <c r="AA81" i="1" s="1"/>
  <c r="Z73" i="1"/>
  <c r="AA73" i="1" s="1"/>
  <c r="Z65" i="1"/>
  <c r="AA65" i="1" s="1"/>
  <c r="Z57" i="1"/>
  <c r="AA57" i="1" s="1"/>
  <c r="Z49" i="1"/>
  <c r="AA49" i="1" s="1"/>
  <c r="Z41" i="1"/>
  <c r="AA41" i="1" s="1"/>
  <c r="Z33" i="1"/>
  <c r="AA33" i="1" s="1"/>
  <c r="Z25" i="1"/>
  <c r="AA25" i="1" s="1"/>
  <c r="Z17" i="1"/>
  <c r="AA17" i="1" s="1"/>
  <c r="Z9" i="1"/>
  <c r="AA9" i="1" s="1"/>
  <c r="Z958" i="1"/>
  <c r="AA958" i="1" s="1"/>
  <c r="Z950" i="1"/>
  <c r="AA950" i="1" s="1"/>
  <c r="Z942" i="1"/>
  <c r="AA942" i="1" s="1"/>
  <c r="Z934" i="1"/>
  <c r="AA934" i="1" s="1"/>
  <c r="Z926" i="1"/>
  <c r="AA926" i="1" s="1"/>
  <c r="Z918" i="1"/>
  <c r="AA918" i="1" s="1"/>
  <c r="Z910" i="1"/>
  <c r="AA910" i="1" s="1"/>
  <c r="Z902" i="1"/>
  <c r="AA902" i="1" s="1"/>
  <c r="Z894" i="1"/>
  <c r="AA894" i="1" s="1"/>
  <c r="Z886" i="1"/>
  <c r="AA886" i="1" s="1"/>
  <c r="Z878" i="1"/>
  <c r="AA878" i="1" s="1"/>
  <c r="Z870" i="1"/>
  <c r="AA870" i="1" s="1"/>
  <c r="Z862" i="1"/>
  <c r="AA862" i="1" s="1"/>
  <c r="Z854" i="1"/>
  <c r="AA854" i="1" s="1"/>
  <c r="Z846" i="1"/>
  <c r="AA846" i="1" s="1"/>
  <c r="Z838" i="1"/>
  <c r="AA838" i="1" s="1"/>
  <c r="Z830" i="1"/>
  <c r="AA830" i="1" s="1"/>
  <c r="Z822" i="1"/>
  <c r="AA822" i="1" s="1"/>
  <c r="Z814" i="1"/>
  <c r="AA814" i="1" s="1"/>
  <c r="Z806" i="1"/>
  <c r="AA806" i="1" s="1"/>
  <c r="Z799" i="1"/>
  <c r="AA799" i="1" s="1"/>
  <c r="Z791" i="1"/>
  <c r="AA791" i="1" s="1"/>
  <c r="Z783" i="1"/>
  <c r="AA783" i="1" s="1"/>
  <c r="Z775" i="1"/>
  <c r="AA775" i="1" s="1"/>
  <c r="Z767" i="1"/>
  <c r="AA767" i="1" s="1"/>
  <c r="Z759" i="1"/>
  <c r="AA759" i="1" s="1"/>
  <c r="Z751" i="1"/>
  <c r="AA751" i="1" s="1"/>
  <c r="Z743" i="1"/>
  <c r="AA743" i="1" s="1"/>
  <c r="Z735" i="1"/>
  <c r="AA735" i="1" s="1"/>
  <c r="Z727" i="1"/>
  <c r="AA727" i="1" s="1"/>
  <c r="Z719" i="1"/>
  <c r="AA719" i="1" s="1"/>
  <c r="Z711" i="1"/>
  <c r="AA711" i="1" s="1"/>
  <c r="Z703" i="1"/>
  <c r="AA703" i="1" s="1"/>
  <c r="Z695" i="1"/>
  <c r="AA695" i="1" s="1"/>
  <c r="Z687" i="1"/>
  <c r="AA687" i="1" s="1"/>
  <c r="Z679" i="1"/>
  <c r="AA679" i="1" s="1"/>
  <c r="Z671" i="1"/>
  <c r="AA671" i="1" s="1"/>
  <c r="Z663" i="1"/>
  <c r="AA663" i="1" s="1"/>
  <c r="Z655" i="1"/>
  <c r="AA655" i="1" s="1"/>
  <c r="Z647" i="1"/>
  <c r="AA647" i="1" s="1"/>
  <c r="Z639" i="1"/>
  <c r="AA639" i="1" s="1"/>
  <c r="Z631" i="1"/>
  <c r="AA631" i="1" s="1"/>
  <c r="Z623" i="1"/>
  <c r="AA623" i="1" s="1"/>
  <c r="Z615" i="1"/>
  <c r="AA615" i="1" s="1"/>
  <c r="Z607" i="1"/>
  <c r="AA607" i="1" s="1"/>
  <c r="Z599" i="1"/>
  <c r="AA599" i="1" s="1"/>
  <c r="Z591" i="1"/>
  <c r="AA591" i="1" s="1"/>
  <c r="Z583" i="1"/>
  <c r="AA583" i="1" s="1"/>
  <c r="Z575" i="1"/>
  <c r="AA575" i="1" s="1"/>
  <c r="Z567" i="1"/>
  <c r="AA567" i="1" s="1"/>
  <c r="Z559" i="1"/>
  <c r="AA559" i="1" s="1"/>
  <c r="Z551" i="1"/>
  <c r="AA551" i="1" s="1"/>
  <c r="Z543" i="1"/>
  <c r="AA543" i="1" s="1"/>
  <c r="Z535" i="1"/>
  <c r="AA535" i="1" s="1"/>
  <c r="Z527" i="1"/>
  <c r="AA527" i="1" s="1"/>
  <c r="Z519" i="1"/>
  <c r="AA519" i="1" s="1"/>
  <c r="Z511" i="1"/>
  <c r="AA511" i="1" s="1"/>
  <c r="Z503" i="1"/>
  <c r="AA503" i="1" s="1"/>
  <c r="Z495" i="1"/>
  <c r="AA495" i="1" s="1"/>
  <c r="Z487" i="1"/>
  <c r="AA487" i="1" s="1"/>
  <c r="Z479" i="1"/>
  <c r="AA479" i="1" s="1"/>
  <c r="Z471" i="1"/>
  <c r="AA471" i="1" s="1"/>
  <c r="Z463" i="1"/>
  <c r="AA463" i="1" s="1"/>
  <c r="Z455" i="1"/>
  <c r="AA455" i="1" s="1"/>
  <c r="Z447" i="1"/>
  <c r="AA447" i="1" s="1"/>
  <c r="Z439" i="1"/>
  <c r="AA439" i="1" s="1"/>
  <c r="Z431" i="1"/>
  <c r="AA431" i="1" s="1"/>
  <c r="Z423" i="1"/>
  <c r="AA423" i="1" s="1"/>
  <c r="Z415" i="1"/>
  <c r="AA415" i="1" s="1"/>
  <c r="Z407" i="1"/>
  <c r="AA407" i="1" s="1"/>
  <c r="Z399" i="1"/>
  <c r="AA399" i="1" s="1"/>
  <c r="Z391" i="1"/>
  <c r="AA391" i="1" s="1"/>
  <c r="Z383" i="1"/>
  <c r="AA383" i="1" s="1"/>
  <c r="Z375" i="1"/>
  <c r="AA375" i="1" s="1"/>
  <c r="Z367" i="1"/>
  <c r="AA367" i="1" s="1"/>
  <c r="Z359" i="1"/>
  <c r="AA359" i="1" s="1"/>
  <c r="Z351" i="1"/>
  <c r="AA351" i="1" s="1"/>
  <c r="Z343" i="1"/>
  <c r="AA343" i="1" s="1"/>
  <c r="Z335" i="1"/>
  <c r="AA335" i="1" s="1"/>
  <c r="Z327" i="1"/>
  <c r="AA327" i="1" s="1"/>
  <c r="Z319" i="1"/>
  <c r="AA319" i="1" s="1"/>
  <c r="Z311" i="1"/>
  <c r="AA311" i="1" s="1"/>
  <c r="Z303" i="1"/>
  <c r="AA303" i="1" s="1"/>
  <c r="Z295" i="1"/>
  <c r="AA295" i="1" s="1"/>
  <c r="Z287" i="1"/>
  <c r="AA287" i="1" s="1"/>
  <c r="Z279" i="1"/>
  <c r="AA279" i="1" s="1"/>
  <c r="Z271" i="1"/>
  <c r="AA271" i="1" s="1"/>
  <c r="Z263" i="1"/>
  <c r="AA263" i="1" s="1"/>
  <c r="Z255" i="1"/>
  <c r="AA255" i="1" s="1"/>
  <c r="Z247" i="1"/>
  <c r="AA247" i="1" s="1"/>
  <c r="Z239" i="1"/>
  <c r="AA239" i="1" s="1"/>
  <c r="Z231" i="1"/>
  <c r="AA231" i="1" s="1"/>
  <c r="Z223" i="1"/>
  <c r="AA223" i="1" s="1"/>
  <c r="Z215" i="1"/>
  <c r="AA215" i="1" s="1"/>
  <c r="Z207" i="1"/>
  <c r="AA207" i="1" s="1"/>
  <c r="Z199" i="1"/>
  <c r="AA199" i="1" s="1"/>
  <c r="Z191" i="1"/>
  <c r="AA191" i="1" s="1"/>
  <c r="Z183" i="1"/>
  <c r="AA183" i="1" s="1"/>
  <c r="Z175" i="1"/>
  <c r="AA175" i="1" s="1"/>
  <c r="Z167" i="1"/>
  <c r="AA167" i="1" s="1"/>
  <c r="Z159" i="1"/>
  <c r="AA159" i="1" s="1"/>
  <c r="Z151" i="1"/>
  <c r="AA151" i="1" s="1"/>
  <c r="Z143" i="1"/>
  <c r="AA143" i="1" s="1"/>
  <c r="Z135" i="1"/>
  <c r="AA135" i="1" s="1"/>
  <c r="Z127" i="1"/>
  <c r="AA127" i="1" s="1"/>
  <c r="Z119" i="1"/>
  <c r="AA119" i="1" s="1"/>
  <c r="Z112" i="1"/>
  <c r="AA112" i="1" s="1"/>
  <c r="Z104" i="1"/>
  <c r="AA104" i="1" s="1"/>
  <c r="Z96" i="1"/>
  <c r="AA96" i="1" s="1"/>
  <c r="Z88" i="1"/>
  <c r="AA88" i="1" s="1"/>
  <c r="Z80" i="1"/>
  <c r="AA80" i="1" s="1"/>
  <c r="Z72" i="1"/>
  <c r="AA72" i="1" s="1"/>
  <c r="Z64" i="1"/>
  <c r="AA64" i="1" s="1"/>
  <c r="Z56" i="1"/>
  <c r="AA56" i="1" s="1"/>
  <c r="Z48" i="1"/>
  <c r="AA48" i="1" s="1"/>
  <c r="Z40" i="1"/>
  <c r="AA40" i="1" s="1"/>
  <c r="Z32" i="1"/>
  <c r="AA32" i="1" s="1"/>
  <c r="Z24" i="1"/>
  <c r="AA24" i="1" s="1"/>
  <c r="Z16" i="1"/>
  <c r="AA16" i="1" s="1"/>
  <c r="Z8" i="1"/>
  <c r="AA8" i="1" s="1"/>
  <c r="Z1061" i="1"/>
  <c r="AA1061" i="1" s="1"/>
  <c r="Z1053" i="1"/>
  <c r="AA1053" i="1" s="1"/>
  <c r="Z1045" i="1"/>
  <c r="AA1045" i="1" s="1"/>
  <c r="Z1037" i="1"/>
  <c r="AA1037" i="1" s="1"/>
  <c r="Z1029" i="1"/>
  <c r="AA1029" i="1" s="1"/>
  <c r="Z1021" i="1"/>
  <c r="AA1021" i="1" s="1"/>
  <c r="Z1013" i="1"/>
  <c r="AA1013" i="1" s="1"/>
  <c r="Z1005" i="1"/>
  <c r="AA1005" i="1" s="1"/>
  <c r="Z997" i="1"/>
  <c r="AA997" i="1" s="1"/>
  <c r="Z989" i="1"/>
  <c r="AA989" i="1" s="1"/>
  <c r="Z981" i="1"/>
  <c r="AA981" i="1" s="1"/>
  <c r="Z973" i="1"/>
  <c r="AA973" i="1" s="1"/>
  <c r="Z965" i="1"/>
  <c r="AA965" i="1" s="1"/>
  <c r="Z957" i="1"/>
  <c r="AA957" i="1" s="1"/>
  <c r="Z949" i="1"/>
  <c r="AA949" i="1" s="1"/>
  <c r="Z941" i="1"/>
  <c r="AA941" i="1" s="1"/>
  <c r="Z933" i="1"/>
  <c r="AA933" i="1" s="1"/>
  <c r="Z925" i="1"/>
  <c r="AA925" i="1" s="1"/>
  <c r="Z917" i="1"/>
  <c r="AA917" i="1" s="1"/>
  <c r="Z909" i="1"/>
  <c r="AA909" i="1" s="1"/>
  <c r="Z901" i="1"/>
  <c r="AA901" i="1" s="1"/>
  <c r="Z893" i="1"/>
  <c r="AA893" i="1" s="1"/>
  <c r="Z885" i="1"/>
  <c r="AA885" i="1" s="1"/>
  <c r="Z877" i="1"/>
  <c r="AA877" i="1" s="1"/>
  <c r="Z869" i="1"/>
  <c r="AA869" i="1" s="1"/>
  <c r="Z861" i="1"/>
  <c r="AA861" i="1" s="1"/>
  <c r="Z853" i="1"/>
  <c r="AA853" i="1" s="1"/>
  <c r="Z845" i="1"/>
  <c r="AA845" i="1" s="1"/>
  <c r="Z837" i="1"/>
  <c r="AA837" i="1" s="1"/>
  <c r="Z829" i="1"/>
  <c r="AA829" i="1" s="1"/>
  <c r="Z821" i="1"/>
  <c r="AA821" i="1" s="1"/>
  <c r="Z813" i="1"/>
  <c r="AA813" i="1" s="1"/>
  <c r="Z805" i="1"/>
  <c r="AA805" i="1" s="1"/>
  <c r="Z798" i="1"/>
  <c r="AA798" i="1" s="1"/>
  <c r="Z790" i="1"/>
  <c r="AA790" i="1" s="1"/>
  <c r="Z782" i="1"/>
  <c r="AA782" i="1" s="1"/>
  <c r="Z774" i="1"/>
  <c r="AA774" i="1" s="1"/>
  <c r="Z766" i="1"/>
  <c r="AA766" i="1" s="1"/>
  <c r="Z758" i="1"/>
  <c r="AA758" i="1" s="1"/>
  <c r="Z750" i="1"/>
  <c r="AA750" i="1" s="1"/>
  <c r="Z742" i="1"/>
  <c r="AA742" i="1" s="1"/>
  <c r="Z734" i="1"/>
  <c r="AA734" i="1" s="1"/>
  <c r="Z726" i="1"/>
  <c r="AA726" i="1" s="1"/>
  <c r="Z718" i="1"/>
  <c r="AA718" i="1" s="1"/>
  <c r="Z710" i="1"/>
  <c r="AA710" i="1" s="1"/>
  <c r="Z702" i="1"/>
  <c r="AA702" i="1" s="1"/>
  <c r="Z694" i="1"/>
  <c r="AA694" i="1" s="1"/>
  <c r="Z686" i="1"/>
  <c r="AA686" i="1" s="1"/>
  <c r="Z678" i="1"/>
  <c r="AA678" i="1" s="1"/>
  <c r="Z670" i="1"/>
  <c r="AA670" i="1" s="1"/>
  <c r="Z662" i="1"/>
  <c r="AA662" i="1" s="1"/>
  <c r="Z654" i="1"/>
  <c r="AA654" i="1" s="1"/>
  <c r="Z646" i="1"/>
  <c r="AA646" i="1" s="1"/>
  <c r="Z638" i="1"/>
  <c r="AA638" i="1" s="1"/>
  <c r="Z630" i="1"/>
  <c r="AA630" i="1" s="1"/>
  <c r="Z622" i="1"/>
  <c r="AA622" i="1" s="1"/>
  <c r="Z614" i="1"/>
  <c r="AA614" i="1" s="1"/>
  <c r="Z606" i="1"/>
  <c r="AA606" i="1" s="1"/>
  <c r="Z598" i="1"/>
  <c r="AA598" i="1" s="1"/>
  <c r="Z590" i="1"/>
  <c r="AA590" i="1" s="1"/>
  <c r="Z582" i="1"/>
  <c r="AA582" i="1" s="1"/>
  <c r="Z574" i="1"/>
  <c r="AA574" i="1" s="1"/>
  <c r="Z566" i="1"/>
  <c r="AA566" i="1" s="1"/>
  <c r="Z558" i="1"/>
  <c r="AA558" i="1" s="1"/>
  <c r="Z550" i="1"/>
  <c r="AA550" i="1" s="1"/>
  <c r="Z542" i="1"/>
  <c r="AA542" i="1" s="1"/>
  <c r="Z534" i="1"/>
  <c r="AA534" i="1" s="1"/>
  <c r="Z526" i="1"/>
  <c r="AA526" i="1" s="1"/>
  <c r="Z518" i="1"/>
  <c r="AA518" i="1" s="1"/>
  <c r="Z510" i="1"/>
  <c r="AA510" i="1" s="1"/>
  <c r="Z502" i="1"/>
  <c r="AA502" i="1" s="1"/>
  <c r="Z494" i="1"/>
  <c r="AA494" i="1" s="1"/>
  <c r="Z486" i="1"/>
  <c r="AA486" i="1" s="1"/>
  <c r="Z478" i="1"/>
  <c r="AA478" i="1" s="1"/>
  <c r="Z470" i="1"/>
  <c r="AA470" i="1" s="1"/>
  <c r="Z462" i="1"/>
  <c r="AA462" i="1" s="1"/>
  <c r="Z454" i="1"/>
  <c r="AA454" i="1" s="1"/>
  <c r="Z446" i="1"/>
  <c r="AA446" i="1" s="1"/>
  <c r="Z438" i="1"/>
  <c r="AA438" i="1" s="1"/>
  <c r="Z430" i="1"/>
  <c r="AA430" i="1" s="1"/>
  <c r="Z422" i="1"/>
  <c r="AA422" i="1" s="1"/>
  <c r="Z414" i="1"/>
  <c r="AA414" i="1" s="1"/>
  <c r="Z406" i="1"/>
  <c r="AA406" i="1" s="1"/>
  <c r="Z398" i="1"/>
  <c r="AA398" i="1" s="1"/>
  <c r="Z390" i="1"/>
  <c r="AA390" i="1" s="1"/>
  <c r="Z382" i="1"/>
  <c r="AA382" i="1" s="1"/>
  <c r="Z374" i="1"/>
  <c r="AA374" i="1" s="1"/>
  <c r="Z366" i="1"/>
  <c r="AA366" i="1" s="1"/>
  <c r="Z358" i="1"/>
  <c r="AA358" i="1" s="1"/>
  <c r="Z350" i="1"/>
  <c r="AA350" i="1" s="1"/>
  <c r="Z342" i="1"/>
  <c r="AA342" i="1" s="1"/>
  <c r="Z334" i="1"/>
  <c r="AA334" i="1" s="1"/>
  <c r="Z326" i="1"/>
  <c r="AA326" i="1" s="1"/>
  <c r="Z318" i="1"/>
  <c r="AA318" i="1" s="1"/>
  <c r="Z310" i="1"/>
  <c r="AA310" i="1" s="1"/>
  <c r="Z302" i="1"/>
  <c r="AA302" i="1" s="1"/>
  <c r="Z294" i="1"/>
  <c r="AA294" i="1" s="1"/>
  <c r="Z286" i="1"/>
  <c r="AA286" i="1" s="1"/>
  <c r="Z278" i="1"/>
  <c r="AA278" i="1" s="1"/>
  <c r="Z270" i="1"/>
  <c r="AA270" i="1" s="1"/>
  <c r="Z262" i="1"/>
  <c r="AA262" i="1" s="1"/>
  <c r="Z254" i="1"/>
  <c r="AA254" i="1" s="1"/>
  <c r="Z246" i="1"/>
  <c r="AA246" i="1" s="1"/>
  <c r="Z238" i="1"/>
  <c r="AA238" i="1" s="1"/>
  <c r="Z230" i="1"/>
  <c r="AA230" i="1" s="1"/>
  <c r="Z222" i="1"/>
  <c r="AA222" i="1" s="1"/>
  <c r="Z214" i="1"/>
  <c r="AA214" i="1" s="1"/>
  <c r="Z206" i="1"/>
  <c r="AA206" i="1" s="1"/>
  <c r="Z198" i="1"/>
  <c r="AA198" i="1" s="1"/>
  <c r="Z190" i="1"/>
  <c r="AA190" i="1" s="1"/>
  <c r="Z182" i="1"/>
  <c r="AA182" i="1" s="1"/>
  <c r="Z174" i="1"/>
  <c r="AA174" i="1" s="1"/>
  <c r="Z166" i="1"/>
  <c r="AA166" i="1" s="1"/>
  <c r="Z158" i="1"/>
  <c r="AA158" i="1" s="1"/>
  <c r="Z150" i="1"/>
  <c r="AA150" i="1" s="1"/>
  <c r="Z142" i="1"/>
  <c r="AA142" i="1" s="1"/>
  <c r="Z134" i="1"/>
  <c r="AA134" i="1" s="1"/>
  <c r="Z126" i="1"/>
  <c r="AA126" i="1" s="1"/>
  <c r="Z118" i="1"/>
  <c r="AA118" i="1" s="1"/>
  <c r="Z111" i="1"/>
  <c r="AA111" i="1" s="1"/>
  <c r="Z103" i="1"/>
  <c r="AA103" i="1" s="1"/>
  <c r="Z95" i="1"/>
  <c r="AA95" i="1" s="1"/>
  <c r="Z87" i="1"/>
  <c r="AA87" i="1" s="1"/>
  <c r="Z79" i="1"/>
  <c r="AA79" i="1" s="1"/>
  <c r="Z71" i="1"/>
  <c r="AA71" i="1" s="1"/>
  <c r="Z63" i="1"/>
  <c r="AA63" i="1" s="1"/>
  <c r="Z55" i="1"/>
  <c r="AA55" i="1" s="1"/>
  <c r="Z47" i="1"/>
  <c r="AA47" i="1" s="1"/>
  <c r="Z31" i="1"/>
  <c r="AA31" i="1" s="1"/>
  <c r="Z23" i="1"/>
  <c r="AA23" i="1" s="1"/>
  <c r="Z15" i="1"/>
  <c r="AA15" i="1" s="1"/>
  <c r="Z7" i="1"/>
  <c r="AA7" i="1" s="1"/>
  <c r="Z605" i="1"/>
  <c r="AA605" i="1" s="1"/>
  <c r="Z589" i="1"/>
  <c r="AA589" i="1" s="1"/>
  <c r="Z581" i="1"/>
  <c r="AA581" i="1" s="1"/>
  <c r="Z573" i="1"/>
  <c r="AA573" i="1" s="1"/>
  <c r="Z541" i="1"/>
  <c r="AA541" i="1" s="1"/>
  <c r="Z525" i="1"/>
  <c r="AA525" i="1" s="1"/>
  <c r="Z517" i="1"/>
  <c r="AA517" i="1" s="1"/>
  <c r="Z509" i="1"/>
  <c r="AA509" i="1" s="1"/>
  <c r="Z501" i="1"/>
  <c r="AA501" i="1" s="1"/>
  <c r="Z493" i="1"/>
  <c r="AA493" i="1" s="1"/>
  <c r="Z485" i="1"/>
  <c r="AA485" i="1" s="1"/>
  <c r="Z477" i="1"/>
  <c r="AA477" i="1" s="1"/>
  <c r="Z469" i="1"/>
  <c r="AA469" i="1" s="1"/>
  <c r="Z461" i="1"/>
  <c r="AA461" i="1" s="1"/>
  <c r="Z453" i="1"/>
  <c r="AA453" i="1" s="1"/>
  <c r="Z445" i="1"/>
  <c r="AA445" i="1" s="1"/>
  <c r="Z437" i="1"/>
  <c r="AA437" i="1" s="1"/>
  <c r="Z405" i="1"/>
  <c r="AA405" i="1" s="1"/>
  <c r="Z397" i="1"/>
  <c r="AA397" i="1" s="1"/>
  <c r="Z389" i="1"/>
  <c r="AA389" i="1" s="1"/>
  <c r="Z373" i="1"/>
  <c r="AA373" i="1" s="1"/>
  <c r="Z341" i="1"/>
  <c r="AA341" i="1" s="1"/>
  <c r="Z333" i="1"/>
  <c r="AA333" i="1" s="1"/>
  <c r="Z325" i="1"/>
  <c r="AA325" i="1" s="1"/>
  <c r="Z317" i="1"/>
  <c r="AA317" i="1" s="1"/>
  <c r="Z309" i="1"/>
  <c r="AA309" i="1" s="1"/>
  <c r="Z277" i="1"/>
  <c r="AA277" i="1" s="1"/>
  <c r="Z269" i="1"/>
  <c r="AA269" i="1" s="1"/>
  <c r="Z261" i="1"/>
  <c r="AA261" i="1" s="1"/>
  <c r="Z253" i="1"/>
  <c r="AA253" i="1" s="1"/>
  <c r="Z245" i="1"/>
  <c r="AA245" i="1" s="1"/>
  <c r="Z213" i="1"/>
  <c r="AA213" i="1" s="1"/>
  <c r="Z205" i="1"/>
  <c r="AA205" i="1" s="1"/>
  <c r="Z197" i="1"/>
  <c r="AA197" i="1" s="1"/>
  <c r="Z189" i="1"/>
  <c r="AA189" i="1" s="1"/>
  <c r="Z181" i="1"/>
  <c r="AA181" i="1" s="1"/>
  <c r="Z149" i="1"/>
  <c r="AA149" i="1" s="1"/>
  <c r="Z141" i="1"/>
  <c r="AA141" i="1" s="1"/>
  <c r="Z133" i="1"/>
  <c r="AA133" i="1" s="1"/>
  <c r="Z125" i="1"/>
  <c r="AA125" i="1" s="1"/>
  <c r="Z117" i="1"/>
  <c r="AA117" i="1" s="1"/>
  <c r="Z86" i="1"/>
  <c r="AA86" i="1" s="1"/>
  <c r="Z78" i="1"/>
  <c r="AA78" i="1" s="1"/>
  <c r="Z70" i="1"/>
  <c r="AA70" i="1" s="1"/>
  <c r="Z62" i="1"/>
  <c r="AA62" i="1" s="1"/>
  <c r="Z54" i="1"/>
  <c r="AA54" i="1" s="1"/>
  <c r="Z46" i="1"/>
  <c r="AA46" i="1" s="1"/>
  <c r="Z38" i="1"/>
  <c r="AA38" i="1" s="1"/>
  <c r="Z30" i="1"/>
  <c r="AA30" i="1" s="1"/>
  <c r="Z14" i="1"/>
  <c r="AA14" i="1" s="1"/>
  <c r="Z6" i="1"/>
  <c r="AA6" i="1" s="1"/>
  <c r="Z2" i="1"/>
  <c r="AA2" i="1" s="1"/>
  <c r="Z1067" i="1"/>
  <c r="AA1067" i="1" s="1"/>
  <c r="Z1059" i="1"/>
  <c r="AA1059" i="1" s="1"/>
  <c r="Z1051" i="1"/>
  <c r="AA1051" i="1" s="1"/>
  <c r="Z1043" i="1"/>
  <c r="AA1043" i="1" s="1"/>
  <c r="Z1035" i="1"/>
  <c r="AA1035" i="1" s="1"/>
  <c r="Z1027" i="1"/>
  <c r="AA1027" i="1" s="1"/>
  <c r="Z1019" i="1"/>
  <c r="AA1019" i="1" s="1"/>
  <c r="Z1011" i="1"/>
  <c r="AA1011" i="1" s="1"/>
  <c r="Z1003" i="1"/>
  <c r="AA1003" i="1" s="1"/>
  <c r="Z995" i="1"/>
  <c r="AA995" i="1" s="1"/>
  <c r="Z987" i="1"/>
  <c r="AA987" i="1" s="1"/>
  <c r="Z979" i="1"/>
  <c r="AA979" i="1" s="1"/>
  <c r="Z971" i="1"/>
  <c r="AA971" i="1" s="1"/>
  <c r="Z963" i="1"/>
  <c r="AA963" i="1" s="1"/>
  <c r="Z955" i="1"/>
  <c r="AA955" i="1" s="1"/>
  <c r="Z947" i="1"/>
  <c r="AA947" i="1" s="1"/>
  <c r="Z939" i="1"/>
  <c r="AA939" i="1" s="1"/>
  <c r="Z931" i="1"/>
  <c r="AA931" i="1" s="1"/>
  <c r="Z923" i="1"/>
  <c r="AA923" i="1" s="1"/>
  <c r="Z915" i="1"/>
  <c r="AA915" i="1" s="1"/>
  <c r="Z907" i="1"/>
  <c r="AA907" i="1" s="1"/>
  <c r="Z899" i="1"/>
  <c r="AA899" i="1" s="1"/>
  <c r="Z891" i="1"/>
  <c r="AA891" i="1" s="1"/>
  <c r="Z883" i="1"/>
  <c r="AA883" i="1" s="1"/>
  <c r="Z875" i="1"/>
  <c r="AA875" i="1" s="1"/>
  <c r="Z867" i="1"/>
  <c r="AA867" i="1" s="1"/>
  <c r="Z859" i="1"/>
  <c r="AA859" i="1" s="1"/>
  <c r="Z851" i="1"/>
  <c r="AA851" i="1" s="1"/>
  <c r="Z843" i="1"/>
  <c r="AA843" i="1" s="1"/>
  <c r="Z835" i="1"/>
  <c r="AA835" i="1" s="1"/>
  <c r="Z827" i="1"/>
  <c r="AA827" i="1" s="1"/>
  <c r="Z819" i="1"/>
  <c r="AA819" i="1" s="1"/>
  <c r="Z811" i="1"/>
  <c r="AA811" i="1" s="1"/>
  <c r="Z803" i="1"/>
  <c r="AA803" i="1" s="1"/>
  <c r="Z796" i="1"/>
  <c r="AA796" i="1" s="1"/>
  <c r="Z788" i="1"/>
  <c r="AA788" i="1" s="1"/>
  <c r="Z780" i="1"/>
  <c r="AA780" i="1" s="1"/>
  <c r="Z772" i="1"/>
  <c r="AA772" i="1" s="1"/>
  <c r="Z764" i="1"/>
  <c r="AA764" i="1" s="1"/>
  <c r="Z756" i="1"/>
  <c r="AA756" i="1" s="1"/>
  <c r="Z748" i="1"/>
  <c r="AA748" i="1" s="1"/>
  <c r="Z740" i="1"/>
  <c r="AA740" i="1" s="1"/>
  <c r="Z732" i="1"/>
  <c r="AA732" i="1" s="1"/>
  <c r="Z724" i="1"/>
  <c r="AA724" i="1" s="1"/>
  <c r="Z716" i="1"/>
  <c r="AA716" i="1" s="1"/>
  <c r="Z708" i="1"/>
  <c r="AA708" i="1" s="1"/>
  <c r="Z700" i="1"/>
  <c r="AA700" i="1" s="1"/>
  <c r="Z692" i="1"/>
  <c r="AA692" i="1" s="1"/>
  <c r="Z684" i="1"/>
  <c r="AA684" i="1" s="1"/>
  <c r="Z676" i="1"/>
  <c r="AA676" i="1" s="1"/>
  <c r="Z668" i="1"/>
  <c r="AA668" i="1" s="1"/>
  <c r="Z660" i="1"/>
  <c r="AA660" i="1" s="1"/>
  <c r="Z652" i="1"/>
  <c r="AA652" i="1" s="1"/>
  <c r="Z644" i="1"/>
  <c r="AA644" i="1" s="1"/>
  <c r="Z636" i="1"/>
  <c r="AA636" i="1" s="1"/>
  <c r="Z628" i="1"/>
  <c r="AA628" i="1" s="1"/>
  <c r="Z620" i="1"/>
  <c r="AA620" i="1" s="1"/>
  <c r="Z612" i="1"/>
  <c r="AA612" i="1" s="1"/>
  <c r="Z580" i="1"/>
  <c r="AA580" i="1" s="1"/>
  <c r="Z564" i="1"/>
  <c r="AA564" i="1" s="1"/>
  <c r="Z556" i="1"/>
  <c r="AA556" i="1" s="1"/>
  <c r="Z548" i="1"/>
  <c r="AA548" i="1" s="1"/>
  <c r="Z516" i="1"/>
  <c r="AA516" i="1" s="1"/>
  <c r="Z428" i="1"/>
  <c r="AA428" i="1" s="1"/>
  <c r="Z420" i="1"/>
  <c r="AA420" i="1" s="1"/>
  <c r="Z412" i="1"/>
  <c r="AA412" i="1" s="1"/>
  <c r="Z396" i="1"/>
  <c r="AA396" i="1" s="1"/>
  <c r="Z364" i="1"/>
  <c r="AA364" i="1" s="1"/>
  <c r="Z356" i="1"/>
  <c r="AA356" i="1" s="1"/>
  <c r="Z348" i="1"/>
  <c r="AA348" i="1" s="1"/>
  <c r="Z332" i="1"/>
  <c r="AA332" i="1" s="1"/>
  <c r="Z300" i="1"/>
  <c r="AA300" i="1" s="1"/>
  <c r="Z292" i="1"/>
  <c r="AA292" i="1" s="1"/>
  <c r="Z284" i="1"/>
  <c r="AA284" i="1" s="1"/>
  <c r="Z276" i="1"/>
  <c r="AA276" i="1" s="1"/>
  <c r="Z268" i="1"/>
  <c r="AA268" i="1" s="1"/>
  <c r="Z236" i="1"/>
  <c r="AA236" i="1" s="1"/>
  <c r="Z228" i="1"/>
  <c r="AA228" i="1" s="1"/>
  <c r="Z220" i="1"/>
  <c r="AA220" i="1" s="1"/>
  <c r="Z212" i="1"/>
  <c r="AA212" i="1" s="1"/>
  <c r="Z204" i="1"/>
  <c r="AA204" i="1" s="1"/>
  <c r="Z172" i="1"/>
  <c r="AA172" i="1" s="1"/>
  <c r="Z164" i="1"/>
  <c r="AA164" i="1" s="1"/>
  <c r="Z156" i="1"/>
  <c r="AA156" i="1" s="1"/>
  <c r="Z148" i="1"/>
  <c r="AA148" i="1" s="1"/>
  <c r="Z140" i="1"/>
  <c r="AA140" i="1" s="1"/>
  <c r="Z109" i="1"/>
  <c r="AA109" i="1" s="1"/>
  <c r="Z101" i="1"/>
  <c r="AA101" i="1" s="1"/>
  <c r="Z93" i="1"/>
  <c r="AA93" i="1" s="1"/>
  <c r="Z85" i="1"/>
  <c r="AA85" i="1" s="1"/>
  <c r="Z77" i="1"/>
  <c r="AA77" i="1" s="1"/>
  <c r="Z53" i="1"/>
  <c r="AA53" i="1" s="1"/>
  <c r="Z45" i="1"/>
  <c r="AA45" i="1" s="1"/>
  <c r="Z37" i="1"/>
  <c r="AA37" i="1" s="1"/>
  <c r="Z29" i="1"/>
  <c r="AA29" i="1" s="1"/>
  <c r="Z21" i="1"/>
  <c r="AA21" i="1" s="1"/>
  <c r="Z13" i="1"/>
  <c r="AA13" i="1" s="1"/>
  <c r="Z5" i="1"/>
  <c r="AA5" i="1" s="1"/>
  <c r="Z603" i="1"/>
  <c r="AA603" i="1" s="1"/>
  <c r="Z595" i="1"/>
  <c r="AA595" i="1" s="1"/>
  <c r="Z587" i="1"/>
  <c r="AA587" i="1" s="1"/>
  <c r="Z555" i="1"/>
  <c r="AA555" i="1" s="1"/>
  <c r="Z539" i="1"/>
  <c r="AA539" i="1" s="1"/>
  <c r="Z531" i="1"/>
  <c r="AA531" i="1" s="1"/>
  <c r="Z523" i="1"/>
  <c r="AA523" i="1" s="1"/>
  <c r="Z507" i="1"/>
  <c r="AA507" i="1" s="1"/>
  <c r="Z499" i="1"/>
  <c r="AA499" i="1" s="1"/>
  <c r="Z491" i="1"/>
  <c r="AA491" i="1" s="1"/>
  <c r="Z483" i="1"/>
  <c r="AA483" i="1" s="1"/>
  <c r="Z475" i="1"/>
  <c r="AA475" i="1" s="1"/>
  <c r="Z467" i="1"/>
  <c r="AA467" i="1" s="1"/>
  <c r="Z459" i="1"/>
  <c r="AA459" i="1" s="1"/>
  <c r="Z451" i="1"/>
  <c r="AA451" i="1" s="1"/>
  <c r="Z443" i="1"/>
  <c r="AA443" i="1" s="1"/>
  <c r="Z435" i="1"/>
  <c r="AA435" i="1" s="1"/>
  <c r="Z427" i="1"/>
  <c r="AA427" i="1" s="1"/>
  <c r="Z419" i="1"/>
  <c r="AA419" i="1" s="1"/>
  <c r="Z411" i="1"/>
  <c r="AA411" i="1" s="1"/>
  <c r="Z403" i="1"/>
  <c r="AA403" i="1" s="1"/>
  <c r="Z395" i="1"/>
  <c r="AA395" i="1" s="1"/>
  <c r="Z387" i="1"/>
  <c r="AA387" i="1" s="1"/>
  <c r="Z379" i="1"/>
  <c r="AA379" i="1" s="1"/>
  <c r="Z371" i="1"/>
  <c r="AA371" i="1" s="1"/>
  <c r="Z363" i="1"/>
  <c r="AA363" i="1" s="1"/>
  <c r="Z355" i="1"/>
  <c r="AA355" i="1" s="1"/>
  <c r="Z347" i="1"/>
  <c r="AA347" i="1" s="1"/>
  <c r="Z339" i="1"/>
  <c r="AA339" i="1" s="1"/>
  <c r="Z331" i="1"/>
  <c r="AA331" i="1" s="1"/>
  <c r="Z323" i="1"/>
  <c r="AA323" i="1" s="1"/>
  <c r="Z315" i="1"/>
  <c r="AA315" i="1" s="1"/>
  <c r="Z307" i="1"/>
  <c r="AA307" i="1" s="1"/>
  <c r="Z299" i="1"/>
  <c r="AA299" i="1" s="1"/>
  <c r="Z291" i="1"/>
  <c r="AA291" i="1" s="1"/>
  <c r="Z283" i="1"/>
  <c r="AA283" i="1" s="1"/>
  <c r="Z275" i="1"/>
  <c r="AA275" i="1" s="1"/>
  <c r="Z267" i="1"/>
  <c r="AA267" i="1" s="1"/>
  <c r="Z259" i="1"/>
  <c r="AA259" i="1" s="1"/>
  <c r="Z251" i="1"/>
  <c r="AA251" i="1" s="1"/>
  <c r="Z243" i="1"/>
  <c r="AA243" i="1" s="1"/>
  <c r="Z235" i="1"/>
  <c r="AA235" i="1" s="1"/>
  <c r="Z227" i="1"/>
  <c r="AA227" i="1" s="1"/>
  <c r="Z219" i="1"/>
  <c r="AA219" i="1" s="1"/>
  <c r="Z211" i="1"/>
  <c r="AA211" i="1" s="1"/>
  <c r="Z203" i="1"/>
  <c r="AA203" i="1" s="1"/>
  <c r="Z195" i="1"/>
  <c r="AA195" i="1" s="1"/>
  <c r="Z187" i="1"/>
  <c r="AA187" i="1" s="1"/>
  <c r="Z179" i="1"/>
  <c r="AA179" i="1" s="1"/>
  <c r="Z171" i="1"/>
  <c r="AA171" i="1" s="1"/>
  <c r="Z163" i="1"/>
  <c r="AA163" i="1" s="1"/>
  <c r="Z155" i="1"/>
  <c r="AA155" i="1" s="1"/>
  <c r="Z147" i="1"/>
  <c r="AA147" i="1" s="1"/>
  <c r="Z139" i="1"/>
  <c r="AA139" i="1" s="1"/>
  <c r="Z131" i="1"/>
  <c r="AA131" i="1" s="1"/>
  <c r="Z123" i="1"/>
  <c r="AA123" i="1" s="1"/>
  <c r="Z115" i="1"/>
  <c r="AA115" i="1" s="1"/>
  <c r="Z108" i="1"/>
  <c r="AA108" i="1" s="1"/>
  <c r="Z100" i="1"/>
  <c r="AA100" i="1" s="1"/>
  <c r="Z92" i="1"/>
  <c r="AA92" i="1" s="1"/>
  <c r="Z84" i="1"/>
  <c r="AA84" i="1" s="1"/>
  <c r="Z76" i="1"/>
  <c r="AA76" i="1" s="1"/>
  <c r="Z68" i="1"/>
  <c r="AA68" i="1" s="1"/>
  <c r="Z60" i="1"/>
  <c r="AA60" i="1" s="1"/>
  <c r="Z52" i="1"/>
  <c r="AA52" i="1" s="1"/>
  <c r="Z44" i="1"/>
  <c r="AA44" i="1" s="1"/>
  <c r="Z36" i="1"/>
  <c r="AA36" i="1" s="1"/>
  <c r="Z28" i="1"/>
  <c r="AA28" i="1" s="1"/>
  <c r="Z20" i="1"/>
  <c r="AA20" i="1" s="1"/>
  <c r="Z12" i="1"/>
  <c r="AA12" i="1" s="1"/>
  <c r="Z4" i="1"/>
  <c r="AA4" i="1" s="1"/>
  <c r="Z18" i="1"/>
  <c r="AA18" i="1" s="1"/>
  <c r="Z10" i="1"/>
  <c r="AA10" i="1" s="1"/>
</calcChain>
</file>

<file path=xl/sharedStrings.xml><?xml version="1.0" encoding="utf-8"?>
<sst xmlns="http://schemas.openxmlformats.org/spreadsheetml/2006/main" count="23446" uniqueCount="4514">
  <si>
    <t>Date de Reference</t>
  </si>
  <si>
    <t>Matricule</t>
  </si>
  <si>
    <t>CUID</t>
  </si>
  <si>
    <t>Nom et Prénom</t>
  </si>
  <si>
    <t>Direction</t>
  </si>
  <si>
    <t>Intitulé de Poste</t>
  </si>
  <si>
    <t>N+1</t>
  </si>
  <si>
    <t>N+2</t>
  </si>
  <si>
    <t>Date d'entrée</t>
  </si>
  <si>
    <t xml:space="preserve">Date d'embauche consolidée </t>
  </si>
  <si>
    <t>Grade Actuel</t>
  </si>
  <si>
    <t>Niveau</t>
  </si>
  <si>
    <t>Filière</t>
  </si>
  <si>
    <t>Genre</t>
  </si>
  <si>
    <t>Date de naissance</t>
  </si>
  <si>
    <t>Grade du poste</t>
  </si>
  <si>
    <t>Année</t>
  </si>
  <si>
    <t>Situation familiale</t>
  </si>
  <si>
    <t>Age</t>
  </si>
  <si>
    <t>Age_Cluster</t>
  </si>
  <si>
    <t>Generation</t>
  </si>
  <si>
    <t>1</t>
  </si>
  <si>
    <t>HNNL3944</t>
  </si>
  <si>
    <t>Ahmed BEN SAID</t>
  </si>
  <si>
    <t>DME</t>
  </si>
  <si>
    <t>Directeur Marché Entreprises</t>
  </si>
  <si>
    <t>9</t>
  </si>
  <si>
    <t>KQTJ8714</t>
  </si>
  <si>
    <t>Nabil NJOUI</t>
  </si>
  <si>
    <t>DFI</t>
  </si>
  <si>
    <t>Recouvreur Terrain B2B</t>
  </si>
  <si>
    <t>10</t>
  </si>
  <si>
    <t>TMCQ5073</t>
  </si>
  <si>
    <t>Hajer SMIDA</t>
  </si>
  <si>
    <t>DG</t>
  </si>
  <si>
    <t>Agent Administratif</t>
  </si>
  <si>
    <t>11</t>
  </si>
  <si>
    <t>XGSZ3843</t>
  </si>
  <si>
    <t>Raouf BEN NETICHA</t>
  </si>
  <si>
    <t>DRS</t>
  </si>
  <si>
    <t>Chef de Service Transmission Capillaire</t>
  </si>
  <si>
    <t>12</t>
  </si>
  <si>
    <t>NCSG3838</t>
  </si>
  <si>
    <t>Monia TAJINI</t>
  </si>
  <si>
    <t>DRH</t>
  </si>
  <si>
    <t>Spécialiste Administration RH</t>
  </si>
  <si>
    <t>21</t>
  </si>
  <si>
    <t>QXWG6583</t>
  </si>
  <si>
    <t>Mourad FRIKHA</t>
  </si>
  <si>
    <t>chef de département Intervention Qualité Réseau</t>
  </si>
  <si>
    <t>24</t>
  </si>
  <si>
    <t>FGDQ6264</t>
  </si>
  <si>
    <t>Rim SAADI</t>
  </si>
  <si>
    <t>Chef de département SMC</t>
  </si>
  <si>
    <t>31</t>
  </si>
  <si>
    <t>GMQS8179</t>
  </si>
  <si>
    <t>Selima SANHAJI MEDDEB</t>
  </si>
  <si>
    <t>DPROG</t>
  </si>
  <si>
    <t>Directrice de programme</t>
  </si>
  <si>
    <t>38</t>
  </si>
  <si>
    <t>FQJT1551</t>
  </si>
  <si>
    <t>Ikram MEHREZ Ep BOUZIRI</t>
  </si>
  <si>
    <t>Spécialiste process et reporting</t>
  </si>
  <si>
    <t>40</t>
  </si>
  <si>
    <t>HZCB8378</t>
  </si>
  <si>
    <t>Abdelhamid BEJI</t>
  </si>
  <si>
    <t>Chef de Service encaissement</t>
  </si>
  <si>
    <t>43</t>
  </si>
  <si>
    <t>CGKL2498</t>
  </si>
  <si>
    <t>Mohamed Amine CHLAIFA</t>
  </si>
  <si>
    <t>Chef de Département trésorerie</t>
  </si>
  <si>
    <t>44</t>
  </si>
  <si>
    <t>DVGD3850</t>
  </si>
  <si>
    <t>Ahmed LAJMI</t>
  </si>
  <si>
    <t>Chef de Service contrôle de gestion</t>
  </si>
  <si>
    <t>47</t>
  </si>
  <si>
    <t>FHCG6026</t>
  </si>
  <si>
    <t>Soumaya BOUZGUENDA</t>
  </si>
  <si>
    <t>DSC</t>
  </si>
  <si>
    <t>Chef de département Expérience Client</t>
  </si>
  <si>
    <t>58</t>
  </si>
  <si>
    <t>ZIAT6471</t>
  </si>
  <si>
    <t>Zyed TIRA</t>
  </si>
  <si>
    <t>DSI</t>
  </si>
  <si>
    <t>Directeur Systèmes d'Informations</t>
  </si>
  <si>
    <t>60</t>
  </si>
  <si>
    <t>WWBK7310</t>
  </si>
  <si>
    <t>Nadia BEN LABIEDH</t>
  </si>
  <si>
    <t>DC</t>
  </si>
  <si>
    <t>Spécialiste Administration des ventes directes</t>
  </si>
  <si>
    <t>65</t>
  </si>
  <si>
    <t>KZVV6888</t>
  </si>
  <si>
    <t>Mhamed SALAH</t>
  </si>
  <si>
    <t>Chef de Département Acquisition des Talents et Développement</t>
  </si>
  <si>
    <t>68</t>
  </si>
  <si>
    <t>PKDX1728</t>
  </si>
  <si>
    <t>Taher KAMMOUN</t>
  </si>
  <si>
    <t>Chef de service Exploitation Front Office</t>
  </si>
  <si>
    <t>70</t>
  </si>
  <si>
    <t>DSLP3806</t>
  </si>
  <si>
    <t>Mourad BEN TOUMINE</t>
  </si>
  <si>
    <t>Développeur Point de vente</t>
  </si>
  <si>
    <t>75</t>
  </si>
  <si>
    <t>THPT7520</t>
  </si>
  <si>
    <t>Mohamed KCHOUM</t>
  </si>
  <si>
    <t>Chef de projet Dépoiement Génie Civil</t>
  </si>
  <si>
    <t>77</t>
  </si>
  <si>
    <t>HQWL9508</t>
  </si>
  <si>
    <t>Malek BOUZIRI</t>
  </si>
  <si>
    <t>Administrateur Applicatif</t>
  </si>
  <si>
    <t>79</t>
  </si>
  <si>
    <t>GSKC4125</t>
  </si>
  <si>
    <t>Lamjed HDAYA</t>
  </si>
  <si>
    <t>Chef de Service SI-Entreprise</t>
  </si>
  <si>
    <t>80</t>
  </si>
  <si>
    <t>MKDS1920</t>
  </si>
  <si>
    <t>Sihem AGENGUI</t>
  </si>
  <si>
    <t>Chargé Support Négo</t>
  </si>
  <si>
    <t>83</t>
  </si>
  <si>
    <t>FTVN5654</t>
  </si>
  <si>
    <t>Walid MSEDDI</t>
  </si>
  <si>
    <t>Chef de Département B2B Factory</t>
  </si>
  <si>
    <t>84</t>
  </si>
  <si>
    <t>HQNB7320</t>
  </si>
  <si>
    <t>Wahid BEJAOUI</t>
  </si>
  <si>
    <t>Chef de Département Stratégie et Planification</t>
  </si>
  <si>
    <t>89</t>
  </si>
  <si>
    <t>LHWT3554</t>
  </si>
  <si>
    <t>Fethi MILED</t>
  </si>
  <si>
    <t>Chef de Département contrôle de gestion</t>
  </si>
  <si>
    <t>92</t>
  </si>
  <si>
    <t>FRVG9700</t>
  </si>
  <si>
    <t>Akram ZITOUN</t>
  </si>
  <si>
    <t>Chef de Service déploiement GC</t>
  </si>
  <si>
    <t>97</t>
  </si>
  <si>
    <t>CLXD8483</t>
  </si>
  <si>
    <t>Mohamed Zied BENCHARRADA</t>
  </si>
  <si>
    <t>DAAL</t>
  </si>
  <si>
    <t>Chef de Service Traveaux sites administratifs et techniques</t>
  </si>
  <si>
    <t>99</t>
  </si>
  <si>
    <t>XMFD0678</t>
  </si>
  <si>
    <t>Riadh HALLEB</t>
  </si>
  <si>
    <t>Chef de Service Distributeurs</t>
  </si>
  <si>
    <t>101</t>
  </si>
  <si>
    <t>KPHC6402</t>
  </si>
  <si>
    <t>Naceur TRABELSI</t>
  </si>
  <si>
    <t>Technicien FO et site stratégique</t>
  </si>
  <si>
    <t>102</t>
  </si>
  <si>
    <t>RGBS3207</t>
  </si>
  <si>
    <t>Sedki BEN ROMDHANE</t>
  </si>
  <si>
    <t>Directeur Réseau d'Accès</t>
  </si>
  <si>
    <t>103</t>
  </si>
  <si>
    <t>ZPWG3539</t>
  </si>
  <si>
    <t>Néjib AISSAOUI</t>
  </si>
  <si>
    <t>Chef de Département Innovation,Services &amp; Contenus</t>
  </si>
  <si>
    <t>104</t>
  </si>
  <si>
    <t>NXKN8039</t>
  </si>
  <si>
    <t>Karim MEDDEB</t>
  </si>
  <si>
    <t>Chef de département comptabilité</t>
  </si>
  <si>
    <t>105</t>
  </si>
  <si>
    <t>VQDF5725</t>
  </si>
  <si>
    <t>Najla CHENOUFI</t>
  </si>
  <si>
    <t>Chef de Service Achat hors prod</t>
  </si>
  <si>
    <t>107</t>
  </si>
  <si>
    <t>FRBM9136</t>
  </si>
  <si>
    <t>Mohamed Akrem BELHADJ</t>
  </si>
  <si>
    <t>Chef de Département Méthodes et Opérations Transverses</t>
  </si>
  <si>
    <t>108</t>
  </si>
  <si>
    <t>FWHT7767</t>
  </si>
  <si>
    <t>Sana MCHIRGUI</t>
  </si>
  <si>
    <t>Chef de Département SC Mobile et ADSL GP</t>
  </si>
  <si>
    <t>109</t>
  </si>
  <si>
    <t>FLVQ9803</t>
  </si>
  <si>
    <t>Aicha MIMOUNI</t>
  </si>
  <si>
    <t>Chef de Service Communication interne  et Marque Employeur</t>
  </si>
  <si>
    <t>112</t>
  </si>
  <si>
    <t>VTJT0114</t>
  </si>
  <si>
    <t>Afef BOUABDI</t>
  </si>
  <si>
    <t>DM</t>
  </si>
  <si>
    <t>Assistante de direction et de Gestion</t>
  </si>
  <si>
    <t>113</t>
  </si>
  <si>
    <t>DMCL7919</t>
  </si>
  <si>
    <t>Moez GARA</t>
  </si>
  <si>
    <t xml:space="preserve">Directeur Commercial </t>
  </si>
  <si>
    <t>114</t>
  </si>
  <si>
    <t>SWVK4731</t>
  </si>
  <si>
    <t>Meriem El Fayha BOUNENNI</t>
  </si>
  <si>
    <t>Chef de Service contrôle qualité</t>
  </si>
  <si>
    <t>116</t>
  </si>
  <si>
    <t>TGSK8025</t>
  </si>
  <si>
    <t>Issam OUECHTATI</t>
  </si>
  <si>
    <t>Superviseur zone externalisation</t>
  </si>
  <si>
    <t>117</t>
  </si>
  <si>
    <t>MHTW0987</t>
  </si>
  <si>
    <t>Hédi BEN YOUSSEF</t>
  </si>
  <si>
    <t>Chargé d'opération Déploiement</t>
  </si>
  <si>
    <t>118</t>
  </si>
  <si>
    <t>RHGB2643</t>
  </si>
  <si>
    <t>Abdelmonem KALLEL</t>
  </si>
  <si>
    <t>119</t>
  </si>
  <si>
    <t>ZQCN3065</t>
  </si>
  <si>
    <t>Nesrine ABDLEMLAK</t>
  </si>
  <si>
    <t>Chef de Département  My Orange VAS &amp; Terminaux</t>
  </si>
  <si>
    <t>120</t>
  </si>
  <si>
    <t>SQDZ5937</t>
  </si>
  <si>
    <t>Maher SAIDI</t>
  </si>
  <si>
    <t>Chef de Service Maintenance Infrastructure Réseau</t>
  </si>
  <si>
    <t>132</t>
  </si>
  <si>
    <t>XXLV5923</t>
  </si>
  <si>
    <t>Khaled LAABIDI</t>
  </si>
  <si>
    <t>Expert négociation réseau</t>
  </si>
  <si>
    <t>133</t>
  </si>
  <si>
    <t>DXWZ7679</t>
  </si>
  <si>
    <t>Ahmed LAABIDI</t>
  </si>
  <si>
    <t>Chef de Service Administration des Ventes</t>
  </si>
  <si>
    <t>139</t>
  </si>
  <si>
    <t>SLCK5020</t>
  </si>
  <si>
    <t>Houcine ESSAFI</t>
  </si>
  <si>
    <t>Responsable Pôle Admin RH et Compensation &amp; Benefits</t>
  </si>
  <si>
    <t>140</t>
  </si>
  <si>
    <t>BCWC2725</t>
  </si>
  <si>
    <t>Raja KOUBAA</t>
  </si>
  <si>
    <t>DRE</t>
  </si>
  <si>
    <t>Responsable de suivi déploiement ODC</t>
  </si>
  <si>
    <t>142</t>
  </si>
  <si>
    <t>BMTB5019</t>
  </si>
  <si>
    <t>Slim LAAMAR</t>
  </si>
  <si>
    <t>Chargé d'opération déploiement Génie Civil</t>
  </si>
  <si>
    <t>143</t>
  </si>
  <si>
    <t>JDNR3714</t>
  </si>
  <si>
    <t>Mohamed BEN GHZAIL</t>
  </si>
  <si>
    <t>Chef de Service Merchandising</t>
  </si>
  <si>
    <t>150</t>
  </si>
  <si>
    <t>ZXVT6278</t>
  </si>
  <si>
    <t>Aboulhassen MANAI</t>
  </si>
  <si>
    <t>Responsable qualité réseau</t>
  </si>
  <si>
    <t>155</t>
  </si>
  <si>
    <t>BHBZ1034</t>
  </si>
  <si>
    <t>Sonia KRICHENE</t>
  </si>
  <si>
    <t>Assistante PCA &amp; DG</t>
  </si>
  <si>
    <t>157</t>
  </si>
  <si>
    <t>RBMV3133</t>
  </si>
  <si>
    <t>Mehdi DJAIT</t>
  </si>
  <si>
    <t>DRO</t>
  </si>
  <si>
    <t>Chef de Service projets réglementaires et opérateur</t>
  </si>
  <si>
    <t>159</t>
  </si>
  <si>
    <t>TRDX4162</t>
  </si>
  <si>
    <t>Lassaad BEN LABIEDH</t>
  </si>
  <si>
    <t>Responsable Compte Distributeurs</t>
  </si>
  <si>
    <t>161</t>
  </si>
  <si>
    <t>HMSD0352</t>
  </si>
  <si>
    <t>Insaf MSAKNI</t>
  </si>
  <si>
    <t>Responsable Pôle Offres et Produits</t>
  </si>
  <si>
    <t>169</t>
  </si>
  <si>
    <t>DTSV8555</t>
  </si>
  <si>
    <t>Yassine ZNAZEN</t>
  </si>
  <si>
    <t>Chargé(e) fidélisation</t>
  </si>
  <si>
    <t>174</t>
  </si>
  <si>
    <t>DJDX4639</t>
  </si>
  <si>
    <t>Mohamed WASLI</t>
  </si>
  <si>
    <t>Superviseur Externalisation</t>
  </si>
  <si>
    <t>175</t>
  </si>
  <si>
    <t>BTLF0828</t>
  </si>
  <si>
    <t>Mohamed BELLALAH</t>
  </si>
  <si>
    <t>Chef de Service gestion de stock</t>
  </si>
  <si>
    <t>178</t>
  </si>
  <si>
    <t>BZJV3012</t>
  </si>
  <si>
    <t>Boutheina KHANNOUSSI</t>
  </si>
  <si>
    <t>182</t>
  </si>
  <si>
    <t>KMFZ9938</t>
  </si>
  <si>
    <t>Nadia AOUADI</t>
  </si>
  <si>
    <t>Chef de service formation relation client et force de vente</t>
  </si>
  <si>
    <t>186</t>
  </si>
  <si>
    <t>TZCG9253</t>
  </si>
  <si>
    <t>Wahid ALOUI</t>
  </si>
  <si>
    <t>Chef de Service Production de la donnée</t>
  </si>
  <si>
    <t>187</t>
  </si>
  <si>
    <t>WJDH0639</t>
  </si>
  <si>
    <t>Bochra BENNOUR</t>
  </si>
  <si>
    <t>Chef de Département Transport et Coeur Data</t>
  </si>
  <si>
    <t>193</t>
  </si>
  <si>
    <t>FKJF0644</t>
  </si>
  <si>
    <t>Ines ZAIED</t>
  </si>
  <si>
    <t>Spécialiste Encaissement</t>
  </si>
  <si>
    <t>195</t>
  </si>
  <si>
    <t>TWNX1076</t>
  </si>
  <si>
    <t>Saoussen CHANNOUFI</t>
  </si>
  <si>
    <t>Responsable Décaissement</t>
  </si>
  <si>
    <t>199</t>
  </si>
  <si>
    <t>MKVR6563</t>
  </si>
  <si>
    <t>Béchir MENZLI</t>
  </si>
  <si>
    <t>Chef de Département logistique</t>
  </si>
  <si>
    <t>202</t>
  </si>
  <si>
    <t>PCXM0171</t>
  </si>
  <si>
    <t>Mohamed Anis FERIANI</t>
  </si>
  <si>
    <t>Chargé d'opérations BSS</t>
  </si>
  <si>
    <t>204</t>
  </si>
  <si>
    <t>VRSN7733</t>
  </si>
  <si>
    <t>Hayfa NALOUTI</t>
  </si>
  <si>
    <t>Chef de Service Activité Mobile GP</t>
  </si>
  <si>
    <t>205</t>
  </si>
  <si>
    <t>MGQZ8717</t>
  </si>
  <si>
    <t>Abdelaziz Madiouni</t>
  </si>
  <si>
    <t>Responsable OTC &amp; Digital Learning</t>
  </si>
  <si>
    <t>207</t>
  </si>
  <si>
    <t>BMDM7153</t>
  </si>
  <si>
    <t>Manel SMIDA</t>
  </si>
  <si>
    <t>Spécialiste Comptabilité et Immobilisation</t>
  </si>
  <si>
    <t>208</t>
  </si>
  <si>
    <t>MZQK7810</t>
  </si>
  <si>
    <t>Hajer SOLTANI</t>
  </si>
  <si>
    <t>Responsable comptabilité fournisseurs</t>
  </si>
  <si>
    <t>209</t>
  </si>
  <si>
    <t>CZGX0445</t>
  </si>
  <si>
    <t>Insaf TOUMI</t>
  </si>
  <si>
    <t>Assistante de direction</t>
  </si>
  <si>
    <t>212</t>
  </si>
  <si>
    <t>ZFSM4519</t>
  </si>
  <si>
    <t>Rami REGAYA</t>
  </si>
  <si>
    <t>Chef de service vente et fidélisation Zone Centre</t>
  </si>
  <si>
    <t>213</t>
  </si>
  <si>
    <t>SHKN1473</t>
  </si>
  <si>
    <t>Mohamed Rezki GHARBI</t>
  </si>
  <si>
    <t>Responsable Régional</t>
  </si>
  <si>
    <t>220</t>
  </si>
  <si>
    <t>MPML1952</t>
  </si>
  <si>
    <t>Ghazi AYARI</t>
  </si>
  <si>
    <t>ingénieur support B2B</t>
  </si>
  <si>
    <t>222</t>
  </si>
  <si>
    <t>DQHG1492</t>
  </si>
  <si>
    <t>Ramzi BEDOUI</t>
  </si>
  <si>
    <t>Technicien SMC Back Office</t>
  </si>
  <si>
    <t>225</t>
  </si>
  <si>
    <t>LMSH7002</t>
  </si>
  <si>
    <t>Mohamed Yassine HADDAD</t>
  </si>
  <si>
    <t>Chef de projet déploiement Fibre Optique</t>
  </si>
  <si>
    <t>226</t>
  </si>
  <si>
    <t>ZTPM9641</t>
  </si>
  <si>
    <t>Nizar SAADI</t>
  </si>
  <si>
    <t>Technicien Supervision</t>
  </si>
  <si>
    <t>228</t>
  </si>
  <si>
    <t>WXCR8455</t>
  </si>
  <si>
    <t>Faten AYARI</t>
  </si>
  <si>
    <t>Cheffe de service Talent management</t>
  </si>
  <si>
    <t>232</t>
  </si>
  <si>
    <t>GZNT4551</t>
  </si>
  <si>
    <t>Aymen TLATLI</t>
  </si>
  <si>
    <t>Chef de département Digital Factory</t>
  </si>
  <si>
    <t>238</t>
  </si>
  <si>
    <t>RKFB8771</t>
  </si>
  <si>
    <t>Imen KECHROUDI</t>
  </si>
  <si>
    <t xml:space="preserve">Responsable Projets Innovants </t>
  </si>
  <si>
    <t>239</t>
  </si>
  <si>
    <t>FVKF4945</t>
  </si>
  <si>
    <t>Sami KILANI</t>
  </si>
  <si>
    <t>Responsable Fixed Broadband</t>
  </si>
  <si>
    <t>241</t>
  </si>
  <si>
    <t>XPVR2536</t>
  </si>
  <si>
    <t>Karim BEN ELHADJ</t>
  </si>
  <si>
    <t>242</t>
  </si>
  <si>
    <t>VHKD9871</t>
  </si>
  <si>
    <t>Asma BELHADJ Ali</t>
  </si>
  <si>
    <t>Technicien support services et DATA</t>
  </si>
  <si>
    <t>247</t>
  </si>
  <si>
    <t>JBBM8760</t>
  </si>
  <si>
    <t>Imen OUNI ép ARFAOUI</t>
  </si>
  <si>
    <t>Responsable Management des compétences et Développement RH</t>
  </si>
  <si>
    <t>249</t>
  </si>
  <si>
    <t>RMCS0470</t>
  </si>
  <si>
    <t>Amel Hambli</t>
  </si>
  <si>
    <t>Responsable Planification et Pilotage Performance</t>
  </si>
  <si>
    <t>250</t>
  </si>
  <si>
    <t>THTT4527</t>
  </si>
  <si>
    <t>Raouf RABBOUCH</t>
  </si>
  <si>
    <t xml:space="preserve">Responsable Services Managés </t>
  </si>
  <si>
    <t>251</t>
  </si>
  <si>
    <t>ZHNN1026</t>
  </si>
  <si>
    <t>Rochdi Harzallah</t>
  </si>
  <si>
    <t>Chef de Service recouvrement terrain</t>
  </si>
  <si>
    <t>252</t>
  </si>
  <si>
    <t>BDGB3070</t>
  </si>
  <si>
    <t>Olfa NOUISSER</t>
  </si>
  <si>
    <t>Chef de Département achat</t>
  </si>
  <si>
    <t>259</t>
  </si>
  <si>
    <t>PZXT9710</t>
  </si>
  <si>
    <t>Mahdi JOULAK</t>
  </si>
  <si>
    <t>Technicien Support Informatique</t>
  </si>
  <si>
    <t>260</t>
  </si>
  <si>
    <t>HVPG7299</t>
  </si>
  <si>
    <t>Bahaeddine HAMDANE</t>
  </si>
  <si>
    <t>Chef de Service SMC Qos</t>
  </si>
  <si>
    <t>262</t>
  </si>
  <si>
    <t>CHND9434</t>
  </si>
  <si>
    <t>Aymen BEN GHARBIA</t>
  </si>
  <si>
    <t>Chef de Service VAS</t>
  </si>
  <si>
    <t>263</t>
  </si>
  <si>
    <t>JPKT3945</t>
  </si>
  <si>
    <t>Nawfel FITOUHI</t>
  </si>
  <si>
    <t>Chef de Département Support IN/VAS</t>
  </si>
  <si>
    <t>269</t>
  </si>
  <si>
    <t>LXDL4616</t>
  </si>
  <si>
    <t>Amine BEN ROMDHANE</t>
  </si>
  <si>
    <t>Chef de Service déploiement  Réseau commercial et travaux Sp</t>
  </si>
  <si>
    <t>270</t>
  </si>
  <si>
    <t>VDHJ3853</t>
  </si>
  <si>
    <t>Sinda REBAI</t>
  </si>
  <si>
    <t>274</t>
  </si>
  <si>
    <t>MMQP8725</t>
  </si>
  <si>
    <t>Chawki HALOUANI</t>
  </si>
  <si>
    <t>Chef de Service Fraude</t>
  </si>
  <si>
    <t>277</t>
  </si>
  <si>
    <t>DPZQ1299</t>
  </si>
  <si>
    <t>Karim GHARBI</t>
  </si>
  <si>
    <t>Responsable déploiement de programme</t>
  </si>
  <si>
    <t>279</t>
  </si>
  <si>
    <t>LGCM6464</t>
  </si>
  <si>
    <t>Hazar BEN SMIDA</t>
  </si>
  <si>
    <t>280</t>
  </si>
  <si>
    <t>RVQZ1513</t>
  </si>
  <si>
    <t>Mohamed Amine HAFSAOUI</t>
  </si>
  <si>
    <t>Ingénieur Support RAN</t>
  </si>
  <si>
    <t>281</t>
  </si>
  <si>
    <t>GSMZ6789</t>
  </si>
  <si>
    <t>Hachem HTIRA</t>
  </si>
  <si>
    <t>Chargé d’opération déploiement télécom</t>
  </si>
  <si>
    <t>283</t>
  </si>
  <si>
    <t>XCBR5767</t>
  </si>
  <si>
    <t>Mohamed Oussama BEN HAMIDA</t>
  </si>
  <si>
    <t>Chef de Service Expérience Client et Relations Front</t>
  </si>
  <si>
    <t>284</t>
  </si>
  <si>
    <t>LFGC6969</t>
  </si>
  <si>
    <t>Wided HAMMAMI EP BELKHIR</t>
  </si>
  <si>
    <t>Spécialiste décaissement</t>
  </si>
  <si>
    <t>285</t>
  </si>
  <si>
    <t>PXQX8013</t>
  </si>
  <si>
    <t>Hajer MAHJOUB TROJETT</t>
  </si>
  <si>
    <t xml:space="preserve">Chef de Département Marketing B2B </t>
  </si>
  <si>
    <t>286</t>
  </si>
  <si>
    <t>FNVJ2543</t>
  </si>
  <si>
    <t>Souilhi MASSAOUD</t>
  </si>
  <si>
    <t>Magasinier</t>
  </si>
  <si>
    <t>288</t>
  </si>
  <si>
    <t>GJDP1966</t>
  </si>
  <si>
    <t>Soumaya GHADDAB</t>
  </si>
  <si>
    <t>Chef de Département Business Program</t>
  </si>
  <si>
    <t>292</t>
  </si>
  <si>
    <t>GKLW8728</t>
  </si>
  <si>
    <t>Myriam HAMZAOUI</t>
  </si>
  <si>
    <t>Coordinateur roaming</t>
  </si>
  <si>
    <t>294</t>
  </si>
  <si>
    <t>GTFS8548</t>
  </si>
  <si>
    <t>Safa BEN NACEF</t>
  </si>
  <si>
    <t>Chef de produit VAS Content</t>
  </si>
  <si>
    <t>295</t>
  </si>
  <si>
    <t>ZQVG4505</t>
  </si>
  <si>
    <t>Chiraz BEN MARZOUK</t>
  </si>
  <si>
    <t>Chargé(e) Commercial</t>
  </si>
  <si>
    <t>296</t>
  </si>
  <si>
    <t>VJKM2842</t>
  </si>
  <si>
    <t>Manel BOUBAKRI</t>
  </si>
  <si>
    <t>298</t>
  </si>
  <si>
    <t>SCPR7179</t>
  </si>
  <si>
    <t>Amer HAMMAMI</t>
  </si>
  <si>
    <t>Technicien Pilotage Plaintes Clients</t>
  </si>
  <si>
    <t>303</t>
  </si>
  <si>
    <t>XKXN6265</t>
  </si>
  <si>
    <t>AYMEN GHODHBANE</t>
  </si>
  <si>
    <t>Chargé(e) Merchandising</t>
  </si>
  <si>
    <t>305</t>
  </si>
  <si>
    <t>ZKVQ3508</t>
  </si>
  <si>
    <t>Wissem BOUBAKER</t>
  </si>
  <si>
    <t>Technicien Intervention Multiservices</t>
  </si>
  <si>
    <t>309</t>
  </si>
  <si>
    <t>GSPS9927</t>
  </si>
  <si>
    <t>Marwen KAMERGI</t>
  </si>
  <si>
    <t>Chef de Service Sécurité Electronique</t>
  </si>
  <si>
    <t>Ali SAKKA</t>
  </si>
  <si>
    <t>319</t>
  </si>
  <si>
    <t>BXBJ4016</t>
  </si>
  <si>
    <t>Hichem MAROUANE</t>
  </si>
  <si>
    <t>Spécialiste Approvisionnement</t>
  </si>
  <si>
    <t>320</t>
  </si>
  <si>
    <t>TGGW3311</t>
  </si>
  <si>
    <t>Yosr azouz</t>
  </si>
  <si>
    <t>Analyste wholesale international</t>
  </si>
  <si>
    <t>322</t>
  </si>
  <si>
    <t>RKDW9700</t>
  </si>
  <si>
    <t>Belhassen SGHAIER</t>
  </si>
  <si>
    <t>Médiateur Numérique</t>
  </si>
  <si>
    <t>323</t>
  </si>
  <si>
    <t>PMFQ3037</t>
  </si>
  <si>
    <t>Walid CHAIRAT</t>
  </si>
  <si>
    <t>Chef de Service Planification et Pilotage de la Pr</t>
  </si>
  <si>
    <t>326</t>
  </si>
  <si>
    <t>KDPM2966</t>
  </si>
  <si>
    <t>Ahlem ZAYATI</t>
  </si>
  <si>
    <t>Spécialiste GTM</t>
  </si>
  <si>
    <t>327</t>
  </si>
  <si>
    <t>MCGK1499</t>
  </si>
  <si>
    <t>Mohamed Zine El Abidine BEN SAID</t>
  </si>
  <si>
    <t xml:space="preserve">Responsable Performance Commerciale </t>
  </si>
  <si>
    <t>331</t>
  </si>
  <si>
    <t>KDKL0027</t>
  </si>
  <si>
    <t>Mariem GAMOUDI</t>
  </si>
  <si>
    <t>Chargé(e) de la plateforme logistique B2B</t>
  </si>
  <si>
    <t>333</t>
  </si>
  <si>
    <t>PMNH6531</t>
  </si>
  <si>
    <t>Rim DAOUD</t>
  </si>
  <si>
    <t>Chargé Client Care</t>
  </si>
  <si>
    <t>336</t>
  </si>
  <si>
    <t>PBRS7979</t>
  </si>
  <si>
    <t>Chiraz Hajji</t>
  </si>
  <si>
    <t>Analyste process et amélioration continue</t>
  </si>
  <si>
    <t>338</t>
  </si>
  <si>
    <t>WSCQ2978</t>
  </si>
  <si>
    <t>Marouene AMDOUNI ROMDHANI</t>
  </si>
  <si>
    <t>340</t>
  </si>
  <si>
    <t>TLNT1658</t>
  </si>
  <si>
    <t>Mariem TRIKI</t>
  </si>
  <si>
    <t>Coordinateur Program</t>
  </si>
  <si>
    <t>341</t>
  </si>
  <si>
    <t>RRRH4122</t>
  </si>
  <si>
    <t>Rihab MECHIRGUI</t>
  </si>
  <si>
    <t>Chargé client BO Privilège Mobile B2B</t>
  </si>
  <si>
    <t>344</t>
  </si>
  <si>
    <t>RMPM6338</t>
  </si>
  <si>
    <t>Hanene BEN YAHIA</t>
  </si>
  <si>
    <t>Chargé(e) activation et delivery</t>
  </si>
  <si>
    <t>346</t>
  </si>
  <si>
    <t>ZFCD8002</t>
  </si>
  <si>
    <t>Amira JOUINI</t>
  </si>
  <si>
    <t xml:space="preserve">Analyste réglementation économique </t>
  </si>
  <si>
    <t>348</t>
  </si>
  <si>
    <t>LLFJ2661</t>
  </si>
  <si>
    <t>Aymen SLAMA</t>
  </si>
  <si>
    <t>Responsable Support Premiun (RSP)</t>
  </si>
  <si>
    <t>353</t>
  </si>
  <si>
    <t>QWBX8140</t>
  </si>
  <si>
    <t>Rym TALEB</t>
  </si>
  <si>
    <t>Responsable référentiel offres et services</t>
  </si>
  <si>
    <t>355</t>
  </si>
  <si>
    <t>VHRQ8179</t>
  </si>
  <si>
    <t>Afifa Hadj Taieb</t>
  </si>
  <si>
    <t>Chargé Client BO Mobile GP</t>
  </si>
  <si>
    <t>363</t>
  </si>
  <si>
    <t>DBXJ6499</t>
  </si>
  <si>
    <t>Aida AMAMI</t>
  </si>
  <si>
    <t>Responsable Analyse Roaming</t>
  </si>
  <si>
    <t>364</t>
  </si>
  <si>
    <t>SGSF5967</t>
  </si>
  <si>
    <t>Tarek GHANJATI</t>
  </si>
  <si>
    <t>366</t>
  </si>
  <si>
    <t>TNVD2633</t>
  </si>
  <si>
    <t>Chifa BEN SAID</t>
  </si>
  <si>
    <t>DJ</t>
  </si>
  <si>
    <t>Chargé(e) interception judiciaire</t>
  </si>
  <si>
    <t>369</t>
  </si>
  <si>
    <t>CGMW6871</t>
  </si>
  <si>
    <t>Thouraya JOUINI</t>
  </si>
  <si>
    <t>Spécialiste monitoring des projets transverses</t>
  </si>
  <si>
    <t>370</t>
  </si>
  <si>
    <t>NXKF9900</t>
  </si>
  <si>
    <t>Imene AKREMI ep AKKARI</t>
  </si>
  <si>
    <t>Responsable environnement et moyen généraux</t>
  </si>
  <si>
    <t>371</t>
  </si>
  <si>
    <t>JGXL1413</t>
  </si>
  <si>
    <t>Mahmoud KABANI</t>
  </si>
  <si>
    <t>Responsable reverse</t>
  </si>
  <si>
    <t>372</t>
  </si>
  <si>
    <t>JFWW1555</t>
  </si>
  <si>
    <t>Belhassen GHALMI</t>
  </si>
  <si>
    <t>Responsable Fonds social</t>
  </si>
  <si>
    <t>373</t>
  </si>
  <si>
    <t>LVSC2048</t>
  </si>
  <si>
    <t>Ines MAHOU EP ABBASSI</t>
  </si>
  <si>
    <t>Analyste Qualité Relation Client</t>
  </si>
  <si>
    <t>374</t>
  </si>
  <si>
    <t>QMHC7310</t>
  </si>
  <si>
    <t>Slim MAHRESSI</t>
  </si>
  <si>
    <t>Chargé d'affaires DATA et ICT</t>
  </si>
  <si>
    <t>375</t>
  </si>
  <si>
    <t>DSKW1067</t>
  </si>
  <si>
    <t>Amel BEN RHOUMA</t>
  </si>
  <si>
    <t>Chargé(e) My Orange &amp; VAS Core</t>
  </si>
  <si>
    <t>376</t>
  </si>
  <si>
    <t>CFQF2325</t>
  </si>
  <si>
    <t>Amine HAFHOUF</t>
  </si>
  <si>
    <t xml:space="preserve">Technicien support canaux de vente </t>
  </si>
  <si>
    <t>377</t>
  </si>
  <si>
    <t>KDSZ6016</t>
  </si>
  <si>
    <t>Aymen BEN THAYER</t>
  </si>
  <si>
    <t>Chef de Service FO GP</t>
  </si>
  <si>
    <t>378</t>
  </si>
  <si>
    <t>VHHG9289</t>
  </si>
  <si>
    <t>Khaled CHAHED</t>
  </si>
  <si>
    <t>Formateur relation client et force de vente</t>
  </si>
  <si>
    <t>381</t>
  </si>
  <si>
    <t>HNPT9403</t>
  </si>
  <si>
    <t>Ahmed DEHBAL</t>
  </si>
  <si>
    <t>Chargé D'affaire VIP</t>
  </si>
  <si>
    <t>382</t>
  </si>
  <si>
    <t>PRZR9314</t>
  </si>
  <si>
    <t>Wissem KORRI</t>
  </si>
  <si>
    <t>Analyste Performance</t>
  </si>
  <si>
    <t>383</t>
  </si>
  <si>
    <t>DXWQ7559</t>
  </si>
  <si>
    <t>Mohamed BEN MARZOUK</t>
  </si>
  <si>
    <t>386</t>
  </si>
  <si>
    <t>DWPL5456</t>
  </si>
  <si>
    <t>Zied BOULIFA</t>
  </si>
  <si>
    <t>387</t>
  </si>
  <si>
    <t>KFJP0009</t>
  </si>
  <si>
    <t>Firas ABDELMAJID</t>
  </si>
  <si>
    <t>Coordinateur programme de transformation RH</t>
  </si>
  <si>
    <t>388</t>
  </si>
  <si>
    <t>HSHP7824</t>
  </si>
  <si>
    <t>Hamdi MOUELHI</t>
  </si>
  <si>
    <t>Gestionnaire Soutien Négociation et Qualité Fournisseur</t>
  </si>
  <si>
    <t>389</t>
  </si>
  <si>
    <t>KXPF5247</t>
  </si>
  <si>
    <t>SAMI BOUSOKKAYA</t>
  </si>
  <si>
    <t>Technicien SMC Front Office</t>
  </si>
  <si>
    <t>390</t>
  </si>
  <si>
    <t>GDNG0488</t>
  </si>
  <si>
    <t>Manel JOUINI</t>
  </si>
  <si>
    <t>391</t>
  </si>
  <si>
    <t>PJKT8843</t>
  </si>
  <si>
    <t>BESSEM KHEFIFI</t>
  </si>
  <si>
    <t>392</t>
  </si>
  <si>
    <t>MGMB2560</t>
  </si>
  <si>
    <t>EYA KOURAICHI</t>
  </si>
  <si>
    <t>393</t>
  </si>
  <si>
    <t>WCXZ5889</t>
  </si>
  <si>
    <t>Abdelaziz DJILANI</t>
  </si>
  <si>
    <t>Chef de Département Médias &amp; Communication Externe</t>
  </si>
  <si>
    <t>395</t>
  </si>
  <si>
    <t>FQNK1382</t>
  </si>
  <si>
    <t>Hichem RAACH</t>
  </si>
  <si>
    <t>398</t>
  </si>
  <si>
    <t>TMRX9999</t>
  </si>
  <si>
    <t>HAYET GANNOUDI</t>
  </si>
  <si>
    <t>399</t>
  </si>
  <si>
    <t>NFVH5488</t>
  </si>
  <si>
    <t>RANIA  FREDJ</t>
  </si>
  <si>
    <t>401</t>
  </si>
  <si>
    <t>DNGR7311</t>
  </si>
  <si>
    <t>YESSINE BEN GARA</t>
  </si>
  <si>
    <t>402</t>
  </si>
  <si>
    <t>BSJF8903</t>
  </si>
  <si>
    <t>WALID TEBOURSKI</t>
  </si>
  <si>
    <t>405</t>
  </si>
  <si>
    <t>VQTP1711</t>
  </si>
  <si>
    <t>Nejm BEN ABDALLAH</t>
  </si>
  <si>
    <t>Responsable boutique</t>
  </si>
  <si>
    <t>407</t>
  </si>
  <si>
    <t>TKJC9956</t>
  </si>
  <si>
    <t>Jihene JEDIDI</t>
  </si>
  <si>
    <t>408</t>
  </si>
  <si>
    <t>VFMX3594</t>
  </si>
  <si>
    <t>Mohamed MOKNI</t>
  </si>
  <si>
    <t>Spécialiste contrôle conformité des ventes</t>
  </si>
  <si>
    <t>409</t>
  </si>
  <si>
    <t>CZKD5779</t>
  </si>
  <si>
    <t>Ibtihel MBAREK</t>
  </si>
  <si>
    <t>411</t>
  </si>
  <si>
    <t>QDLF1728</t>
  </si>
  <si>
    <t>Mohamed BAHLES</t>
  </si>
  <si>
    <t>412</t>
  </si>
  <si>
    <t>JMLK3579</t>
  </si>
  <si>
    <t>Mohamed Salah LAHWEGE</t>
  </si>
  <si>
    <t>415</t>
  </si>
  <si>
    <t>BCLH1640</t>
  </si>
  <si>
    <t>Mariam CHERIF</t>
  </si>
  <si>
    <t>416</t>
  </si>
  <si>
    <t>RLFH8563</t>
  </si>
  <si>
    <t>Hamdi CHERIF</t>
  </si>
  <si>
    <t>417</t>
  </si>
  <si>
    <t>RPFP4516</t>
  </si>
  <si>
    <t>Faiza FOURATI</t>
  </si>
  <si>
    <t>Chef de Département Vente Réseau Franchises</t>
  </si>
  <si>
    <t>418</t>
  </si>
  <si>
    <t>CHMH5534</t>
  </si>
  <si>
    <t>Faten JAMOUSSI</t>
  </si>
  <si>
    <t>419</t>
  </si>
  <si>
    <t>MTSB3768</t>
  </si>
  <si>
    <t>Feriel HAMMAMI</t>
  </si>
  <si>
    <t>420</t>
  </si>
  <si>
    <t>FPSN1736</t>
  </si>
  <si>
    <t>Rania BOUHLEL</t>
  </si>
  <si>
    <t>421</t>
  </si>
  <si>
    <t>NFFV1477</t>
  </si>
  <si>
    <t>Aymen JEDIDI</t>
  </si>
  <si>
    <t>Technicien intervention Mobile</t>
  </si>
  <si>
    <t>422</t>
  </si>
  <si>
    <t>WMTR9654</t>
  </si>
  <si>
    <t>Najeh Boutheina BEN MOUHAMED</t>
  </si>
  <si>
    <t>424</t>
  </si>
  <si>
    <t>RDPH3282</t>
  </si>
  <si>
    <t>Zouhaier GARA</t>
  </si>
  <si>
    <t>426</t>
  </si>
  <si>
    <t>ZSFC5448</t>
  </si>
  <si>
    <t>Mohamed Amine KASSAB</t>
  </si>
  <si>
    <t xml:space="preserve">Responsable d’équipe activation et delivery mobile </t>
  </si>
  <si>
    <t>428</t>
  </si>
  <si>
    <t>CXRB1828</t>
  </si>
  <si>
    <t>Sofien MEDDEB</t>
  </si>
  <si>
    <t>second responsable Boutique</t>
  </si>
  <si>
    <t>429</t>
  </si>
  <si>
    <t>BHLW2647</t>
  </si>
  <si>
    <t>Salma GROUZ</t>
  </si>
  <si>
    <t>430</t>
  </si>
  <si>
    <t>LDJP4051</t>
  </si>
  <si>
    <t>Jihene CHARGUI</t>
  </si>
  <si>
    <t>Chargée compliance et conformité</t>
  </si>
  <si>
    <t>435</t>
  </si>
  <si>
    <t>DVXL8297</t>
  </si>
  <si>
    <t>Marwen LAZREG</t>
  </si>
  <si>
    <t>438</t>
  </si>
  <si>
    <t>HPMW2602</t>
  </si>
  <si>
    <t>Samia MEJBRI</t>
  </si>
  <si>
    <t>439</t>
  </si>
  <si>
    <t>LCDJ5616</t>
  </si>
  <si>
    <t>Nesrine GHARBI</t>
  </si>
  <si>
    <t>440</t>
  </si>
  <si>
    <t>LGJW0005</t>
  </si>
  <si>
    <t>Rihab FERIANI</t>
  </si>
  <si>
    <t>441</t>
  </si>
  <si>
    <t>TQLG9711</t>
  </si>
  <si>
    <t>Asma AMEUR</t>
  </si>
  <si>
    <t>442</t>
  </si>
  <si>
    <t>LXBM0714</t>
  </si>
  <si>
    <t>Myriam KHOUADJA</t>
  </si>
  <si>
    <t>444</t>
  </si>
  <si>
    <t>CHXP0091</t>
  </si>
  <si>
    <t>Rayhana ZARKOUNA</t>
  </si>
  <si>
    <t>445</t>
  </si>
  <si>
    <t>DTPV3207</t>
  </si>
  <si>
    <t>Dhouha HAMMAMI</t>
  </si>
  <si>
    <t>Chargé(e) activation et delivery mobile</t>
  </si>
  <si>
    <t>447</t>
  </si>
  <si>
    <t>DGRG2998</t>
  </si>
  <si>
    <t>Ali ARRAR</t>
  </si>
  <si>
    <t>448</t>
  </si>
  <si>
    <t>FTMX0640</t>
  </si>
  <si>
    <t>Mohamed CHAIEB</t>
  </si>
  <si>
    <t>449</t>
  </si>
  <si>
    <t>KMTZ9559</t>
  </si>
  <si>
    <t>Noura SALLEM</t>
  </si>
  <si>
    <t>450</t>
  </si>
  <si>
    <t>MKBL7082</t>
  </si>
  <si>
    <t>Ahmed JEBRI</t>
  </si>
  <si>
    <t>451</t>
  </si>
  <si>
    <t>CRGD6353</t>
  </si>
  <si>
    <t>Chourouk BOUGHANMI</t>
  </si>
  <si>
    <t>453</t>
  </si>
  <si>
    <t>FCJX1042</t>
  </si>
  <si>
    <t>Abir MAATAR</t>
  </si>
  <si>
    <t>456</t>
  </si>
  <si>
    <t>PJGM2299</t>
  </si>
  <si>
    <t>Cherif DEMNI</t>
  </si>
  <si>
    <t>Chargé développement commercial</t>
  </si>
  <si>
    <t>458</t>
  </si>
  <si>
    <t>MMGP8345</t>
  </si>
  <si>
    <t>Sarra CHAFFAI</t>
  </si>
  <si>
    <t>Spécialiste Mobilier &amp; Equipement</t>
  </si>
  <si>
    <t>460</t>
  </si>
  <si>
    <t>RWWH8374</t>
  </si>
  <si>
    <t>Bochra DEMNI</t>
  </si>
  <si>
    <t>463</t>
  </si>
  <si>
    <t>FHVR7434</t>
  </si>
  <si>
    <t>Hanen MEDDEB</t>
  </si>
  <si>
    <t>464</t>
  </si>
  <si>
    <t>DWSL5715</t>
  </si>
  <si>
    <t>Sana SAIDI EP CHERIF</t>
  </si>
  <si>
    <t>465</t>
  </si>
  <si>
    <t>QJSF0743</t>
  </si>
  <si>
    <t>Moez OUESLATI</t>
  </si>
  <si>
    <t>472</t>
  </si>
  <si>
    <t>HBKZ2867</t>
  </si>
  <si>
    <t>Mohamed EL HAKEM</t>
  </si>
  <si>
    <t>480</t>
  </si>
  <si>
    <t>HWLQ2193</t>
  </si>
  <si>
    <t>Lamia SOLTANI</t>
  </si>
  <si>
    <t>spécialiste encaissement</t>
  </si>
  <si>
    <t>481</t>
  </si>
  <si>
    <t>RCZF8438</t>
  </si>
  <si>
    <t>Myriam CHAKER</t>
  </si>
  <si>
    <t>DACI</t>
  </si>
  <si>
    <t>Chef de projets transverses et gestion des risques</t>
  </si>
  <si>
    <t>483</t>
  </si>
  <si>
    <t>WNTH6547</t>
  </si>
  <si>
    <t>Faten DOURA</t>
  </si>
  <si>
    <t>Chef de Service Facturation et Stock</t>
  </si>
  <si>
    <t>488</t>
  </si>
  <si>
    <t>TZCT8473</t>
  </si>
  <si>
    <t>Zied MESSAOUD</t>
  </si>
  <si>
    <t>Chef de Service PDV</t>
  </si>
  <si>
    <t>489</t>
  </si>
  <si>
    <t>HBLZ2657</t>
  </si>
  <si>
    <t>Mohamed Ali AMRI</t>
  </si>
  <si>
    <t>Chef de Service Environnement Technique</t>
  </si>
  <si>
    <t>491</t>
  </si>
  <si>
    <t>SXCN7700</t>
  </si>
  <si>
    <t>Faten FEKIH</t>
  </si>
  <si>
    <t>493</t>
  </si>
  <si>
    <t>HPHS2750</t>
  </si>
  <si>
    <t>Mohamed Ali BOUGRINE</t>
  </si>
  <si>
    <t xml:space="preserve">Chef de département performence Financière et Réferentiel Offres et Services </t>
  </si>
  <si>
    <t>494</t>
  </si>
  <si>
    <t>RCNZ9004</t>
  </si>
  <si>
    <t>Mohamed Amine ZARG LAIOUN</t>
  </si>
  <si>
    <t>Chef de Département Roaming Business</t>
  </si>
  <si>
    <t>496</t>
  </si>
  <si>
    <t>TFLV6893</t>
  </si>
  <si>
    <t>Hassen BEN HENI</t>
  </si>
  <si>
    <t>Gestionnaire de flux</t>
  </si>
  <si>
    <t>501</t>
  </si>
  <si>
    <t>FWWN8279</t>
  </si>
  <si>
    <t>Hanen AYARI epouse Mourali</t>
  </si>
  <si>
    <t>503</t>
  </si>
  <si>
    <t>QJWM7297</t>
  </si>
  <si>
    <t>Mounawar BOUZAYANI</t>
  </si>
  <si>
    <t>508</t>
  </si>
  <si>
    <t>VRQW6467</t>
  </si>
  <si>
    <t>Kamel FERCHICHI</t>
  </si>
  <si>
    <t>Technicien mesure qualité réseaux </t>
  </si>
  <si>
    <t>511</t>
  </si>
  <si>
    <t>SPWK5396</t>
  </si>
  <si>
    <t>Gaith BEN ALAYA</t>
  </si>
  <si>
    <t>Chargé Production B2B</t>
  </si>
  <si>
    <t>513</t>
  </si>
  <si>
    <t>LBWC9792</t>
  </si>
  <si>
    <t>Noomen MKAWER</t>
  </si>
  <si>
    <t>Chef de Service Contentieux</t>
  </si>
  <si>
    <t>514</t>
  </si>
  <si>
    <t>KQSF5845</t>
  </si>
  <si>
    <t>Noureddine BEJAOUI</t>
  </si>
  <si>
    <t>Technicien Environnement Technique</t>
  </si>
  <si>
    <t>517</t>
  </si>
  <si>
    <t>BMKL1905</t>
  </si>
  <si>
    <t>Kamel KAABIA</t>
  </si>
  <si>
    <t xml:space="preserve">Responsable avant-vente et Delivery </t>
  </si>
  <si>
    <t>523</t>
  </si>
  <si>
    <t>KPCL0839</t>
  </si>
  <si>
    <t>Yosra BRAIK</t>
  </si>
  <si>
    <t>Spécialiste des Coûts et Logistiques Bâtiments</t>
  </si>
  <si>
    <t>524</t>
  </si>
  <si>
    <t>LCPR4385</t>
  </si>
  <si>
    <t>Amine ZID</t>
  </si>
  <si>
    <t>525</t>
  </si>
  <si>
    <t>VSFH2451</t>
  </si>
  <si>
    <t>Salah LASSOUED</t>
  </si>
  <si>
    <t>Chauffeur livreur</t>
  </si>
  <si>
    <t>526</t>
  </si>
  <si>
    <t>FWWQ2381</t>
  </si>
  <si>
    <t>Mondher DOUIK</t>
  </si>
  <si>
    <t>Chef d'équipe Transport et Distribution</t>
  </si>
  <si>
    <t>527</t>
  </si>
  <si>
    <t>QNPQ3300</t>
  </si>
  <si>
    <t>Arwa HAMDI</t>
  </si>
  <si>
    <t>Assistante moyen généraux</t>
  </si>
  <si>
    <t>528</t>
  </si>
  <si>
    <t>FHSN2076</t>
  </si>
  <si>
    <t>Dhouha ZARRAI</t>
  </si>
  <si>
    <t>assistant(e) administratif</t>
  </si>
  <si>
    <t>529</t>
  </si>
  <si>
    <t>BWMR6691</t>
  </si>
  <si>
    <t>Dhouha AYARI</t>
  </si>
  <si>
    <t>Acheteur hors production</t>
  </si>
  <si>
    <t>531</t>
  </si>
  <si>
    <t>MRBG6002</t>
  </si>
  <si>
    <t>Makram CHERIF</t>
  </si>
  <si>
    <t>Chef de Service Parc Auto</t>
  </si>
  <si>
    <t>533</t>
  </si>
  <si>
    <t>GWTJ4306</t>
  </si>
  <si>
    <t>Myriam MAHJOUB</t>
  </si>
  <si>
    <t>Chef de produit PME &amp; GC</t>
  </si>
  <si>
    <t>534</t>
  </si>
  <si>
    <t>ZLSC5416</t>
  </si>
  <si>
    <t>Rafik KSONTINI</t>
  </si>
  <si>
    <t>Chef de Département Vente Indirecte</t>
  </si>
  <si>
    <t>535</t>
  </si>
  <si>
    <t>GMZM0605</t>
  </si>
  <si>
    <t>Haithem AMARA</t>
  </si>
  <si>
    <t>Chef de Département Vente Boutiques Propres</t>
  </si>
  <si>
    <t>536</t>
  </si>
  <si>
    <t>MXXZ2191</t>
  </si>
  <si>
    <t>Sonia BELKHIRIA</t>
  </si>
  <si>
    <t>Responsable événementiel et animation  commerciale</t>
  </si>
  <si>
    <t>537</t>
  </si>
  <si>
    <t>ZDTB4768</t>
  </si>
  <si>
    <t>Mohamed Hosni SBAOUELJI</t>
  </si>
  <si>
    <t>Développeur Recharge GMS</t>
  </si>
  <si>
    <t>542</t>
  </si>
  <si>
    <t>PLVC5176</t>
  </si>
  <si>
    <t>Sami BEN AYED</t>
  </si>
  <si>
    <t>Responsable régional opérations commerciales</t>
  </si>
  <si>
    <t>543</t>
  </si>
  <si>
    <t>JCTD1229</t>
  </si>
  <si>
    <t>Aimen BEN ABDALLAH</t>
  </si>
  <si>
    <t>Chef de service vente et fidélisation Zone Nord 1</t>
  </si>
  <si>
    <t>544</t>
  </si>
  <si>
    <t>VMLS7686</t>
  </si>
  <si>
    <t>Myriam JBEBLI</t>
  </si>
  <si>
    <t>Chargé SAV</t>
  </si>
  <si>
    <t>548</t>
  </si>
  <si>
    <t>LTPW0293</t>
  </si>
  <si>
    <t>Mustapha BEN NACEF</t>
  </si>
  <si>
    <t>550</t>
  </si>
  <si>
    <t>FTHQ1105</t>
  </si>
  <si>
    <t>Abdallah GATTOUFI</t>
  </si>
  <si>
    <t>551</t>
  </si>
  <si>
    <t>XSRK7084</t>
  </si>
  <si>
    <t>Najd BASLY</t>
  </si>
  <si>
    <t>552</t>
  </si>
  <si>
    <t>NKGV5361</t>
  </si>
  <si>
    <t>BESSEM NOUIR</t>
  </si>
  <si>
    <t>553</t>
  </si>
  <si>
    <t>PQTX7612</t>
  </si>
  <si>
    <t>Montassar HELALI</t>
  </si>
  <si>
    <t>Responsable Qualité et parcours client B2B</t>
  </si>
  <si>
    <t>554</t>
  </si>
  <si>
    <t>RNZH4080</t>
  </si>
  <si>
    <t>Amira HAMMAMI</t>
  </si>
  <si>
    <t>555</t>
  </si>
  <si>
    <t>CZQH5122</t>
  </si>
  <si>
    <t>Arwa BEN LAKHDAR</t>
  </si>
  <si>
    <t>556</t>
  </si>
  <si>
    <t>JJXG3101</t>
  </si>
  <si>
    <t>BESSEM HAYOUNI</t>
  </si>
  <si>
    <t>557</t>
  </si>
  <si>
    <t>HWJF7056</t>
  </si>
  <si>
    <t>Myriam JATLAOUI</t>
  </si>
  <si>
    <t>Chef de Produit Convention</t>
  </si>
  <si>
    <t>558</t>
  </si>
  <si>
    <t>KBWN6222</t>
  </si>
  <si>
    <t>Soumaya Ouertani</t>
  </si>
  <si>
    <t>559</t>
  </si>
  <si>
    <t>BSZQ2913</t>
  </si>
  <si>
    <t>Yassine MAAZAOUI</t>
  </si>
  <si>
    <t>560</t>
  </si>
  <si>
    <t>WSLW1762</t>
  </si>
  <si>
    <t>Antar MHAMDI</t>
  </si>
  <si>
    <t>561</t>
  </si>
  <si>
    <t>FTCN1751</t>
  </si>
  <si>
    <t>Hichem BEN REJEB</t>
  </si>
  <si>
    <t>564</t>
  </si>
  <si>
    <t>PVXV4163</t>
  </si>
  <si>
    <t>Amor ABROUGUI</t>
  </si>
  <si>
    <t>566</t>
  </si>
  <si>
    <t>VFTN8574</t>
  </si>
  <si>
    <t>Makrem AZOUZ</t>
  </si>
  <si>
    <t>567</t>
  </si>
  <si>
    <t>LWCQ1909</t>
  </si>
  <si>
    <t>Maher SAIDANI</t>
  </si>
  <si>
    <t>Chef de Service monitoring, performance et planification</t>
  </si>
  <si>
    <t>569</t>
  </si>
  <si>
    <t>NDBR2136</t>
  </si>
  <si>
    <t>Hedia RAFRAFI</t>
  </si>
  <si>
    <t xml:space="preserve">Responsable d'équipe BO mobile  </t>
  </si>
  <si>
    <t>575</t>
  </si>
  <si>
    <t>FPRR8836</t>
  </si>
  <si>
    <t>Hichem CHTOUROU</t>
  </si>
  <si>
    <t>Chargé(e) Opérations déploiement Fibre Optique</t>
  </si>
  <si>
    <t>577</t>
  </si>
  <si>
    <t>ZQFM7578</t>
  </si>
  <si>
    <t>Mohamed AMMAR</t>
  </si>
  <si>
    <t>Ingénieur Support Charging (IN/VAS)</t>
  </si>
  <si>
    <t>578</t>
  </si>
  <si>
    <t>RZFR3551</t>
  </si>
  <si>
    <t>Mohamed KSONTINI</t>
  </si>
  <si>
    <t>Chef de Service Exploitation Back Office</t>
  </si>
  <si>
    <t>580</t>
  </si>
  <si>
    <t>LMZQ4583</t>
  </si>
  <si>
    <t>Wajdi BEN AMMAR</t>
  </si>
  <si>
    <t>Chef de Département Fraude et Revenu Assurance</t>
  </si>
  <si>
    <t>581</t>
  </si>
  <si>
    <t>FDBX6988</t>
  </si>
  <si>
    <t>Lotfi KLAI</t>
  </si>
  <si>
    <t>Chef de service API Factoty et Enablers</t>
  </si>
  <si>
    <t>586</t>
  </si>
  <si>
    <t>VKSG8144</t>
  </si>
  <si>
    <t>Omar CHEBAANE</t>
  </si>
  <si>
    <t>Chef de Service mobile et Broadband B2B</t>
  </si>
  <si>
    <t>592</t>
  </si>
  <si>
    <t>QPWT6998</t>
  </si>
  <si>
    <t>Aroua Dabbabi</t>
  </si>
  <si>
    <t>Responsable comptabilité wholesale</t>
  </si>
  <si>
    <t>593</t>
  </si>
  <si>
    <t>DVCK3545</t>
  </si>
  <si>
    <t>Mohamed Amine LAKHDHAR</t>
  </si>
  <si>
    <t>technicien support core</t>
  </si>
  <si>
    <t>594</t>
  </si>
  <si>
    <t>QDBV6040</t>
  </si>
  <si>
    <t>Noureddine ZOGHLAMI</t>
  </si>
  <si>
    <t>Responsable spare management</t>
  </si>
  <si>
    <t>596</t>
  </si>
  <si>
    <t>WGBD4878</t>
  </si>
  <si>
    <t>Majdi JARRAYA</t>
  </si>
  <si>
    <t>Chef de service vente et fidélisation Zone Sud</t>
  </si>
  <si>
    <t>598</t>
  </si>
  <si>
    <t>PTDT8645</t>
  </si>
  <si>
    <t>Seifeddine MSAHEL</t>
  </si>
  <si>
    <t>599</t>
  </si>
  <si>
    <t>ZVVT5403</t>
  </si>
  <si>
    <t>Imed HAMDI</t>
  </si>
  <si>
    <t>600</t>
  </si>
  <si>
    <t>HBVH6425</t>
  </si>
  <si>
    <t>Safa MAKHLOUF</t>
  </si>
  <si>
    <t>602</t>
  </si>
  <si>
    <t>FRTF0676</t>
  </si>
  <si>
    <t>Achref GHRIB</t>
  </si>
  <si>
    <t>603</t>
  </si>
  <si>
    <t>HZSV1899</t>
  </si>
  <si>
    <t>Nouha MACHAT</t>
  </si>
  <si>
    <t>604</t>
  </si>
  <si>
    <t>LTFM1314</t>
  </si>
  <si>
    <t>Najla SAYARI</t>
  </si>
  <si>
    <t>605</t>
  </si>
  <si>
    <t>ZWFK0492</t>
  </si>
  <si>
    <t>Rym Laadhari</t>
  </si>
  <si>
    <t xml:space="preserve">Chef de service SAV &amp; Gestion de stock </t>
  </si>
  <si>
    <t>606</t>
  </si>
  <si>
    <t>KPNX6409</t>
  </si>
  <si>
    <t>Nizar Ayari</t>
  </si>
  <si>
    <t>608</t>
  </si>
  <si>
    <t>JBWR0311</t>
  </si>
  <si>
    <t>Raja OUESLATI</t>
  </si>
  <si>
    <t>609</t>
  </si>
  <si>
    <t>XHWV8325</t>
  </si>
  <si>
    <t>Ayoub BOUGHRIBA</t>
  </si>
  <si>
    <t>612</t>
  </si>
  <si>
    <t>QFXB5243</t>
  </si>
  <si>
    <t>Haifa BEN MANSOUR</t>
  </si>
  <si>
    <t>614</t>
  </si>
  <si>
    <t>KWCJ1732</t>
  </si>
  <si>
    <t>Rahma BEN LAKHAL</t>
  </si>
  <si>
    <t>615</t>
  </si>
  <si>
    <t>BKLG4619</t>
  </si>
  <si>
    <t>Arbi YOUSSEF</t>
  </si>
  <si>
    <t>616</t>
  </si>
  <si>
    <t>JPRV9076</t>
  </si>
  <si>
    <t>Rania BEN ARAB</t>
  </si>
  <si>
    <t>618</t>
  </si>
  <si>
    <t>JBLH1045</t>
  </si>
  <si>
    <t>Mohamed Fradj MEGHREBI</t>
  </si>
  <si>
    <t>619</t>
  </si>
  <si>
    <t>LHLC2849</t>
  </si>
  <si>
    <t>RAOUIA HASSNAOUI</t>
  </si>
  <si>
    <t>Contrôleur de gestion</t>
  </si>
  <si>
    <t>621</t>
  </si>
  <si>
    <t>MVPJ6571</t>
  </si>
  <si>
    <t>WAFA BEN CHEIKH</t>
  </si>
  <si>
    <t>623</t>
  </si>
  <si>
    <t>SWWR2328</t>
  </si>
  <si>
    <t>Syrine ARNOUNI</t>
  </si>
  <si>
    <t>Coordinatrice projets RSE et solidarité numérique</t>
  </si>
  <si>
    <t>624</t>
  </si>
  <si>
    <t>THVN1736</t>
  </si>
  <si>
    <t>BASSAM KHALDI</t>
  </si>
  <si>
    <t>625</t>
  </si>
  <si>
    <t>JXCL1002</t>
  </si>
  <si>
    <t>Abou El Alâa TARCHOUNI</t>
  </si>
  <si>
    <t>626</t>
  </si>
  <si>
    <t>CWCS7902</t>
  </si>
  <si>
    <t>SABRINA KAIS</t>
  </si>
  <si>
    <t>Analyste recouvrement</t>
  </si>
  <si>
    <t>630</t>
  </si>
  <si>
    <t>FLRZ3129</t>
  </si>
  <si>
    <t>WAEL DALY</t>
  </si>
  <si>
    <t xml:space="preserve">Responsable d’activité plainte mobile GP </t>
  </si>
  <si>
    <t>635</t>
  </si>
  <si>
    <t>QRDT2778</t>
  </si>
  <si>
    <t>YOSR GHARBI</t>
  </si>
  <si>
    <t>638</t>
  </si>
  <si>
    <t>CJBW7267</t>
  </si>
  <si>
    <t>AHMED TOUJANI</t>
  </si>
  <si>
    <t>640</t>
  </si>
  <si>
    <t>GRWG6449</t>
  </si>
  <si>
    <t>BESSEM BEN OTHMENE</t>
  </si>
  <si>
    <t>Chargé Client Privilège Mobile B2B</t>
  </si>
  <si>
    <t>642</t>
  </si>
  <si>
    <t>ZCMD7616</t>
  </si>
  <si>
    <t>SONIA FEZAI</t>
  </si>
  <si>
    <t>643</t>
  </si>
  <si>
    <t>DKZB6240</t>
  </si>
  <si>
    <t>Rim JAOUACHI</t>
  </si>
  <si>
    <t>Chargé Client BO Privilège Mobile B2B</t>
  </si>
  <si>
    <t>644</t>
  </si>
  <si>
    <t>MRQW4427</t>
  </si>
  <si>
    <t>KARIMA SELMI</t>
  </si>
  <si>
    <t>645</t>
  </si>
  <si>
    <t>RGXH5310</t>
  </si>
  <si>
    <t>FATEN SAHLI</t>
  </si>
  <si>
    <t>646</t>
  </si>
  <si>
    <t>JMXB2311</t>
  </si>
  <si>
    <t>THOURAYA HAJJI</t>
  </si>
  <si>
    <t>647</t>
  </si>
  <si>
    <t>VSPX4424</t>
  </si>
  <si>
    <t>WAEL GLAI</t>
  </si>
  <si>
    <t>651</t>
  </si>
  <si>
    <t>JQMD2789</t>
  </si>
  <si>
    <t>HAIFA Ben Youssef</t>
  </si>
  <si>
    <t>652</t>
  </si>
  <si>
    <t>PKSG0013</t>
  </si>
  <si>
    <t>MONIA GOUIDER</t>
  </si>
  <si>
    <t>654</t>
  </si>
  <si>
    <t>TWXG5470</t>
  </si>
  <si>
    <t>SALIMA YAZIDI BRIK</t>
  </si>
  <si>
    <t>656</t>
  </si>
  <si>
    <t>FHBC7065</t>
  </si>
  <si>
    <t>RABEB sdiri</t>
  </si>
  <si>
    <t>657</t>
  </si>
  <si>
    <t>XNLP9942</t>
  </si>
  <si>
    <t>ABIR DJEBBI</t>
  </si>
  <si>
    <t>658</t>
  </si>
  <si>
    <t>QCRN3144</t>
  </si>
  <si>
    <t>WALID BEN SLIMANE</t>
  </si>
  <si>
    <t>661</t>
  </si>
  <si>
    <t>CCWX3402</t>
  </si>
  <si>
    <t>SABRY BEN AMOR</t>
  </si>
  <si>
    <t>662</t>
  </si>
  <si>
    <t>KTDL4623</t>
  </si>
  <si>
    <t>Nawel AOUADI EP BJAOUI</t>
  </si>
  <si>
    <t>664</t>
  </si>
  <si>
    <t>DJMP5711</t>
  </si>
  <si>
    <t>ANIS HAYOUNI</t>
  </si>
  <si>
    <t>Responsable care et rétention B2C</t>
  </si>
  <si>
    <t>668</t>
  </si>
  <si>
    <t>FCXH9371</t>
  </si>
  <si>
    <t>MOHAMED CHEDLY GALLAH</t>
  </si>
  <si>
    <t>Technicien Production B2B</t>
  </si>
  <si>
    <t>669</t>
  </si>
  <si>
    <t>RSRQ7293</t>
  </si>
  <si>
    <t>AMINA FATMI</t>
  </si>
  <si>
    <t>670</t>
  </si>
  <si>
    <t>XKNW4584</t>
  </si>
  <si>
    <t>ANIS JAAFAR</t>
  </si>
  <si>
    <t>Chargé d'affaire B2B</t>
  </si>
  <si>
    <t>672</t>
  </si>
  <si>
    <t>VVXT5467</t>
  </si>
  <si>
    <t>ONSA BELATEK</t>
  </si>
  <si>
    <t>673</t>
  </si>
  <si>
    <t>BFTX9881</t>
  </si>
  <si>
    <t>mohamed YAHYAOUI</t>
  </si>
  <si>
    <t>674</t>
  </si>
  <si>
    <t>CJQM8378</t>
  </si>
  <si>
    <t>MAROUANE GHARBI</t>
  </si>
  <si>
    <t>677</t>
  </si>
  <si>
    <t>CNTK5739</t>
  </si>
  <si>
    <t>HASSEN ARIBI</t>
  </si>
  <si>
    <t>678</t>
  </si>
  <si>
    <t>SVWW9501</t>
  </si>
  <si>
    <t>RANIA MNED</t>
  </si>
  <si>
    <t>680</t>
  </si>
  <si>
    <t>QFDZ4673</t>
  </si>
  <si>
    <t>Med AYMEN BOUJMIL</t>
  </si>
  <si>
    <t>681</t>
  </si>
  <si>
    <t>QWJM3129</t>
  </si>
  <si>
    <t>SALMA MOKRANI</t>
  </si>
  <si>
    <t>Manager Acquisition de Talents et orientation professionnelle</t>
  </si>
  <si>
    <t>682</t>
  </si>
  <si>
    <t>FRKN8995</t>
  </si>
  <si>
    <t>RADHIA IDA</t>
  </si>
  <si>
    <t>683</t>
  </si>
  <si>
    <t>VSBG9091</t>
  </si>
  <si>
    <t>WALID BEN AMOR</t>
  </si>
  <si>
    <t>Responsable Offres Fidélité et rétention</t>
  </si>
  <si>
    <t>685</t>
  </si>
  <si>
    <t>STPR7519</t>
  </si>
  <si>
    <t>TAREK RIAHI</t>
  </si>
  <si>
    <t>686</t>
  </si>
  <si>
    <t>QKFX8567</t>
  </si>
  <si>
    <t>WALID AMRI</t>
  </si>
  <si>
    <t>688</t>
  </si>
  <si>
    <t>KFPR0463</t>
  </si>
  <si>
    <t>HELMI HADHIRI</t>
  </si>
  <si>
    <t>689</t>
  </si>
  <si>
    <t>SMBG2186</t>
  </si>
  <si>
    <t>SAIFEDDINE WIDED</t>
  </si>
  <si>
    <t>Chargé Facturation SC B2B</t>
  </si>
  <si>
    <t>690</t>
  </si>
  <si>
    <t>RGPW5431</t>
  </si>
  <si>
    <t>NABIL DRIDI</t>
  </si>
  <si>
    <t>Chargé(e) inventaire</t>
  </si>
  <si>
    <t>691</t>
  </si>
  <si>
    <t>QJGX7241</t>
  </si>
  <si>
    <t>WALID BEN MAAOUIA</t>
  </si>
  <si>
    <t xml:space="preserve">Analyste performance commerciale </t>
  </si>
  <si>
    <t>692</t>
  </si>
  <si>
    <t>ZVWX6607</t>
  </si>
  <si>
    <t>NAWEL TURKI Ep OUALI</t>
  </si>
  <si>
    <t>694</t>
  </si>
  <si>
    <t>LQWT1576</t>
  </si>
  <si>
    <t>HIBA SBABTI</t>
  </si>
  <si>
    <t xml:space="preserve">Responsable analyse conformité des ventes et offres </t>
  </si>
  <si>
    <t>703</t>
  </si>
  <si>
    <t>JPHW3354</t>
  </si>
  <si>
    <t>RAOUIA DRISSI</t>
  </si>
  <si>
    <t>707</t>
  </si>
  <si>
    <t>SNKV7176</t>
  </si>
  <si>
    <t>JOUHAYNA REZIGUE</t>
  </si>
  <si>
    <t>709</t>
  </si>
  <si>
    <t>MQJC5033</t>
  </si>
  <si>
    <t>RAMZI HECHMI</t>
  </si>
  <si>
    <t>Technicien Mobile GP</t>
  </si>
  <si>
    <t>710</t>
  </si>
  <si>
    <t>KZKD5073</t>
  </si>
  <si>
    <t>Mehdi GHARBI</t>
  </si>
  <si>
    <t>711</t>
  </si>
  <si>
    <t>MPGF0584</t>
  </si>
  <si>
    <t>Narjess GHAMMAM</t>
  </si>
  <si>
    <t>717</t>
  </si>
  <si>
    <t>ZQPZ8360</t>
  </si>
  <si>
    <t>Kais ALLOUCHE</t>
  </si>
  <si>
    <t>Analyste Recouvrement</t>
  </si>
  <si>
    <t>720</t>
  </si>
  <si>
    <t>VRRL8036</t>
  </si>
  <si>
    <t>Mohamed RAHAL</t>
  </si>
  <si>
    <t xml:space="preserve">Directeur de la Transformation Opérationnelle </t>
  </si>
  <si>
    <t>721</t>
  </si>
  <si>
    <t>JTXM9117</t>
  </si>
  <si>
    <t>Sami ZOUARI</t>
  </si>
  <si>
    <t>Chef de Département Exploitation et Infrastructure</t>
  </si>
  <si>
    <t>722</t>
  </si>
  <si>
    <t>ZVRN6977</t>
  </si>
  <si>
    <t>Maya JERBI</t>
  </si>
  <si>
    <t>Chef de département mécénat et solidarité numérique</t>
  </si>
  <si>
    <t>725</t>
  </si>
  <si>
    <t>SBCF9059</t>
  </si>
  <si>
    <t>Samira FAHEM</t>
  </si>
  <si>
    <t>Spécialiste Process et COPC</t>
  </si>
  <si>
    <t>726</t>
  </si>
  <si>
    <t>WRSV9402</t>
  </si>
  <si>
    <t>Mourad GHARBI</t>
  </si>
  <si>
    <t>727</t>
  </si>
  <si>
    <t>TKBQ3988</t>
  </si>
  <si>
    <t>Azza ABBASSI</t>
  </si>
  <si>
    <t>Analyste qualité et amélioration continue</t>
  </si>
  <si>
    <t>729</t>
  </si>
  <si>
    <t>LSLB5711</t>
  </si>
  <si>
    <t>Mourad BEN SAID</t>
  </si>
  <si>
    <t xml:space="preserve">Chef de Service Helpdesk et poste de travail </t>
  </si>
  <si>
    <t>736</t>
  </si>
  <si>
    <t>PSQT8029</t>
  </si>
  <si>
    <t>Asma SAIED</t>
  </si>
  <si>
    <t>Chef de Service Cellule VIP</t>
  </si>
  <si>
    <t>737</t>
  </si>
  <si>
    <t>GKTF0782</t>
  </si>
  <si>
    <t>Tarek SOULA</t>
  </si>
  <si>
    <t>Technicien Réseaux et Services</t>
  </si>
  <si>
    <t>739</t>
  </si>
  <si>
    <t>GSTN0452</t>
  </si>
  <si>
    <t>Khemis YASSINE</t>
  </si>
  <si>
    <t>742</t>
  </si>
  <si>
    <t>CRLV9743</t>
  </si>
  <si>
    <t>Ahmed KAROUI</t>
  </si>
  <si>
    <t>Chef de Département Support Transport IP &amp; Transmission</t>
  </si>
  <si>
    <t>743</t>
  </si>
  <si>
    <t>QKLF6679</t>
  </si>
  <si>
    <t>Leila CHADI</t>
  </si>
  <si>
    <t>Responsable Terminaux</t>
  </si>
  <si>
    <t>744</t>
  </si>
  <si>
    <t>GDFF8674</t>
  </si>
  <si>
    <t>Issam TRIFI</t>
  </si>
  <si>
    <t>chef de département support RAN et FH</t>
  </si>
  <si>
    <t>747</t>
  </si>
  <si>
    <t>TTMM4554</t>
  </si>
  <si>
    <t>Ameur FERSI</t>
  </si>
  <si>
    <t>Chef de Service SMC Back Office</t>
  </si>
  <si>
    <t>749</t>
  </si>
  <si>
    <t>KWSN2868</t>
  </si>
  <si>
    <t>Imene ATALLAH LANDOULSI</t>
  </si>
  <si>
    <t>Directeur Règlementation &amp; Opérateurs</t>
  </si>
  <si>
    <t>750</t>
  </si>
  <si>
    <t>DWSQ5508</t>
  </si>
  <si>
    <t>Monia BERDISSI</t>
  </si>
  <si>
    <t xml:space="preserve">Chef de service reporting et réclamation boutique </t>
  </si>
  <si>
    <t>755</t>
  </si>
  <si>
    <t>GPTL8908</t>
  </si>
  <si>
    <t>Mohamed Salah MIMOUNI</t>
  </si>
  <si>
    <t>Expert Support RAN</t>
  </si>
  <si>
    <t>757</t>
  </si>
  <si>
    <t>TJXK5899</t>
  </si>
  <si>
    <t>Sami DHANE</t>
  </si>
  <si>
    <t>760</t>
  </si>
  <si>
    <t>VDRM7092</t>
  </si>
  <si>
    <t>Seif DZIRI</t>
  </si>
  <si>
    <t>Responsable projets mecenat &amp; solidarité numérique</t>
  </si>
  <si>
    <t>761</t>
  </si>
  <si>
    <t>KPBK4745</t>
  </si>
  <si>
    <t>Hamdi AGUERBI REZAGUI</t>
  </si>
  <si>
    <t>Chef de Service Convention Mobile</t>
  </si>
  <si>
    <t>762</t>
  </si>
  <si>
    <t>LGJX8926</t>
  </si>
  <si>
    <t>Mohamed Habib BEN ABID</t>
  </si>
  <si>
    <t>Architecte Fonctionnel</t>
  </si>
  <si>
    <t>763</t>
  </si>
  <si>
    <t>HXFT7253</t>
  </si>
  <si>
    <t>Mahmoud RANNA</t>
  </si>
  <si>
    <t>764</t>
  </si>
  <si>
    <t>NZBR2477</t>
  </si>
  <si>
    <t>Leila DHOUIEB</t>
  </si>
  <si>
    <t>Responsable Création de Contenu et Diffusion</t>
  </si>
  <si>
    <t>771</t>
  </si>
  <si>
    <t>JHRC9187</t>
  </si>
  <si>
    <t>MONIA WIDED BEN JEDDOU</t>
  </si>
  <si>
    <t>Responsable d'équipe Recouvrement</t>
  </si>
  <si>
    <t>775</t>
  </si>
  <si>
    <t>PHDB7753</t>
  </si>
  <si>
    <t>WALID RAJHI</t>
  </si>
  <si>
    <t>Responsable d'équipe commerciale VIP</t>
  </si>
  <si>
    <t>781</t>
  </si>
  <si>
    <t>HGJN3107</t>
  </si>
  <si>
    <t>HELA BELKAHIA</t>
  </si>
  <si>
    <t>783</t>
  </si>
  <si>
    <t>PCLB1845</t>
  </si>
  <si>
    <t>Fehmi MAAROUFI</t>
  </si>
  <si>
    <t>Chef de service vente et fidélisation Zone Nord 2</t>
  </si>
  <si>
    <t>786</t>
  </si>
  <si>
    <t>GWPL3480</t>
  </si>
  <si>
    <t>RIADH FRIDHI</t>
  </si>
  <si>
    <t>795</t>
  </si>
  <si>
    <t>BZTB1799</t>
  </si>
  <si>
    <t>Fadwa KAHWEJI</t>
  </si>
  <si>
    <t>798</t>
  </si>
  <si>
    <t>FSBH3012</t>
  </si>
  <si>
    <t>Aymen GODDI</t>
  </si>
  <si>
    <t>801</t>
  </si>
  <si>
    <t>DLQT1256</t>
  </si>
  <si>
    <t>Ahmed Amine CHOUCHANE</t>
  </si>
  <si>
    <t>Chargé support commercial trade</t>
  </si>
  <si>
    <t>804</t>
  </si>
  <si>
    <t>NVGT8416</t>
  </si>
  <si>
    <t>Said BEN CHEIKH</t>
  </si>
  <si>
    <t>809</t>
  </si>
  <si>
    <t>QPNP9419</t>
  </si>
  <si>
    <t>LOTFI ZAIRI</t>
  </si>
  <si>
    <t>810</t>
  </si>
  <si>
    <t>XKZJ0165</t>
  </si>
  <si>
    <t>Hatem HIZI</t>
  </si>
  <si>
    <t>811</t>
  </si>
  <si>
    <t>LCFD9515</t>
  </si>
  <si>
    <t>HASSEN BEN SALAH</t>
  </si>
  <si>
    <t>831</t>
  </si>
  <si>
    <t>SCRN1179</t>
  </si>
  <si>
    <t>Amel ABDELKAFI ZEBIDI</t>
  </si>
  <si>
    <t>Directeur Admin, Achat &amp; Logistique</t>
  </si>
  <si>
    <t>841</t>
  </si>
  <si>
    <t>FWCH4392</t>
  </si>
  <si>
    <t>Rim BEN BRAHIM</t>
  </si>
  <si>
    <t>Chef de Service Wholesale International</t>
  </si>
  <si>
    <t>847</t>
  </si>
  <si>
    <t>RZXK7228</t>
  </si>
  <si>
    <t>Ramzi HALWENI</t>
  </si>
  <si>
    <t>855</t>
  </si>
  <si>
    <t>PLFW2665</t>
  </si>
  <si>
    <t>Mohamed JAMMOUCI</t>
  </si>
  <si>
    <t>Directeur des Services Clients</t>
  </si>
  <si>
    <t>856</t>
  </si>
  <si>
    <t>KMVN1029</t>
  </si>
  <si>
    <t>Walid JAMOUSSI</t>
  </si>
  <si>
    <t>Chef de Département  planification, Architecture et pilotage fo</t>
  </si>
  <si>
    <t>862</t>
  </si>
  <si>
    <t>NQXQ8408</t>
  </si>
  <si>
    <t>Sofiane ARFAOUI</t>
  </si>
  <si>
    <t>870</t>
  </si>
  <si>
    <t>LGTZ2792</t>
  </si>
  <si>
    <t>Hend CHAFFAI BEN KHEDER</t>
  </si>
  <si>
    <t>Directrice Marketing</t>
  </si>
  <si>
    <t>871</t>
  </si>
  <si>
    <t>FPNF0512</t>
  </si>
  <si>
    <t>Mourad BEN KHEDER</t>
  </si>
  <si>
    <t>Directeur Infrastructure Réseau</t>
  </si>
  <si>
    <t>872</t>
  </si>
  <si>
    <t>XXRQ9150</t>
  </si>
  <si>
    <t>Mohamed Ali Frioui</t>
  </si>
  <si>
    <t>Chef de service Programme Office et performances du projet BSCS</t>
  </si>
  <si>
    <t>873</t>
  </si>
  <si>
    <t>MSTT1997</t>
  </si>
  <si>
    <t>Mohamed Abdelaali SOMAI</t>
  </si>
  <si>
    <t>876</t>
  </si>
  <si>
    <t>XKRT1054</t>
  </si>
  <si>
    <t>Lotfi BEN ABDERRAZEK</t>
  </si>
  <si>
    <t>878</t>
  </si>
  <si>
    <t>XBJJ0114</t>
  </si>
  <si>
    <t>Mohamed Achraf AYEDI</t>
  </si>
  <si>
    <t>881</t>
  </si>
  <si>
    <t>TRWR4760</t>
  </si>
  <si>
    <t>Oussama BOUAZIZ</t>
  </si>
  <si>
    <t>Chef de Département Performance Commerciale</t>
  </si>
  <si>
    <t>884</t>
  </si>
  <si>
    <t>NTCF3887</t>
  </si>
  <si>
    <t>Meriem ENNAIFER</t>
  </si>
  <si>
    <t>Chef de Département Marketing B2C</t>
  </si>
  <si>
    <t>890</t>
  </si>
  <si>
    <t>JLDQ6719</t>
  </si>
  <si>
    <t>Hanen HDHILI</t>
  </si>
  <si>
    <t>892</t>
  </si>
  <si>
    <t>NJTJ6828</t>
  </si>
  <si>
    <t>Salwa BRAHMI</t>
  </si>
  <si>
    <t>893</t>
  </si>
  <si>
    <t>GLHH0218</t>
  </si>
  <si>
    <t>Ikhlass JLASSI</t>
  </si>
  <si>
    <t>894</t>
  </si>
  <si>
    <t>DVMG5607</t>
  </si>
  <si>
    <t>Raja RIHANI</t>
  </si>
  <si>
    <t>895</t>
  </si>
  <si>
    <t>SJFM7574</t>
  </si>
  <si>
    <t>Manel GHARBI</t>
  </si>
  <si>
    <t>Chargé clientèle VIP</t>
  </si>
  <si>
    <t>896</t>
  </si>
  <si>
    <t>XVBC3942</t>
  </si>
  <si>
    <t>Mustapha MHISSEN</t>
  </si>
  <si>
    <t>897</t>
  </si>
  <si>
    <t>QBPH3396</t>
  </si>
  <si>
    <t>Nada HAMMAMI</t>
  </si>
  <si>
    <t>898</t>
  </si>
  <si>
    <t>VLWL8335</t>
  </si>
  <si>
    <t>Amira MEDINI</t>
  </si>
  <si>
    <t>899</t>
  </si>
  <si>
    <t>CVGK8519</t>
  </si>
  <si>
    <t>Sadok REZGUI</t>
  </si>
  <si>
    <t>901</t>
  </si>
  <si>
    <t>RLHT6260</t>
  </si>
  <si>
    <t>Oussama ARFAOUI</t>
  </si>
  <si>
    <t>Chef de Service réseaux intelligents et canaux de recharge</t>
  </si>
  <si>
    <t>902</t>
  </si>
  <si>
    <t>DGZB6259</t>
  </si>
  <si>
    <t>Rania KZEDRI</t>
  </si>
  <si>
    <t>Chef de Service Achat marketing et commercial</t>
  </si>
  <si>
    <t>904</t>
  </si>
  <si>
    <t>TRWL1590</t>
  </si>
  <si>
    <t>Mohamed ARFAOUI</t>
  </si>
  <si>
    <t>Chef de Département Business Development</t>
  </si>
  <si>
    <t>905</t>
  </si>
  <si>
    <t>JQXX8281</t>
  </si>
  <si>
    <t>Yassine LAABIDI</t>
  </si>
  <si>
    <t>Administrateur SI</t>
  </si>
  <si>
    <t>907</t>
  </si>
  <si>
    <t>HLCG0941</t>
  </si>
  <si>
    <t>Oussama BEN AYED</t>
  </si>
  <si>
    <t>908</t>
  </si>
  <si>
    <t>KTVJ0668</t>
  </si>
  <si>
    <t>Sameh HAJ TAIEB LAADHAR</t>
  </si>
  <si>
    <t>914</t>
  </si>
  <si>
    <t>HSNL0092</t>
  </si>
  <si>
    <t>Manel YACOUBI</t>
  </si>
  <si>
    <t>Chef Service Evolution et Extension RAN</t>
  </si>
  <si>
    <t>916</t>
  </si>
  <si>
    <t>JJDV3191</t>
  </si>
  <si>
    <t>Walid SELMI</t>
  </si>
  <si>
    <t>Chef de Service Déploiement Télécom</t>
  </si>
  <si>
    <t>917</t>
  </si>
  <si>
    <t>HPJW6513</t>
  </si>
  <si>
    <t>Imen Ragil</t>
  </si>
  <si>
    <t>919</t>
  </si>
  <si>
    <t>FSJZ1769</t>
  </si>
  <si>
    <t>Sirine SFAR GARA ALI</t>
  </si>
  <si>
    <t>920</t>
  </si>
  <si>
    <t>GQHM3626</t>
  </si>
  <si>
    <t>Mohamed Anouar Zaouali</t>
  </si>
  <si>
    <t>921</t>
  </si>
  <si>
    <t>TCQV3644</t>
  </si>
  <si>
    <t>Sassi KHEDRI</t>
  </si>
  <si>
    <t>922</t>
  </si>
  <si>
    <t>GFXC8804</t>
  </si>
  <si>
    <t>Imen Zaouali</t>
  </si>
  <si>
    <t>923</t>
  </si>
  <si>
    <t>ZRRN1578</t>
  </si>
  <si>
    <t>Hassen HAJLAOUI</t>
  </si>
  <si>
    <t>924</t>
  </si>
  <si>
    <t>FDPN0932</t>
  </si>
  <si>
    <t>Imen Chatti</t>
  </si>
  <si>
    <t>925</t>
  </si>
  <si>
    <t>CRGQ5890</t>
  </si>
  <si>
    <t>Ines BEN ESSADOK</t>
  </si>
  <si>
    <t>926</t>
  </si>
  <si>
    <t>PKDV9262</t>
  </si>
  <si>
    <t>Naim KAMMOUN</t>
  </si>
  <si>
    <t>928</t>
  </si>
  <si>
    <t>JDTZ9276</t>
  </si>
  <si>
    <t>Slim GUIDARA</t>
  </si>
  <si>
    <t xml:space="preserve">Chef de département ingénierie commerciale et rénovation </t>
  </si>
  <si>
    <t>937</t>
  </si>
  <si>
    <t>BLNG5734</t>
  </si>
  <si>
    <t>MOHAMED TAHA ALLAGUI</t>
  </si>
  <si>
    <t>Chef de Service facility management</t>
  </si>
  <si>
    <t>946</t>
  </si>
  <si>
    <t>DWKZ4301</t>
  </si>
  <si>
    <t>ISSAM BACHRAOUI</t>
  </si>
  <si>
    <t>947</t>
  </si>
  <si>
    <t>THDZ1123</t>
  </si>
  <si>
    <t>ASMA REJEB</t>
  </si>
  <si>
    <t>948</t>
  </si>
  <si>
    <t>LXBQ5380</t>
  </si>
  <si>
    <t>FADOUA OUHICHI</t>
  </si>
  <si>
    <t>950</t>
  </si>
  <si>
    <t>SJPL2652</t>
  </si>
  <si>
    <t>CHAHIR AYED</t>
  </si>
  <si>
    <t>953</t>
  </si>
  <si>
    <t>FLNC2932</t>
  </si>
  <si>
    <t>MOHAMED SAMI TRIKI</t>
  </si>
  <si>
    <t xml:space="preserve">Chef de département Wholesale domestique et data internationale </t>
  </si>
  <si>
    <t>955</t>
  </si>
  <si>
    <t>XRLR3276</t>
  </si>
  <si>
    <t>NAOUFEL HABACHA</t>
  </si>
  <si>
    <t>Chef de service Support Optique et Backhaul</t>
  </si>
  <si>
    <t>962</t>
  </si>
  <si>
    <t>DKVZ8071</t>
  </si>
  <si>
    <t>Mohamed ABDELKADER</t>
  </si>
  <si>
    <t>Chef de Département MOA et Recouvrement sédentaire</t>
  </si>
  <si>
    <t>965</t>
  </si>
  <si>
    <t>FWHC1734</t>
  </si>
  <si>
    <t>Haithem BEN ABDELLI</t>
  </si>
  <si>
    <t>Responsable d’équipe N2 ADSL</t>
  </si>
  <si>
    <t>967</t>
  </si>
  <si>
    <t>DPVP9988</t>
  </si>
  <si>
    <t>ISSAM BEN SOLTANA</t>
  </si>
  <si>
    <t>Chef de Service Activation et Support Commercial B2B</t>
  </si>
  <si>
    <t>968</t>
  </si>
  <si>
    <t>TQRK9428</t>
  </si>
  <si>
    <t>MAHDI BEN AZIZA</t>
  </si>
  <si>
    <t>Analyste Commissionning</t>
  </si>
  <si>
    <t>970</t>
  </si>
  <si>
    <t>JKHD0737</t>
  </si>
  <si>
    <t>CHOKRI KAROUI</t>
  </si>
  <si>
    <t>Chef de Service Analyse de la Performance et Expér</t>
  </si>
  <si>
    <t>973</t>
  </si>
  <si>
    <t>BVNT8985</t>
  </si>
  <si>
    <t>BASSEM LABIB</t>
  </si>
  <si>
    <t>Chargé d'opération déploiement fixe</t>
  </si>
  <si>
    <t>974</t>
  </si>
  <si>
    <t>TMRC4474</t>
  </si>
  <si>
    <t>BASSEM BEN YOUSSEF</t>
  </si>
  <si>
    <t>975</t>
  </si>
  <si>
    <t>ZNDG6120</t>
  </si>
  <si>
    <t>ABDELFATTEH MBARKI</t>
  </si>
  <si>
    <t>Responsable Parcours client</t>
  </si>
  <si>
    <t>976</t>
  </si>
  <si>
    <t>FPNK7886</t>
  </si>
  <si>
    <t>RANDA NEFZI</t>
  </si>
  <si>
    <t>Analyste Expérience Client</t>
  </si>
  <si>
    <t>982</t>
  </si>
  <si>
    <t>PKJS9527</t>
  </si>
  <si>
    <t>MARIEM LOUSSAIEF</t>
  </si>
  <si>
    <t>983</t>
  </si>
  <si>
    <t>JBMC5116</t>
  </si>
  <si>
    <t>ZEINEB DRIDI</t>
  </si>
  <si>
    <t>Responsable qualité et expérience client</t>
  </si>
  <si>
    <t>984</t>
  </si>
  <si>
    <t>KMXD8476</t>
  </si>
  <si>
    <t>IMEN MZOUGHI</t>
  </si>
  <si>
    <t>Cheffe Service Analytique RH et Projets transverses</t>
  </si>
  <si>
    <t>985</t>
  </si>
  <si>
    <t>JTHG6773</t>
  </si>
  <si>
    <t>SAOUSSEN DOURA</t>
  </si>
  <si>
    <t>986</t>
  </si>
  <si>
    <t>RRFB4045</t>
  </si>
  <si>
    <t>sana dhamer</t>
  </si>
  <si>
    <t>Chef de projet Sharing</t>
  </si>
  <si>
    <t>989</t>
  </si>
  <si>
    <t>SLCW3180</t>
  </si>
  <si>
    <t>SONIA MEDDEB</t>
  </si>
  <si>
    <t>990</t>
  </si>
  <si>
    <t>KLXR4720</t>
  </si>
  <si>
    <t>YOSRA GHARBI</t>
  </si>
  <si>
    <t>991</t>
  </si>
  <si>
    <t>LFXM6719</t>
  </si>
  <si>
    <t>AYMEN CHEBBI</t>
  </si>
  <si>
    <t>993</t>
  </si>
  <si>
    <t>JPCL2108</t>
  </si>
  <si>
    <t>MOHAMED HEDI BEN KHELIFA</t>
  </si>
  <si>
    <t>994</t>
  </si>
  <si>
    <t>WQSP9325</t>
  </si>
  <si>
    <t>HAFEDH CHIKHAOUI</t>
  </si>
  <si>
    <t>995</t>
  </si>
  <si>
    <t>CZCW8354</t>
  </si>
  <si>
    <t>CHARFEDDINE BOUGUERRA</t>
  </si>
  <si>
    <t>Chargé(e) fidélisation et support aux ventes</t>
  </si>
  <si>
    <t>996</t>
  </si>
  <si>
    <t>VRFG4843</t>
  </si>
  <si>
    <t>SANA KAFIA MALEK</t>
  </si>
  <si>
    <t>999</t>
  </si>
  <si>
    <t>KWZJ9623</t>
  </si>
  <si>
    <t>SAMEH HYDRI</t>
  </si>
  <si>
    <t>Responsable Ordonnancement et Planification</t>
  </si>
  <si>
    <t>1001</t>
  </si>
  <si>
    <t>SXVQ2035</t>
  </si>
  <si>
    <t>AYMEN MEJRI</t>
  </si>
  <si>
    <t>Ingénieur transmission capillaire</t>
  </si>
  <si>
    <t>1002</t>
  </si>
  <si>
    <t>MPZX8524</t>
  </si>
  <si>
    <t>MOHAMED ALI ESSIFI</t>
  </si>
  <si>
    <t>Technicien pilotage plaintes clients B2B</t>
  </si>
  <si>
    <t>1003</t>
  </si>
  <si>
    <t>GHDH4113</t>
  </si>
  <si>
    <t>BELAID DHOUAFLI</t>
  </si>
  <si>
    <t>1005</t>
  </si>
  <si>
    <t>QJBP7524</t>
  </si>
  <si>
    <t>INES BACHOUCHE</t>
  </si>
  <si>
    <t>Responsable Pilotage Plaintes Clients B2B</t>
  </si>
  <si>
    <t>1006</t>
  </si>
  <si>
    <t>VBNP2807</t>
  </si>
  <si>
    <t>CHEDIA AOUISSI</t>
  </si>
  <si>
    <t>1009</t>
  </si>
  <si>
    <t>ZSPF1707</t>
  </si>
  <si>
    <t>MOHAMED HEDI MLAIHI</t>
  </si>
  <si>
    <t>1010</t>
  </si>
  <si>
    <t>DDXM0836</t>
  </si>
  <si>
    <t>JIHED MBARKI</t>
  </si>
  <si>
    <t>1013</t>
  </si>
  <si>
    <t>VNQH3669</t>
  </si>
  <si>
    <t>NABIL MARZOUKI</t>
  </si>
  <si>
    <t>Chargé Client ADSL GP</t>
  </si>
  <si>
    <t>1014</t>
  </si>
  <si>
    <t>ZNCL5315</t>
  </si>
  <si>
    <t>MOHAMED MONTASSAR BHOURY</t>
  </si>
  <si>
    <t>1016</t>
  </si>
  <si>
    <t>MHHG4776</t>
  </si>
  <si>
    <t>THOURAYA HABLANI</t>
  </si>
  <si>
    <t>1017</t>
  </si>
  <si>
    <t>GXLP0264</t>
  </si>
  <si>
    <t>JIHENE BELLAMINE</t>
  </si>
  <si>
    <t>1018</t>
  </si>
  <si>
    <t>LZWS2910</t>
  </si>
  <si>
    <t>RIM TRABELSI</t>
  </si>
  <si>
    <t>Responsable d’équipe Commerciale ADSL GP</t>
  </si>
  <si>
    <t>1019</t>
  </si>
  <si>
    <t>PBHW3676</t>
  </si>
  <si>
    <t>NESRINE BEN SAID</t>
  </si>
  <si>
    <t>1020</t>
  </si>
  <si>
    <t>VRVV8049</t>
  </si>
  <si>
    <t>FATMA MHISSEN</t>
  </si>
  <si>
    <t>Responsable d'équipe activation et delivery Data</t>
  </si>
  <si>
    <t>1025</t>
  </si>
  <si>
    <t>TMDL9144</t>
  </si>
  <si>
    <t>MONDHER ALOUI</t>
  </si>
  <si>
    <t>Recouvreur Terrain GP</t>
  </si>
  <si>
    <t>1027</t>
  </si>
  <si>
    <t>QWHP8712</t>
  </si>
  <si>
    <t>MARIEM LTAIEF</t>
  </si>
  <si>
    <t>1028</t>
  </si>
  <si>
    <t>KPLW4201</t>
  </si>
  <si>
    <t>MOUNA KHABBOUCHI</t>
  </si>
  <si>
    <t>1029</t>
  </si>
  <si>
    <t>NPWB5967</t>
  </si>
  <si>
    <t>ZEINEB MLAYHI</t>
  </si>
  <si>
    <t>1030</t>
  </si>
  <si>
    <t>WXSN6389</t>
  </si>
  <si>
    <t>ONS FRADJ</t>
  </si>
  <si>
    <t>1031</t>
  </si>
  <si>
    <t>BJCV4318</t>
  </si>
  <si>
    <t>AROUA MANSOURI</t>
  </si>
  <si>
    <t>Chargée activation et delivery mobile</t>
  </si>
  <si>
    <t>1032</t>
  </si>
  <si>
    <t>FJNZ6073</t>
  </si>
  <si>
    <t>SAMIA ESSID</t>
  </si>
  <si>
    <t>Assistant(e) Juridique</t>
  </si>
  <si>
    <t>1033</t>
  </si>
  <si>
    <t>ZBQJ2662</t>
  </si>
  <si>
    <t>MAHMOUD BEN HMIDA</t>
  </si>
  <si>
    <t>1034</t>
  </si>
  <si>
    <t>SRTQ8141</t>
  </si>
  <si>
    <t>SAHBI Houcem Eddine TOUMI</t>
  </si>
  <si>
    <t>1035</t>
  </si>
  <si>
    <t>LSVD1013</t>
  </si>
  <si>
    <t>SOFIENE NASRAOUI</t>
  </si>
  <si>
    <t>1036</t>
  </si>
  <si>
    <t>SCRQ1435</t>
  </si>
  <si>
    <t>JILENI BEN ABID</t>
  </si>
  <si>
    <t>Spécialiste comptabilité réconciliation bancaire</t>
  </si>
  <si>
    <t>1037</t>
  </si>
  <si>
    <t>XCDT3191</t>
  </si>
  <si>
    <t>ADEL HABLI</t>
  </si>
  <si>
    <t>1038</t>
  </si>
  <si>
    <t>RTHC9680</t>
  </si>
  <si>
    <t>BOUTHEINA HENDI</t>
  </si>
  <si>
    <t>1039</t>
  </si>
  <si>
    <t>KVJP2541</t>
  </si>
  <si>
    <t>AMIRA BRAHEM</t>
  </si>
  <si>
    <t>Analyste performance</t>
  </si>
  <si>
    <t>1040</t>
  </si>
  <si>
    <t>CVFK2081</t>
  </si>
  <si>
    <t>SONDES NOURI</t>
  </si>
  <si>
    <t>Analyste Fraude</t>
  </si>
  <si>
    <t>1041</t>
  </si>
  <si>
    <t>QFRR7581</t>
  </si>
  <si>
    <t>SOUROUR NOURI</t>
  </si>
  <si>
    <t>1043</t>
  </si>
  <si>
    <t>LQVV5069</t>
  </si>
  <si>
    <t>AHLEM HABLANI</t>
  </si>
  <si>
    <t>Chargé Client Rétention GP</t>
  </si>
  <si>
    <t>1044</t>
  </si>
  <si>
    <t>GXCZ5275</t>
  </si>
  <si>
    <t>SAOUSSEN BEN ZBIR</t>
  </si>
  <si>
    <t>1048</t>
  </si>
  <si>
    <t>QSQZ4786</t>
  </si>
  <si>
    <t>AMINE MRABET</t>
  </si>
  <si>
    <t>Chef de Service Support Core</t>
  </si>
  <si>
    <t>1049</t>
  </si>
  <si>
    <t>GLNL7055</t>
  </si>
  <si>
    <t>FOUED EL MANCHOUL</t>
  </si>
  <si>
    <t>Chef de Service Production B2B</t>
  </si>
  <si>
    <t>1050</t>
  </si>
  <si>
    <t>VTGK4977</t>
  </si>
  <si>
    <t>WALID DEBIRA</t>
  </si>
  <si>
    <t>1053</t>
  </si>
  <si>
    <t>PXDS0278</t>
  </si>
  <si>
    <t>ZAKARIA SEKRAFI</t>
  </si>
  <si>
    <t>1054</t>
  </si>
  <si>
    <t>NXDW3357</t>
  </si>
  <si>
    <t>SARRA TABBASSI</t>
  </si>
  <si>
    <t>1055</t>
  </si>
  <si>
    <t>QVQH9730</t>
  </si>
  <si>
    <t>HAIFA ZAMMOURI</t>
  </si>
  <si>
    <t>1057</t>
  </si>
  <si>
    <t>VSCD5442</t>
  </si>
  <si>
    <t>NADIA MESSAOUD</t>
  </si>
  <si>
    <t>1058</t>
  </si>
  <si>
    <t>RFGC1931</t>
  </si>
  <si>
    <t>Monia MADHI</t>
  </si>
  <si>
    <t>1059</t>
  </si>
  <si>
    <t>RNTQ2225</t>
  </si>
  <si>
    <t>MYRIAME BEN HASSINE</t>
  </si>
  <si>
    <t>1060</t>
  </si>
  <si>
    <t>CVPQ3966</t>
  </si>
  <si>
    <t>HOUSSEM EDDINE AMEUR</t>
  </si>
  <si>
    <t>1062</t>
  </si>
  <si>
    <t>XFKB0584</t>
  </si>
  <si>
    <t>EMNA CHERIF</t>
  </si>
  <si>
    <t>1063</t>
  </si>
  <si>
    <t>ZQHJ9821</t>
  </si>
  <si>
    <t>KHAOULA HMILA</t>
  </si>
  <si>
    <t>1064</t>
  </si>
  <si>
    <t>WBMQ8297</t>
  </si>
  <si>
    <t>FATMA OUADA</t>
  </si>
  <si>
    <t>1065</t>
  </si>
  <si>
    <t>HRSR1375</t>
  </si>
  <si>
    <t>IKHLAS SAOUDI</t>
  </si>
  <si>
    <t>1066</t>
  </si>
  <si>
    <t>JJVG7500</t>
  </si>
  <si>
    <t>SABRINE DHAHRI</t>
  </si>
  <si>
    <t>1067</t>
  </si>
  <si>
    <t>GZDZ3233</t>
  </si>
  <si>
    <t>MOHAMED JABLAOUI</t>
  </si>
  <si>
    <t>Ingénieur IN</t>
  </si>
  <si>
    <t>1068</t>
  </si>
  <si>
    <t>FJRP4626</t>
  </si>
  <si>
    <t>TAREK AZZOUZI</t>
  </si>
  <si>
    <t>1069</t>
  </si>
  <si>
    <t>GMGN1906</t>
  </si>
  <si>
    <t>BADII BENZARTI</t>
  </si>
  <si>
    <t>1070</t>
  </si>
  <si>
    <t>FQCS3495</t>
  </si>
  <si>
    <t>KHOULOUD ABDELAZIZ</t>
  </si>
  <si>
    <t>1071</t>
  </si>
  <si>
    <t>FWLW9382</t>
  </si>
  <si>
    <t>JIHEN LAGHLOUGH</t>
  </si>
  <si>
    <t>1072</t>
  </si>
  <si>
    <t>TMQP3686</t>
  </si>
  <si>
    <t>NESRINE MBAREK</t>
  </si>
  <si>
    <t>Dép Com</t>
  </si>
  <si>
    <t>responsable communication externe</t>
  </si>
  <si>
    <t>1075</t>
  </si>
  <si>
    <t>MHZR7744</t>
  </si>
  <si>
    <t>MOHAMED JOUINI</t>
  </si>
  <si>
    <t>1076</t>
  </si>
  <si>
    <t>NLCJ8566</t>
  </si>
  <si>
    <t>SOFIEN AOUICHI</t>
  </si>
  <si>
    <t>Ingénieur Support Transport IP</t>
  </si>
  <si>
    <t>1077</t>
  </si>
  <si>
    <t>HPHG9846</t>
  </si>
  <si>
    <t>BILEL SLIMENE</t>
  </si>
  <si>
    <t>1078</t>
  </si>
  <si>
    <t>XMCS4342</t>
  </si>
  <si>
    <t>MOHAMED MAZGOU</t>
  </si>
  <si>
    <t>1080</t>
  </si>
  <si>
    <t>SJLQ5310</t>
  </si>
  <si>
    <t>MOHAMED ACHRAF GALBI</t>
  </si>
  <si>
    <t>1081</t>
  </si>
  <si>
    <t>JWRS2602</t>
  </si>
  <si>
    <t>MOHAMED YANGUI</t>
  </si>
  <si>
    <t>1082</t>
  </si>
  <si>
    <t>LCXR3850</t>
  </si>
  <si>
    <t>AMINE AOUN</t>
  </si>
  <si>
    <t>1083</t>
  </si>
  <si>
    <t>XZRQ1789</t>
  </si>
  <si>
    <t>WALID BEN SALAH</t>
  </si>
  <si>
    <t>Ingénieur Support Réseaux et Site MSC</t>
  </si>
  <si>
    <t>1084</t>
  </si>
  <si>
    <t>TRFR6037</t>
  </si>
  <si>
    <t>ISSAM EDDINE AYOUB</t>
  </si>
  <si>
    <t>1091</t>
  </si>
  <si>
    <t>FNRC6742</t>
  </si>
  <si>
    <t>WALID KHARBOUCH</t>
  </si>
  <si>
    <t>Chef de Service SMC Front Office</t>
  </si>
  <si>
    <t>1092</t>
  </si>
  <si>
    <t>FGMF7309</t>
  </si>
  <si>
    <t>MOUNIR MELLITI</t>
  </si>
  <si>
    <t>Chef de département Data et IA Factory</t>
  </si>
  <si>
    <t>1093</t>
  </si>
  <si>
    <t>SQBN1809</t>
  </si>
  <si>
    <t>HAMDI FRIKHA</t>
  </si>
  <si>
    <t>1103</t>
  </si>
  <si>
    <t>ZZJQ6848</t>
  </si>
  <si>
    <t>MOHAMED SHABOU</t>
  </si>
  <si>
    <t>Chef de Service projets transverses</t>
  </si>
  <si>
    <t>1104</t>
  </si>
  <si>
    <t>FRWQ1121</t>
  </si>
  <si>
    <t>MANEL Fehmi</t>
  </si>
  <si>
    <t xml:space="preserve">Responsable pôle avant vente et qualité </t>
  </si>
  <si>
    <t>1110</t>
  </si>
  <si>
    <t>QSZP7955</t>
  </si>
  <si>
    <t>ABDERRAHMEN EL MEJID</t>
  </si>
  <si>
    <t>1111</t>
  </si>
  <si>
    <t>HTVL7494</t>
  </si>
  <si>
    <t>ZOUHAIR BESSAOUD</t>
  </si>
  <si>
    <t>1113</t>
  </si>
  <si>
    <t>GDMS8366</t>
  </si>
  <si>
    <t>WISSEM BEN HASSINE</t>
  </si>
  <si>
    <t>1118</t>
  </si>
  <si>
    <t>SHHT7041</t>
  </si>
  <si>
    <t>MOHAMED FRIDHI</t>
  </si>
  <si>
    <t>Chef de Département SC Performance Management</t>
  </si>
  <si>
    <t>1124</t>
  </si>
  <si>
    <t>BJXL8030</t>
  </si>
  <si>
    <t>WISSEM MADHI</t>
  </si>
  <si>
    <t>Technicien Support entreprise</t>
  </si>
  <si>
    <t>1126</t>
  </si>
  <si>
    <t>WKGK9235</t>
  </si>
  <si>
    <t>HAYKEL SMAALI</t>
  </si>
  <si>
    <t>Technicien Support Transmission FH et Optique</t>
  </si>
  <si>
    <t>1127</t>
  </si>
  <si>
    <t>CLQN1981</t>
  </si>
  <si>
    <t>SEIFEDDINE DRIDI</t>
  </si>
  <si>
    <t>Chef de Service Intervention Multiservices</t>
  </si>
  <si>
    <t>1128</t>
  </si>
  <si>
    <t>HLCR3646</t>
  </si>
  <si>
    <t>AZMI ZNEIDI</t>
  </si>
  <si>
    <t>1142</t>
  </si>
  <si>
    <t>VRQJ3524</t>
  </si>
  <si>
    <t>ILHEM HOUIMLI EPOUSE AZZABI</t>
  </si>
  <si>
    <t>1152</t>
  </si>
  <si>
    <t>DSHZ4513</t>
  </si>
  <si>
    <t>Fatma KABAILI</t>
  </si>
  <si>
    <t>1153</t>
  </si>
  <si>
    <t>FDFZ7807</t>
  </si>
  <si>
    <t>ANIS HLES</t>
  </si>
  <si>
    <t>1156</t>
  </si>
  <si>
    <t>RFHS0542</t>
  </si>
  <si>
    <t>HEDI RIAHI</t>
  </si>
  <si>
    <t>1157</t>
  </si>
  <si>
    <t>VPQB8670</t>
  </si>
  <si>
    <t>MALEK DAOUD</t>
  </si>
  <si>
    <t>1158</t>
  </si>
  <si>
    <t>SABS6077</t>
  </si>
  <si>
    <t>HATEM MASMOUDI</t>
  </si>
  <si>
    <t>Directeur Général Adjoint</t>
  </si>
  <si>
    <t>1159</t>
  </si>
  <si>
    <t>TXHK9442</t>
  </si>
  <si>
    <t>anis araari</t>
  </si>
  <si>
    <t>1163</t>
  </si>
  <si>
    <t>VSTQ2050</t>
  </si>
  <si>
    <t>AHLEM BEN FRADJ</t>
  </si>
  <si>
    <t>1166</t>
  </si>
  <si>
    <t>WVMS6911</t>
  </si>
  <si>
    <t>OUSSEMA BEN MARZOUK</t>
  </si>
  <si>
    <t>ingénieur projets déploiement Telecom</t>
  </si>
  <si>
    <t>1167</t>
  </si>
  <si>
    <t>CMBS1283</t>
  </si>
  <si>
    <t>IMEN KHEMIRI</t>
  </si>
  <si>
    <t>1169</t>
  </si>
  <si>
    <t>KWPN8655</t>
  </si>
  <si>
    <t>AHMED TRABELSI</t>
  </si>
  <si>
    <t>1170</t>
  </si>
  <si>
    <t>LHSF4262</t>
  </si>
  <si>
    <t>BILEL GRIGUICH</t>
  </si>
  <si>
    <t>1173</t>
  </si>
  <si>
    <t>QRVQ6889</t>
  </si>
  <si>
    <t>SARRA BEN FADHL</t>
  </si>
  <si>
    <t>Responsable projets transverses</t>
  </si>
  <si>
    <t>1175</t>
  </si>
  <si>
    <t>CMLC1042</t>
  </si>
  <si>
    <t>Mohamed Ali Nasri</t>
  </si>
  <si>
    <t>responsable trade</t>
  </si>
  <si>
    <t>1177</t>
  </si>
  <si>
    <t>ZNXS6659</t>
  </si>
  <si>
    <t>MARIEM CHAOUACHI</t>
  </si>
  <si>
    <t>Responsable Pôle Workforce Planning et Développement des com</t>
  </si>
  <si>
    <t>1181</t>
  </si>
  <si>
    <t>VZXN8684</t>
  </si>
  <si>
    <t>Elyes TNANI</t>
  </si>
  <si>
    <t>1183</t>
  </si>
  <si>
    <t>CBKN6240</t>
  </si>
  <si>
    <t>Abdelmajid ELLOUMI</t>
  </si>
  <si>
    <t>Chauffeur coursier</t>
  </si>
  <si>
    <t>1184</t>
  </si>
  <si>
    <t>PSTZ8023</t>
  </si>
  <si>
    <t>CHOKRI BEN ABDALLAH</t>
  </si>
  <si>
    <t>Directeur Ingénierie Réseaux et Services</t>
  </si>
  <si>
    <t>1185</t>
  </si>
  <si>
    <t>QCMF3755</t>
  </si>
  <si>
    <t>Riadh BEN ABDALLAH</t>
  </si>
  <si>
    <t>Chef de Département  SI Support et Poste de travail</t>
  </si>
  <si>
    <t>1193</t>
  </si>
  <si>
    <t>LJNN7478</t>
  </si>
  <si>
    <t>ANIS BENNOUR</t>
  </si>
  <si>
    <t>Chef de service facturation et taxes</t>
  </si>
  <si>
    <t>1197</t>
  </si>
  <si>
    <t>HKTM9673</t>
  </si>
  <si>
    <t>Faten FAYACH</t>
  </si>
  <si>
    <t>1198</t>
  </si>
  <si>
    <t>NBJM4955</t>
  </si>
  <si>
    <t>Fatma El Arbi</t>
  </si>
  <si>
    <t>1199</t>
  </si>
  <si>
    <t>FCDH4595</t>
  </si>
  <si>
    <t>Ahlem AMDOUNI</t>
  </si>
  <si>
    <t>Spécialiste Développement RH</t>
  </si>
  <si>
    <t>1202</t>
  </si>
  <si>
    <t>CPZK3835</t>
  </si>
  <si>
    <t>Nabil ALOUI</t>
  </si>
  <si>
    <t>1204</t>
  </si>
  <si>
    <t>HJGQ4258</t>
  </si>
  <si>
    <t>Aymen BOUROUIS</t>
  </si>
  <si>
    <t>1205</t>
  </si>
  <si>
    <t>MJRT6803</t>
  </si>
  <si>
    <t>Nadia BEN ABDALLAH</t>
  </si>
  <si>
    <t>Chargé(e) d'activité prestataire</t>
  </si>
  <si>
    <t>1206</t>
  </si>
  <si>
    <t>NDRB2817</t>
  </si>
  <si>
    <t>Naziha YAHIAOUI</t>
  </si>
  <si>
    <t xml:space="preserve">Analyste facturation et interconnexion </t>
  </si>
  <si>
    <t>1207</t>
  </si>
  <si>
    <t>DMFJ6317</t>
  </si>
  <si>
    <t>Mohamed Anouer LTAIEF</t>
  </si>
  <si>
    <t>1247</t>
  </si>
  <si>
    <t>VMSZ5864</t>
  </si>
  <si>
    <t>ANIS CHOUCHENE</t>
  </si>
  <si>
    <t>1248</t>
  </si>
  <si>
    <t>KVGH9264</t>
  </si>
  <si>
    <t>WIDED HANNAFI</t>
  </si>
  <si>
    <t>1250</t>
  </si>
  <si>
    <t>PGPL4204</t>
  </si>
  <si>
    <t>NADIA BEJI</t>
  </si>
  <si>
    <t>1251</t>
  </si>
  <si>
    <t>RQRC0910</t>
  </si>
  <si>
    <t>KHAWLA BARBOUCHE</t>
  </si>
  <si>
    <t>1252</t>
  </si>
  <si>
    <t>JZLB7733</t>
  </si>
  <si>
    <t>SABRINE BEN ALI</t>
  </si>
  <si>
    <t>1255</t>
  </si>
  <si>
    <t>RKZQ1005</t>
  </si>
  <si>
    <t>HATEM HAFDHI</t>
  </si>
  <si>
    <t>Responsable Support Premium</t>
  </si>
  <si>
    <t>1256</t>
  </si>
  <si>
    <t>VLLT3761</t>
  </si>
  <si>
    <t>NAWFEL SALHI</t>
  </si>
  <si>
    <t>1257</t>
  </si>
  <si>
    <t>NFBS3878</t>
  </si>
  <si>
    <t>SLIM GHARBI</t>
  </si>
  <si>
    <t>Responsable Géomarketing</t>
  </si>
  <si>
    <t>1265</t>
  </si>
  <si>
    <t>QCHX7257</t>
  </si>
  <si>
    <t>MOUSSA AL AIFI</t>
  </si>
  <si>
    <t>1267</t>
  </si>
  <si>
    <t>RWTF1775</t>
  </si>
  <si>
    <t>KHALED CHEBIL</t>
  </si>
  <si>
    <t>1268</t>
  </si>
  <si>
    <t>JXPB1215</t>
  </si>
  <si>
    <t>ANIS MELKI</t>
  </si>
  <si>
    <t>1269</t>
  </si>
  <si>
    <t>BPNR5481</t>
  </si>
  <si>
    <t>EMNA TLILI</t>
  </si>
  <si>
    <t>1282</t>
  </si>
  <si>
    <t>JFXH9614</t>
  </si>
  <si>
    <t>HANA MOKDAD</t>
  </si>
  <si>
    <t>1283</t>
  </si>
  <si>
    <t>BXXL0146</t>
  </si>
  <si>
    <t>WAFA RABEH</t>
  </si>
  <si>
    <t>Chargée client digital et communauté</t>
  </si>
  <si>
    <t>1286</t>
  </si>
  <si>
    <t>GNFV2714</t>
  </si>
  <si>
    <t>Anissa RAHAL</t>
  </si>
  <si>
    <t>1291</t>
  </si>
  <si>
    <t>XJGZ0170</t>
  </si>
  <si>
    <t>Khaled MEJRI</t>
  </si>
  <si>
    <t>Chef de Service vente segment pro</t>
  </si>
  <si>
    <t>1292</t>
  </si>
  <si>
    <t>HQPS3604</t>
  </si>
  <si>
    <t>Rim SBOUI</t>
  </si>
  <si>
    <t>HR Business Partner</t>
  </si>
  <si>
    <t>1294</t>
  </si>
  <si>
    <t>LJMF3508</t>
  </si>
  <si>
    <t>Faten BOUZID</t>
  </si>
  <si>
    <t>1296</t>
  </si>
  <si>
    <t>JGTN4512</t>
  </si>
  <si>
    <t>Hejer HMILA</t>
  </si>
  <si>
    <t>1297</t>
  </si>
  <si>
    <t>MGXX5230</t>
  </si>
  <si>
    <t>INES BEN HAMDA</t>
  </si>
  <si>
    <t xml:space="preserve">Analyste marketing </t>
  </si>
  <si>
    <t>1300</t>
  </si>
  <si>
    <t>ZTQM1009</t>
  </si>
  <si>
    <t>Karim ACHOUR</t>
  </si>
  <si>
    <t>1301</t>
  </si>
  <si>
    <t>FQGF6818</t>
  </si>
  <si>
    <t>Mohamed SLIMANE</t>
  </si>
  <si>
    <t>1303</t>
  </si>
  <si>
    <t>GFRV1647</t>
  </si>
  <si>
    <t>Hichem OUANNAS</t>
  </si>
  <si>
    <t>1305</t>
  </si>
  <si>
    <t>SFLF1141</t>
  </si>
  <si>
    <t>Maher ZEGHAL</t>
  </si>
  <si>
    <t>Responsable régional</t>
  </si>
  <si>
    <t>1306</t>
  </si>
  <si>
    <t>SMQB6009</t>
  </si>
  <si>
    <t>Aymen SFAR ZAOUI</t>
  </si>
  <si>
    <t>1324</t>
  </si>
  <si>
    <t>GHKF7526</t>
  </si>
  <si>
    <t>Riadh BAHRI</t>
  </si>
  <si>
    <t>1327</t>
  </si>
  <si>
    <t>TVCC8246</t>
  </si>
  <si>
    <t>MYRIAM BENNEJI</t>
  </si>
  <si>
    <t>Chef de Service Budget et planification</t>
  </si>
  <si>
    <t>1328</t>
  </si>
  <si>
    <t>QDZZ9896</t>
  </si>
  <si>
    <t>Seifeddine ELFALLEH</t>
  </si>
  <si>
    <t>Chef de Service contrôle de gestion B2B</t>
  </si>
  <si>
    <t>1335</t>
  </si>
  <si>
    <t>JDHP3909</t>
  </si>
  <si>
    <t>Khaled RBII</t>
  </si>
  <si>
    <t>1336</t>
  </si>
  <si>
    <t>WBJP9165</t>
  </si>
  <si>
    <t>Mokhles BAKIRA</t>
  </si>
  <si>
    <t>1337</t>
  </si>
  <si>
    <t>PNBM8407</t>
  </si>
  <si>
    <t>Hala CHEBBI</t>
  </si>
  <si>
    <t>1339</t>
  </si>
  <si>
    <t>STDQ0606</t>
  </si>
  <si>
    <t>Mohamed El Hedi JERIDI</t>
  </si>
  <si>
    <t>1340</t>
  </si>
  <si>
    <t>QDBD6214</t>
  </si>
  <si>
    <t>Walid MOURADI</t>
  </si>
  <si>
    <t>1341</t>
  </si>
  <si>
    <t>FVDQ8544</t>
  </si>
  <si>
    <t>Faouzi CHEIKH ALI</t>
  </si>
  <si>
    <t>1343</t>
  </si>
  <si>
    <t>MGFJ8084</t>
  </si>
  <si>
    <t>ALI REKIK</t>
  </si>
  <si>
    <t>1352</t>
  </si>
  <si>
    <t>KCFQ0066</t>
  </si>
  <si>
    <t>Mohamed Amine MESSAOUDI</t>
  </si>
  <si>
    <t>1353</t>
  </si>
  <si>
    <t>SKDF4004</t>
  </si>
  <si>
    <t>Dhouha BRINSI</t>
  </si>
  <si>
    <t>1354</t>
  </si>
  <si>
    <t>MLVW4424</t>
  </si>
  <si>
    <t>Hafedh REZGUI</t>
  </si>
  <si>
    <t>1365</t>
  </si>
  <si>
    <t>HLXK3879</t>
  </si>
  <si>
    <t>Racha BEN ROMDHANE</t>
  </si>
  <si>
    <t>Spécialiste Management des compétences et Développement RH</t>
  </si>
  <si>
    <t>1366</t>
  </si>
  <si>
    <t>PRLW9098</t>
  </si>
  <si>
    <t>Dhekra BEN FATHALLAH</t>
  </si>
  <si>
    <t>Chargé facturation et budget</t>
  </si>
  <si>
    <t>1367</t>
  </si>
  <si>
    <t>MFVJ6501</t>
  </si>
  <si>
    <t>Amel ZAKRAOUI</t>
  </si>
  <si>
    <t>Responsable d'équipe support commercial BO B2B</t>
  </si>
  <si>
    <t>1368</t>
  </si>
  <si>
    <t>KCHF9279</t>
  </si>
  <si>
    <t>Bilel OUNI</t>
  </si>
  <si>
    <t>1374</t>
  </si>
  <si>
    <t>DNGB7143</t>
  </si>
  <si>
    <t>Mehdi BAKLOUTI</t>
  </si>
  <si>
    <t>1391</t>
  </si>
  <si>
    <t>FZKQ4256</t>
  </si>
  <si>
    <t>Nouha TOUIHRI</t>
  </si>
  <si>
    <t>1402</t>
  </si>
  <si>
    <t>VLGS0360</t>
  </si>
  <si>
    <t>Anis BEN TOUMI</t>
  </si>
  <si>
    <t>responsable de transit</t>
  </si>
  <si>
    <t>1407</t>
  </si>
  <si>
    <t>QCMF4999</t>
  </si>
  <si>
    <t>Youssef BESCHAOUCH</t>
  </si>
  <si>
    <t>Directeur Relations Extérieure RSE et Innovation</t>
  </si>
  <si>
    <t>1412</t>
  </si>
  <si>
    <t>FTBZ9728</t>
  </si>
  <si>
    <t>Imed CHARFI</t>
  </si>
  <si>
    <t>1414</t>
  </si>
  <si>
    <t>XSGT9506</t>
  </si>
  <si>
    <t>Mohamed TRABELSI</t>
  </si>
  <si>
    <t>1415</t>
  </si>
  <si>
    <t>LLND6763</t>
  </si>
  <si>
    <t>Hamadi Moheddine NEMISSI</t>
  </si>
  <si>
    <t>1416</t>
  </si>
  <si>
    <t>RHPW8002</t>
  </si>
  <si>
    <t>Abderrahmen MNEFGUI</t>
  </si>
  <si>
    <t>Développeur point de vente</t>
  </si>
  <si>
    <t>1417</t>
  </si>
  <si>
    <t>XCSW3195</t>
  </si>
  <si>
    <t>Meriam CHATEUR</t>
  </si>
  <si>
    <t>1420</t>
  </si>
  <si>
    <t>SPVS9119</t>
  </si>
  <si>
    <t>Fayçal NEJI</t>
  </si>
  <si>
    <t>Technicien LOS</t>
  </si>
  <si>
    <t>1431</t>
  </si>
  <si>
    <t>DMMS9902</t>
  </si>
  <si>
    <t>Maher HAMMAMI</t>
  </si>
  <si>
    <t>1432</t>
  </si>
  <si>
    <t>KRFS9138</t>
  </si>
  <si>
    <t>Mohamed Khalil CHEIKHROUHOU</t>
  </si>
  <si>
    <t>1433</t>
  </si>
  <si>
    <t>LWMN1690</t>
  </si>
  <si>
    <t>Antar OUELD ELHADJ</t>
  </si>
  <si>
    <t xml:space="preserve">Ingénieur Support Transmission FH &amp; Optique </t>
  </si>
  <si>
    <t>1434</t>
  </si>
  <si>
    <t>FJPV0930</t>
  </si>
  <si>
    <t>Insaf BOUZAIANE</t>
  </si>
  <si>
    <t>Chargé Client Digital</t>
  </si>
  <si>
    <t>1435</t>
  </si>
  <si>
    <t>PSJJ9999</t>
  </si>
  <si>
    <t>Rim DRISSI</t>
  </si>
  <si>
    <t xml:space="preserve">Technicien Mobile GP </t>
  </si>
  <si>
    <t>1436</t>
  </si>
  <si>
    <t>FPHH6336</t>
  </si>
  <si>
    <t>Imen BOUANEN</t>
  </si>
  <si>
    <t>1437</t>
  </si>
  <si>
    <t>VVMT1804</t>
  </si>
  <si>
    <t>Saloua BEN MOHAMED</t>
  </si>
  <si>
    <t>1438</t>
  </si>
  <si>
    <t>DPRS9792</t>
  </si>
  <si>
    <t>Mahrane SILLINI</t>
  </si>
  <si>
    <t>1440</t>
  </si>
  <si>
    <t>MMGS5829</t>
  </si>
  <si>
    <t>Radhouan BEN MBAREK</t>
  </si>
  <si>
    <t>1441</t>
  </si>
  <si>
    <t>BZRM7909</t>
  </si>
  <si>
    <t>Tarek NAIMI</t>
  </si>
  <si>
    <t>1466</t>
  </si>
  <si>
    <t>RBPZ2542</t>
  </si>
  <si>
    <t>Mohamed Ali JRAD</t>
  </si>
  <si>
    <t>1480</t>
  </si>
  <si>
    <t>KMNC8965</t>
  </si>
  <si>
    <t>Tarek BOUZAYEN</t>
  </si>
  <si>
    <t>Chef de Service core voix et signalisation</t>
  </si>
  <si>
    <t>1484</t>
  </si>
  <si>
    <t>SRKC3317</t>
  </si>
  <si>
    <t>Nesrine BOUCHOUICHA</t>
  </si>
  <si>
    <t>Chef de Produit My Orange</t>
  </si>
  <si>
    <t>1485</t>
  </si>
  <si>
    <t>BTVH7903</t>
  </si>
  <si>
    <t>Sonia LABIDI</t>
  </si>
  <si>
    <t>Responsable Audit RH et Suivi Budget</t>
  </si>
  <si>
    <t>1491</t>
  </si>
  <si>
    <t>GKFB5771</t>
  </si>
  <si>
    <t>Imen BEN JIDA</t>
  </si>
  <si>
    <t>1498</t>
  </si>
  <si>
    <t>GKZM8903</t>
  </si>
  <si>
    <t>Skander Masmoudi</t>
  </si>
  <si>
    <t>Responsable Commercial Grands Comptes</t>
  </si>
  <si>
    <t>1502</t>
  </si>
  <si>
    <t>SJSV7493</t>
  </si>
  <si>
    <t>Abdallah BOUGHANMI</t>
  </si>
  <si>
    <t>Chauffeur Recouvreur</t>
  </si>
  <si>
    <t>1511</t>
  </si>
  <si>
    <t>JMHD1589</t>
  </si>
  <si>
    <t>Senda JELASSI</t>
  </si>
  <si>
    <t>1514</t>
  </si>
  <si>
    <t>MJHC1542</t>
  </si>
  <si>
    <t>Bechir KAOUEL</t>
  </si>
  <si>
    <t>1518</t>
  </si>
  <si>
    <t>PQVF1934</t>
  </si>
  <si>
    <t>Bilel SOUSSI</t>
  </si>
  <si>
    <t>1519</t>
  </si>
  <si>
    <t>DQLW9245</t>
  </si>
  <si>
    <t>Salma TRABELSI</t>
  </si>
  <si>
    <t>1520</t>
  </si>
  <si>
    <t>MHNC1688</t>
  </si>
  <si>
    <t>Amina GHORBEL</t>
  </si>
  <si>
    <t>1522</t>
  </si>
  <si>
    <t>PGTP6660</t>
  </si>
  <si>
    <t>Rafik BOUZGUENDA</t>
  </si>
  <si>
    <t>1524</t>
  </si>
  <si>
    <t>ZCPG2382</t>
  </si>
  <si>
    <t>Fatma KMIHA</t>
  </si>
  <si>
    <t>1525</t>
  </si>
  <si>
    <t>HXVS9314</t>
  </si>
  <si>
    <t>Amel RKHIS</t>
  </si>
  <si>
    <t>1526</t>
  </si>
  <si>
    <t>DWFF8974</t>
  </si>
  <si>
    <t>Achraf GOUIDER</t>
  </si>
  <si>
    <t>1527</t>
  </si>
  <si>
    <t>FHWC5656</t>
  </si>
  <si>
    <t>Ibtissem TOUIL</t>
  </si>
  <si>
    <t>1528</t>
  </si>
  <si>
    <t>ZJNP7512</t>
  </si>
  <si>
    <t>Siwar Zouiten</t>
  </si>
  <si>
    <t>1531</t>
  </si>
  <si>
    <t>NDPQ4738</t>
  </si>
  <si>
    <t>Mohamed TRIKI</t>
  </si>
  <si>
    <t>1553</t>
  </si>
  <si>
    <t>PFNG4348</t>
  </si>
  <si>
    <t>Ines HAMADI</t>
  </si>
  <si>
    <t>Chef de Département Communication Externe</t>
  </si>
  <si>
    <t>1556</t>
  </si>
  <si>
    <t>PBML2488</t>
  </si>
  <si>
    <t>Anis BOUTAGHANE</t>
  </si>
  <si>
    <t>1557</t>
  </si>
  <si>
    <t>RSLV1130</t>
  </si>
  <si>
    <t>ISSAM EDDINE JABOU</t>
  </si>
  <si>
    <t>1580</t>
  </si>
  <si>
    <t>TXXG4288</t>
  </si>
  <si>
    <t>ANIS SANSA</t>
  </si>
  <si>
    <t>Chef de Service Support Entreprises</t>
  </si>
  <si>
    <t>1581</t>
  </si>
  <si>
    <t>RNTX2895</t>
  </si>
  <si>
    <t>Rima ZINA</t>
  </si>
  <si>
    <t>1585</t>
  </si>
  <si>
    <t>GVGV1688</t>
  </si>
  <si>
    <t>Ikram FILALI</t>
  </si>
  <si>
    <t>1589</t>
  </si>
  <si>
    <t>SRNS0144</t>
  </si>
  <si>
    <t>Mohamed Sahbi TAAMALLAH</t>
  </si>
  <si>
    <t>Chef de Service Réglementation et Concurrence</t>
  </si>
  <si>
    <t>1590</t>
  </si>
  <si>
    <t>FGBD3140</t>
  </si>
  <si>
    <t>Taher EL HAFI</t>
  </si>
  <si>
    <t>Chef de Service event Trade  &amp; concours des ventes</t>
  </si>
  <si>
    <t>1642</t>
  </si>
  <si>
    <t>QGJL0437</t>
  </si>
  <si>
    <t>IMEN GOUASMIA</t>
  </si>
  <si>
    <t>1644</t>
  </si>
  <si>
    <t>FZSQ1099</t>
  </si>
  <si>
    <t>Idriss CHHIMA</t>
  </si>
  <si>
    <t>Chef de projet VAS</t>
  </si>
  <si>
    <t>1645</t>
  </si>
  <si>
    <t>GZZK3940</t>
  </si>
  <si>
    <t>Badreddine SAIDI</t>
  </si>
  <si>
    <t>Responsable magasin technique</t>
  </si>
  <si>
    <t>1675</t>
  </si>
  <si>
    <t>LMTN5074</t>
  </si>
  <si>
    <t>Abir BEN MASSOUD</t>
  </si>
  <si>
    <t>Chargé approvisionnement et suivi de stock</t>
  </si>
  <si>
    <t>1676</t>
  </si>
  <si>
    <t>LDRZ6095</t>
  </si>
  <si>
    <t>Mohamed Ali BEN TAIEB</t>
  </si>
  <si>
    <t>1678</t>
  </si>
  <si>
    <t>LPQS4980</t>
  </si>
  <si>
    <t>Ahmed BEN MOHAMED</t>
  </si>
  <si>
    <t>1680</t>
  </si>
  <si>
    <t>FRSB6582</t>
  </si>
  <si>
    <t>Oussema OUESLATI</t>
  </si>
  <si>
    <t>Responsable des inventaires</t>
  </si>
  <si>
    <t>1705</t>
  </si>
  <si>
    <t>KXRP9651</t>
  </si>
  <si>
    <t>Omar ABDELALI</t>
  </si>
  <si>
    <t>Chef de Service dimensionnement et architecture réseau</t>
  </si>
  <si>
    <t>1706</t>
  </si>
  <si>
    <t>HGSR4715</t>
  </si>
  <si>
    <t>Ourabi BOUKADI</t>
  </si>
  <si>
    <t>1710</t>
  </si>
  <si>
    <t>PNFJ5010</t>
  </si>
  <si>
    <t>Mohamed BALTI</t>
  </si>
  <si>
    <t>1734</t>
  </si>
  <si>
    <t>RRHV6738</t>
  </si>
  <si>
    <t>Abdelkader GHIDAOUI</t>
  </si>
  <si>
    <t>Responsable exploitation Interfaces Réseau</t>
  </si>
  <si>
    <t>1749</t>
  </si>
  <si>
    <t>FXSL5640</t>
  </si>
  <si>
    <t>Yosra JLASSI</t>
  </si>
  <si>
    <t>Acheteur Marketing et Commercial</t>
  </si>
  <si>
    <t>1751</t>
  </si>
  <si>
    <t>JLRS9111</t>
  </si>
  <si>
    <t>Mouhamed BOUKADIDA</t>
  </si>
  <si>
    <t>1761</t>
  </si>
  <si>
    <t>TZXS7856</t>
  </si>
  <si>
    <t>Sabrine Charfeddine</t>
  </si>
  <si>
    <t>1762</t>
  </si>
  <si>
    <t>XZJX0821</t>
  </si>
  <si>
    <t>Bassem FERCHICHI</t>
  </si>
  <si>
    <t>1763</t>
  </si>
  <si>
    <t>ZSPC5704</t>
  </si>
  <si>
    <t>Nawres BOUALLAGUI</t>
  </si>
  <si>
    <t>1764</t>
  </si>
  <si>
    <t>BLPT2856</t>
  </si>
  <si>
    <t>Marouen CHRAIET</t>
  </si>
  <si>
    <t>Responsable processus et intégration offres et services</t>
  </si>
  <si>
    <t>1766</t>
  </si>
  <si>
    <t>HSGR9334</t>
  </si>
  <si>
    <t>Ichraf BEN ABBES</t>
  </si>
  <si>
    <t>1767</t>
  </si>
  <si>
    <t>FMWB3342</t>
  </si>
  <si>
    <t>Mahdi BEJAOUI</t>
  </si>
  <si>
    <t>1768</t>
  </si>
  <si>
    <t>SLST7997</t>
  </si>
  <si>
    <t>Karim DEKHIL</t>
  </si>
  <si>
    <t>1770</t>
  </si>
  <si>
    <t>WDHK6002</t>
  </si>
  <si>
    <t>Wided SOUID</t>
  </si>
  <si>
    <t>Chargé(e) facturation et budget</t>
  </si>
  <si>
    <t>1771</t>
  </si>
  <si>
    <t>BRFM0116</t>
  </si>
  <si>
    <t>Sabri BOUGHANMI</t>
  </si>
  <si>
    <t xml:space="preserve">Spécialiste communication externe </t>
  </si>
  <si>
    <t>1773</t>
  </si>
  <si>
    <t>KHXR5940</t>
  </si>
  <si>
    <t>Dorsaf Dridi</t>
  </si>
  <si>
    <t>1775</t>
  </si>
  <si>
    <t>TBDM1802</t>
  </si>
  <si>
    <t>Nader BEN ARFA</t>
  </si>
  <si>
    <t>Responsable d'équipe Digital</t>
  </si>
  <si>
    <t>1803</t>
  </si>
  <si>
    <t>NVTH6754</t>
  </si>
  <si>
    <t>CYRINE BOUSTANGI</t>
  </si>
  <si>
    <t>Coordinatrice merchandising</t>
  </si>
  <si>
    <t>1806</t>
  </si>
  <si>
    <t>QGPG5071</t>
  </si>
  <si>
    <t>Mehdi BEN AMARA</t>
  </si>
  <si>
    <t>1807</t>
  </si>
  <si>
    <t>JJKQ1225</t>
  </si>
  <si>
    <t>Maha KHOUJA</t>
  </si>
  <si>
    <t>Coordinatrice projets com’interne et engagement employeur</t>
  </si>
  <si>
    <t>1809</t>
  </si>
  <si>
    <t>GGPR4064</t>
  </si>
  <si>
    <t>Mohamed Ayoub JEMAI</t>
  </si>
  <si>
    <t>1810</t>
  </si>
  <si>
    <t>XBDK7704</t>
  </si>
  <si>
    <t>Donia KOURAICHI ép ZGAYA</t>
  </si>
  <si>
    <t>1842</t>
  </si>
  <si>
    <t>WXXB0131</t>
  </si>
  <si>
    <t>Mariem MAALLA</t>
  </si>
  <si>
    <t>Responsable partenariats et événements</t>
  </si>
  <si>
    <t>1843</t>
  </si>
  <si>
    <t>WFMW9443</t>
  </si>
  <si>
    <t>Mohamed Habib LATRACH</t>
  </si>
  <si>
    <t>Directeur des Ressources Humaines</t>
  </si>
  <si>
    <t>1850</t>
  </si>
  <si>
    <t>JBQD3310</t>
  </si>
  <si>
    <t>Tarek SHILI</t>
  </si>
  <si>
    <t>1876</t>
  </si>
  <si>
    <t>FRZM5013</t>
  </si>
  <si>
    <t>Marouen MENZLI</t>
  </si>
  <si>
    <t>1878</t>
  </si>
  <si>
    <t>MCDK7097</t>
  </si>
  <si>
    <t>Sameh BEN DHAOU</t>
  </si>
  <si>
    <t>Responsable rétention et simulation mobile postpaid</t>
  </si>
  <si>
    <t>1879</t>
  </si>
  <si>
    <t>KZNT8140</t>
  </si>
  <si>
    <t>Wided BEN GUERGUA</t>
  </si>
  <si>
    <t xml:space="preserve">Chef de Produit DATA et VOIP </t>
  </si>
  <si>
    <t>1880</t>
  </si>
  <si>
    <t>JZXB3787</t>
  </si>
  <si>
    <t>Olfa Handous ép MAHJOUB</t>
  </si>
  <si>
    <t>Directeur Financier</t>
  </si>
  <si>
    <t>1901</t>
  </si>
  <si>
    <t>VTKH7795</t>
  </si>
  <si>
    <t>Salma LAABIDI</t>
  </si>
  <si>
    <t>1902</t>
  </si>
  <si>
    <t>ZQXC0588</t>
  </si>
  <si>
    <t>Zarred Yosra</t>
  </si>
  <si>
    <t>Chef Projet Core Data</t>
  </si>
  <si>
    <t>1924</t>
  </si>
  <si>
    <t>GTJN6878</t>
  </si>
  <si>
    <t>Okba GHRISSI</t>
  </si>
  <si>
    <t>Expert Optimisation et Dimensionnement Radio</t>
  </si>
  <si>
    <t>1928</t>
  </si>
  <si>
    <t>LBST9558</t>
  </si>
  <si>
    <t>Safwen NASRI</t>
  </si>
  <si>
    <t>1939</t>
  </si>
  <si>
    <t>PBZF9729</t>
  </si>
  <si>
    <t>Ghazi ZAATOUR</t>
  </si>
  <si>
    <t xml:space="preserve">Responsable des subventions et financement des projets </t>
  </si>
  <si>
    <t>1996</t>
  </si>
  <si>
    <t>CDRZ1303</t>
  </si>
  <si>
    <t>Soumaya AMRAOUI OUERTANI</t>
  </si>
  <si>
    <t>Responsable Planification et pilotage budgétaire</t>
  </si>
  <si>
    <t>2000</t>
  </si>
  <si>
    <t>RBRW1831</t>
  </si>
  <si>
    <t>Abdessatar HAMDI</t>
  </si>
  <si>
    <t>2001</t>
  </si>
  <si>
    <t>DZBP7743</t>
  </si>
  <si>
    <t>Afef BEN SLAMA</t>
  </si>
  <si>
    <t>2002</t>
  </si>
  <si>
    <t>JZFP4504</t>
  </si>
  <si>
    <t>Maroua BEN HASSEN</t>
  </si>
  <si>
    <t>2003</t>
  </si>
  <si>
    <t>XZCP3575</t>
  </si>
  <si>
    <t>Alaeddine ZAGHDOUDI</t>
  </si>
  <si>
    <t>2004</t>
  </si>
  <si>
    <t>PBNX0272</t>
  </si>
  <si>
    <t>Moujib GHANJATI</t>
  </si>
  <si>
    <t>2006</t>
  </si>
  <si>
    <t>WBXH1803</t>
  </si>
  <si>
    <t>LABIETH Ahmed Abderrahmen</t>
  </si>
  <si>
    <t>2031</t>
  </si>
  <si>
    <t>TSNB4303</t>
  </si>
  <si>
    <t>Hichem BEN YEZZA</t>
  </si>
  <si>
    <t>Chef de service intervention Mobile</t>
  </si>
  <si>
    <t>2052</t>
  </si>
  <si>
    <t>GJHV6613</t>
  </si>
  <si>
    <t>Rania BACHTOBJI</t>
  </si>
  <si>
    <t>2054</t>
  </si>
  <si>
    <t>GWJM1755</t>
  </si>
  <si>
    <t>Arwa OUESLATI</t>
  </si>
  <si>
    <t>2055</t>
  </si>
  <si>
    <t>QPFW7909</t>
  </si>
  <si>
    <t>Imen RJEB</t>
  </si>
  <si>
    <t>2082</t>
  </si>
  <si>
    <t>MHBF7068</t>
  </si>
  <si>
    <t>Senda MAAOUIA</t>
  </si>
  <si>
    <t>Directrice juridique et conformité</t>
  </si>
  <si>
    <t>2083</t>
  </si>
  <si>
    <t>FJDK4911</t>
  </si>
  <si>
    <t>Mohamed Slim BEN ABDELWAHED</t>
  </si>
  <si>
    <t>2085</t>
  </si>
  <si>
    <t>DQBG7709</t>
  </si>
  <si>
    <t>Jihène BEN SALEM</t>
  </si>
  <si>
    <t>Chef de Service Intégration et soutien Métier</t>
  </si>
  <si>
    <t>2111</t>
  </si>
  <si>
    <t>KVDW2549</t>
  </si>
  <si>
    <t>Sonia TRABELSI</t>
  </si>
  <si>
    <t>2122</t>
  </si>
  <si>
    <t>FWVS9029</t>
  </si>
  <si>
    <t>ALOUI Nadhmi</t>
  </si>
  <si>
    <t>2123</t>
  </si>
  <si>
    <t>BLDT2208</t>
  </si>
  <si>
    <t>Fattouma BOUKATTAYA</t>
  </si>
  <si>
    <t>Chargé Gestion des Contrats</t>
  </si>
  <si>
    <t>2124</t>
  </si>
  <si>
    <t>WSPS1940</t>
  </si>
  <si>
    <t>Anis SNOUSSI</t>
  </si>
  <si>
    <t>2125</t>
  </si>
  <si>
    <t>FDHJ1681</t>
  </si>
  <si>
    <t>Ahmed GHANIA</t>
  </si>
  <si>
    <t>spécialiste Comptabilité fournisseurs</t>
  </si>
  <si>
    <t>2127</t>
  </si>
  <si>
    <t>DQJN3853</t>
  </si>
  <si>
    <t>Wassim AKREMI</t>
  </si>
  <si>
    <t>2128</t>
  </si>
  <si>
    <t>NNRL9442</t>
  </si>
  <si>
    <t>Ahmed KHECHINI</t>
  </si>
  <si>
    <t>Chargé Client VIP</t>
  </si>
  <si>
    <t>2129</t>
  </si>
  <si>
    <t>KSZG4433</t>
  </si>
  <si>
    <t>Khaled CHAABANE</t>
  </si>
  <si>
    <t>2130</t>
  </si>
  <si>
    <t>WPNW4473</t>
  </si>
  <si>
    <t>Malek JAMMALI</t>
  </si>
  <si>
    <t>2131</t>
  </si>
  <si>
    <t>GRTK8734</t>
  </si>
  <si>
    <t>Mohamed Cherif BOUCHIBA</t>
  </si>
  <si>
    <t>2133</t>
  </si>
  <si>
    <t>HZHN1379</t>
  </si>
  <si>
    <t>Taha LASSOUED</t>
  </si>
  <si>
    <t>2134</t>
  </si>
  <si>
    <t>GMBD7003</t>
  </si>
  <si>
    <t>Radhouaine OUESLATI</t>
  </si>
  <si>
    <t>2135</t>
  </si>
  <si>
    <t>WFDD9585</t>
  </si>
  <si>
    <t>Mohamed Sabeur MAKHLOUF</t>
  </si>
  <si>
    <t>Chef de Produit Digital</t>
  </si>
  <si>
    <t>2136</t>
  </si>
  <si>
    <t>TLVG8752</t>
  </si>
  <si>
    <t>Abdallah MIGHIRI</t>
  </si>
  <si>
    <t>Technicien Support Canaux de vente</t>
  </si>
  <si>
    <t>2139</t>
  </si>
  <si>
    <t>LXRW4367</t>
  </si>
  <si>
    <t>Sarra BEN HARZALLAH</t>
  </si>
  <si>
    <t>2140</t>
  </si>
  <si>
    <t>JGGF7524</t>
  </si>
  <si>
    <t>Amira AYARI épouse GHALMI</t>
  </si>
  <si>
    <t>2143</t>
  </si>
  <si>
    <t>BXWB7265</t>
  </si>
  <si>
    <t>Hayet SALHI</t>
  </si>
  <si>
    <t>2145</t>
  </si>
  <si>
    <t>VPQV4863</t>
  </si>
  <si>
    <t>Mondher CHERIF</t>
  </si>
  <si>
    <t>2146</t>
  </si>
  <si>
    <t>KDDX9676</t>
  </si>
  <si>
    <t>Houyem EL GHORCH</t>
  </si>
  <si>
    <t>responsable paie</t>
  </si>
  <si>
    <t>2149</t>
  </si>
  <si>
    <t>GDHN7901</t>
  </si>
  <si>
    <t>Bilel BETTAIBI</t>
  </si>
  <si>
    <t>2150</t>
  </si>
  <si>
    <t>NGHS3070</t>
  </si>
  <si>
    <t>Bassem Zegnani</t>
  </si>
  <si>
    <t>2158</t>
  </si>
  <si>
    <t>BQGB2141</t>
  </si>
  <si>
    <t>Jihed YAKOUBI</t>
  </si>
  <si>
    <t>2159</t>
  </si>
  <si>
    <t>PHTL7195</t>
  </si>
  <si>
    <t>Rahma BEN DHIFALLAH</t>
  </si>
  <si>
    <t>Chef de Service Actes et contrats</t>
  </si>
  <si>
    <t>2189</t>
  </si>
  <si>
    <t>FLWS5854</t>
  </si>
  <si>
    <t>Zouhair JABRI</t>
  </si>
  <si>
    <t>2191</t>
  </si>
  <si>
    <t>QJTF9782</t>
  </si>
  <si>
    <t>Amira RIABI</t>
  </si>
  <si>
    <t>2218</t>
  </si>
  <si>
    <t>XNGT1691</t>
  </si>
  <si>
    <t>Khaoula GHRIBI</t>
  </si>
  <si>
    <t>2219</t>
  </si>
  <si>
    <t>PWPK7515</t>
  </si>
  <si>
    <t>Amira JEDIDI EP KEBEILI</t>
  </si>
  <si>
    <t>2220</t>
  </si>
  <si>
    <t>SNHG5604</t>
  </si>
  <si>
    <t>Jameleddine BEN MUSTAPHA</t>
  </si>
  <si>
    <t>2223</t>
  </si>
  <si>
    <t>PWFX4476</t>
  </si>
  <si>
    <t>Nizar DRIDI</t>
  </si>
  <si>
    <t>Responsable Relations Presse</t>
  </si>
  <si>
    <t>2247</t>
  </si>
  <si>
    <t>XFLL8366</t>
  </si>
  <si>
    <t>Hamdi HECHMI</t>
  </si>
  <si>
    <t>Analyste réglementaire</t>
  </si>
  <si>
    <t>2248</t>
  </si>
  <si>
    <t>XGRJ7093</t>
  </si>
  <si>
    <t>Ahmed WACHEM</t>
  </si>
  <si>
    <t>2257</t>
  </si>
  <si>
    <t>LDJL7549</t>
  </si>
  <si>
    <t>Khadija BESSOUDA EP HEDI</t>
  </si>
  <si>
    <t>Chef de Service Solution B2B</t>
  </si>
  <si>
    <t>2258</t>
  </si>
  <si>
    <t>XJDF6363</t>
  </si>
  <si>
    <t>Ahmed Zakaria SELLINI</t>
  </si>
  <si>
    <t>2259</t>
  </si>
  <si>
    <t>RKGR3289</t>
  </si>
  <si>
    <t>Abdelaziz BEN JEMAA</t>
  </si>
  <si>
    <t>2270</t>
  </si>
  <si>
    <t>VTZT7933</t>
  </si>
  <si>
    <t>Samir GHARBI</t>
  </si>
  <si>
    <t>2319</t>
  </si>
  <si>
    <t>JBDM6269</t>
  </si>
  <si>
    <t>Moufida HOSNI</t>
  </si>
  <si>
    <t>Assistante Bureau d'ordre</t>
  </si>
  <si>
    <t>2320</t>
  </si>
  <si>
    <t>FBLD2647</t>
  </si>
  <si>
    <t>Yosra MAZHOUDI</t>
  </si>
  <si>
    <t>Spécialiste bien être et implication du personnel</t>
  </si>
  <si>
    <t>2322</t>
  </si>
  <si>
    <t>QKRQ2084</t>
  </si>
  <si>
    <t>Amen Allah GHOUIBI</t>
  </si>
  <si>
    <t>2323</t>
  </si>
  <si>
    <t>NVJF9299</t>
  </si>
  <si>
    <t>Ines DKHILI</t>
  </si>
  <si>
    <t>2361</t>
  </si>
  <si>
    <t>GVLC4388</t>
  </si>
  <si>
    <t>Karim Romdhane</t>
  </si>
  <si>
    <t>2362</t>
  </si>
  <si>
    <t>RKNF5004</t>
  </si>
  <si>
    <t>Choumous Trabelsi</t>
  </si>
  <si>
    <t xml:space="preserve">Coordinatrice ODC </t>
  </si>
  <si>
    <t>2363</t>
  </si>
  <si>
    <t>JDKJ8097</t>
  </si>
  <si>
    <t>Mongi Bouchiba</t>
  </si>
  <si>
    <t>2364</t>
  </si>
  <si>
    <t>XNST1201</t>
  </si>
  <si>
    <t>Sonia Lameri</t>
  </si>
  <si>
    <t>2387</t>
  </si>
  <si>
    <t>NXZX1901</t>
  </si>
  <si>
    <t>Mohamed Aziz Zid</t>
  </si>
  <si>
    <t>2389</t>
  </si>
  <si>
    <t>XDVG6157</t>
  </si>
  <si>
    <t>Mouldi Ben Alaya</t>
  </si>
  <si>
    <t>2390</t>
  </si>
  <si>
    <t>LCLB7682</t>
  </si>
  <si>
    <t>Mervet Turki</t>
  </si>
  <si>
    <t>2405</t>
  </si>
  <si>
    <t>NKSB7724</t>
  </si>
  <si>
    <t>Amine Kammoun</t>
  </si>
  <si>
    <t>2406</t>
  </si>
  <si>
    <t>FCVZ8486</t>
  </si>
  <si>
    <t>Chokri Oueslati</t>
  </si>
  <si>
    <t>2411</t>
  </si>
  <si>
    <t>FCNP0140</t>
  </si>
  <si>
    <t>Nabil kAMMOUN</t>
  </si>
  <si>
    <t>2420</t>
  </si>
  <si>
    <t>VWRS5112</t>
  </si>
  <si>
    <t>Oussema BEN YAHIA</t>
  </si>
  <si>
    <t xml:space="preserve">Chef de Service ingénierie des données et commissioning partenaires de vente </t>
  </si>
  <si>
    <t>2422</t>
  </si>
  <si>
    <t>SJQR1648</t>
  </si>
  <si>
    <t>Chiheb TLILI</t>
  </si>
  <si>
    <t xml:space="preserve">Spécialiste comptabilité de stock et support </t>
  </si>
  <si>
    <t>2423</t>
  </si>
  <si>
    <t>BRWV0410</t>
  </si>
  <si>
    <t>SAFA MEDINI HAJRI</t>
  </si>
  <si>
    <t>2424</t>
  </si>
  <si>
    <t>HHJG1790</t>
  </si>
  <si>
    <t>Ayoub Fadhlaoui</t>
  </si>
  <si>
    <t>2425</t>
  </si>
  <si>
    <t>DNJZ5855</t>
  </si>
  <si>
    <t>Yosra KHABOUCHI</t>
  </si>
  <si>
    <t>Spécialiste acquisition des Talents et orientation professionnelle</t>
  </si>
  <si>
    <t>2437</t>
  </si>
  <si>
    <t>QTVP6370</t>
  </si>
  <si>
    <t>Safa Dridi</t>
  </si>
  <si>
    <t>2438</t>
  </si>
  <si>
    <t>NCRH2493</t>
  </si>
  <si>
    <t>Houda Mahjoub</t>
  </si>
  <si>
    <t>2439</t>
  </si>
  <si>
    <t>TPHJ9129</t>
  </si>
  <si>
    <t>Ahmed Rezaiguia</t>
  </si>
  <si>
    <t>2517</t>
  </si>
  <si>
    <t>GWQG4890</t>
  </si>
  <si>
    <t>Amine BOUAFIF</t>
  </si>
  <si>
    <t>Ingénieur support IP et Sécurité Réseaux</t>
  </si>
  <si>
    <t>2525</t>
  </si>
  <si>
    <t>FBRZ1240</t>
  </si>
  <si>
    <t>Afef BOULARES</t>
  </si>
  <si>
    <t>Manager Orange Fab</t>
  </si>
  <si>
    <t>2556</t>
  </si>
  <si>
    <t>XXHW4596</t>
  </si>
  <si>
    <t>Yasmine SAIED</t>
  </si>
  <si>
    <t>Chef de Service  Comptabilité Clôture et consolidation</t>
  </si>
  <si>
    <t>2561</t>
  </si>
  <si>
    <t>FLBC2877</t>
  </si>
  <si>
    <t>Nabil HACHANA</t>
  </si>
  <si>
    <t>2562</t>
  </si>
  <si>
    <t>RHHV8817</t>
  </si>
  <si>
    <t>Mahdi HAJJAJI</t>
  </si>
  <si>
    <t>2563</t>
  </si>
  <si>
    <t>RCTC0424</t>
  </si>
  <si>
    <t>Maher BEN YOUNES</t>
  </si>
  <si>
    <t>Business Analyste Digital</t>
  </si>
  <si>
    <t>2592</t>
  </si>
  <si>
    <t>LLSW3602</t>
  </si>
  <si>
    <t>Marwa ABDELGHANI</t>
  </si>
  <si>
    <t>Chef de Projet Déploiement Télécom</t>
  </si>
  <si>
    <t>2605</t>
  </si>
  <si>
    <t>JFZK8776</t>
  </si>
  <si>
    <t>Mounira MEDINI EP HORCHANI</t>
  </si>
  <si>
    <t>Chef de service Outils de vente</t>
  </si>
  <si>
    <t>2606</t>
  </si>
  <si>
    <t>ZZVH0358</t>
  </si>
  <si>
    <t>Rim MEKNI</t>
  </si>
  <si>
    <t>Chef de Service Communication Externe</t>
  </si>
  <si>
    <t>2612</t>
  </si>
  <si>
    <t>PRPL1196</t>
  </si>
  <si>
    <t>FATMA CHERIF</t>
  </si>
  <si>
    <t>2630</t>
  </si>
  <si>
    <t>HSLC0010</t>
  </si>
  <si>
    <t>Manel BELAYECH</t>
  </si>
  <si>
    <t>2648</t>
  </si>
  <si>
    <t>NQFG4208</t>
  </si>
  <si>
    <t>Taha BELKAHLA</t>
  </si>
  <si>
    <t>2649</t>
  </si>
  <si>
    <t>NRCN7352</t>
  </si>
  <si>
    <t>Sana Chihi</t>
  </si>
  <si>
    <t>Assistante Gestion parc auto</t>
  </si>
  <si>
    <t>2650</t>
  </si>
  <si>
    <t>XRVL3493</t>
  </si>
  <si>
    <t>Sihem ZHANI EPOUSE BEN SLAMA</t>
  </si>
  <si>
    <t>2651</t>
  </si>
  <si>
    <t>GLWT8035</t>
  </si>
  <si>
    <t>Ali Hnid</t>
  </si>
  <si>
    <t>2652</t>
  </si>
  <si>
    <t>KHWT8399</t>
  </si>
  <si>
    <t>Maher SALMI</t>
  </si>
  <si>
    <t>2653</t>
  </si>
  <si>
    <t>CCHN0827</t>
  </si>
  <si>
    <t>Emna BETTEIBI</t>
  </si>
  <si>
    <t>2654</t>
  </si>
  <si>
    <t>TXRN7067</t>
  </si>
  <si>
    <t>Riadh SHILI</t>
  </si>
  <si>
    <t>2655</t>
  </si>
  <si>
    <t>TTDV7808</t>
  </si>
  <si>
    <t>Eya GHOUIBI</t>
  </si>
  <si>
    <t>2656</t>
  </si>
  <si>
    <t>MTXZ5714</t>
  </si>
  <si>
    <t>Aziza NAIMI</t>
  </si>
  <si>
    <t>Chargé administration des ventes directes</t>
  </si>
  <si>
    <t>2657</t>
  </si>
  <si>
    <t>PSBR5838</t>
  </si>
  <si>
    <t>SLIM MERSNI</t>
  </si>
  <si>
    <t>2658</t>
  </si>
  <si>
    <t>WKCP3329</t>
  </si>
  <si>
    <t>Sabri JAWHRI</t>
  </si>
  <si>
    <t>2659</t>
  </si>
  <si>
    <t>RHTK0389</t>
  </si>
  <si>
    <t>Maher JENDOUBI</t>
  </si>
  <si>
    <t>2660</t>
  </si>
  <si>
    <t>DBFF7411</t>
  </si>
  <si>
    <t>Mohamed Sofien BEN ALI</t>
  </si>
  <si>
    <t xml:space="preserve">Gestionnaire base de connaissance et script CRM </t>
  </si>
  <si>
    <t>2662</t>
  </si>
  <si>
    <t>GTKN6974</t>
  </si>
  <si>
    <t>Marwa AYOUNI</t>
  </si>
  <si>
    <t>Spécialiste Process</t>
  </si>
  <si>
    <t>2663</t>
  </si>
  <si>
    <t>RHQW2131</t>
  </si>
  <si>
    <t>Souhaib GARA</t>
  </si>
  <si>
    <t>2664</t>
  </si>
  <si>
    <t>MDXL6172</t>
  </si>
  <si>
    <t>Mohamed Zied LAABIDI</t>
  </si>
  <si>
    <t>2665</t>
  </si>
  <si>
    <t>ZGSB5528</t>
  </si>
  <si>
    <t>Ines Amari Ep TOUATI</t>
  </si>
  <si>
    <t>2666</t>
  </si>
  <si>
    <t>MWZW2773</t>
  </si>
  <si>
    <t>Afef AYARI</t>
  </si>
  <si>
    <t>Technicien pilotage plaintes clients</t>
  </si>
  <si>
    <t>2667</t>
  </si>
  <si>
    <t>KSLT8025</t>
  </si>
  <si>
    <t>AMIRA Doub</t>
  </si>
  <si>
    <t>Juriste</t>
  </si>
  <si>
    <t>2668</t>
  </si>
  <si>
    <t>WFVT0060</t>
  </si>
  <si>
    <t>Imen MAKHLOUFI</t>
  </si>
  <si>
    <t>2669</t>
  </si>
  <si>
    <t>VPGQ4947</t>
  </si>
  <si>
    <t>Yosra Neji</t>
  </si>
  <si>
    <t>Spécialiste animation sociale et Offre staff</t>
  </si>
  <si>
    <t>2670</t>
  </si>
  <si>
    <t>PNGL7139</t>
  </si>
  <si>
    <t>Akram DKHILI</t>
  </si>
  <si>
    <t>Ingénieur VAS</t>
  </si>
  <si>
    <t>2737</t>
  </si>
  <si>
    <t>WPNB4107</t>
  </si>
  <si>
    <t>Hichem BEN AMOR</t>
  </si>
  <si>
    <t>Chef de Département trade, Vente Pro &amp; Convention</t>
  </si>
  <si>
    <t>2739</t>
  </si>
  <si>
    <t>QLWF6527</t>
  </si>
  <si>
    <t>Amira SNOUSI</t>
  </si>
  <si>
    <t>Cheffe de service e-commerce, omnicanalité et réseaux sociaux</t>
  </si>
  <si>
    <t>2741</t>
  </si>
  <si>
    <t>CJNR0952</t>
  </si>
  <si>
    <t>Walid LAJNEF</t>
  </si>
  <si>
    <t>2752</t>
  </si>
  <si>
    <t>LJJP3584</t>
  </si>
  <si>
    <t>Aymen GUEDDICH</t>
  </si>
  <si>
    <t xml:space="preserve">Spécialiste gestion CSOB </t>
  </si>
  <si>
    <t>2762</t>
  </si>
  <si>
    <t>QJCB6222</t>
  </si>
  <si>
    <t>Haythem GADACHA</t>
  </si>
  <si>
    <t>Chef  de département Ventes commerciales, accélération de la digitalisation et des usages de L'IA</t>
  </si>
  <si>
    <t>2770</t>
  </si>
  <si>
    <t>RTHD7623</t>
  </si>
  <si>
    <t>Mohamed Jebrane TRABELSI</t>
  </si>
  <si>
    <t>Chef de Service planification Radio</t>
  </si>
  <si>
    <t>2794</t>
  </si>
  <si>
    <t>LXHP0536</t>
  </si>
  <si>
    <t>Myriam KAMERJI</t>
  </si>
  <si>
    <t>2806</t>
  </si>
  <si>
    <t>WRXS0299</t>
  </si>
  <si>
    <t>Mohamed SASSI</t>
  </si>
  <si>
    <t>Administrateur N2 CC</t>
  </si>
  <si>
    <t>2807</t>
  </si>
  <si>
    <t>RSZV7138</t>
  </si>
  <si>
    <t>Abdelfattah GHARBI</t>
  </si>
  <si>
    <t>2808</t>
  </si>
  <si>
    <t>SQRG7468</t>
  </si>
  <si>
    <t>Lobna Riahi</t>
  </si>
  <si>
    <t>2810</t>
  </si>
  <si>
    <t>FWMH6756</t>
  </si>
  <si>
    <t>Emna BOUZAYANI</t>
  </si>
  <si>
    <t>2811</t>
  </si>
  <si>
    <t>MSKT6137</t>
  </si>
  <si>
    <t>Ilyes BEN OTHMAN</t>
  </si>
  <si>
    <t>2813</t>
  </si>
  <si>
    <t>SBXD8538</t>
  </si>
  <si>
    <t>Naceur DRIDI</t>
  </si>
  <si>
    <t>2815</t>
  </si>
  <si>
    <t>JKZD4755</t>
  </si>
  <si>
    <t>Saber BACCOUCHE</t>
  </si>
  <si>
    <t>2830</t>
  </si>
  <si>
    <t>QDSM3036</t>
  </si>
  <si>
    <t>Nedra CHHIBI</t>
  </si>
  <si>
    <t>2831</t>
  </si>
  <si>
    <t>KCRG8570</t>
  </si>
  <si>
    <t>Ahmed GHAMMOUGUI</t>
  </si>
  <si>
    <t xml:space="preserve">Ingénieur Support réseau  Backhaul et Optique </t>
  </si>
  <si>
    <t>2833</t>
  </si>
  <si>
    <t>KMCM9088</t>
  </si>
  <si>
    <t>Walid KILANI</t>
  </si>
  <si>
    <t>Spécialiste Merchandising</t>
  </si>
  <si>
    <t>2834</t>
  </si>
  <si>
    <t>SHMR3413</t>
  </si>
  <si>
    <t>Mohamed Chokri DALLAJI</t>
  </si>
  <si>
    <t>2839</t>
  </si>
  <si>
    <t>SRLC0364</t>
  </si>
  <si>
    <t>Amira ABDALLAH</t>
  </si>
  <si>
    <t>Technicien ADSL GP</t>
  </si>
  <si>
    <t>2840</t>
  </si>
  <si>
    <t>NBZV1095</t>
  </si>
  <si>
    <t>Ramla KHAY</t>
  </si>
  <si>
    <t>2841</t>
  </si>
  <si>
    <t>DQPV1321</t>
  </si>
  <si>
    <t>Hassen REZGUI</t>
  </si>
  <si>
    <t>Analyste ICT</t>
  </si>
  <si>
    <t>2843</t>
  </si>
  <si>
    <t>DKHR7212</t>
  </si>
  <si>
    <t>Hamza KAROUI</t>
  </si>
  <si>
    <t>2844</t>
  </si>
  <si>
    <t>LWFK6598</t>
  </si>
  <si>
    <t>Abdallah BEN SALEM</t>
  </si>
  <si>
    <t>Spécialiste Administration des Ventes</t>
  </si>
  <si>
    <t>2845</t>
  </si>
  <si>
    <t>HVFT2044</t>
  </si>
  <si>
    <t>Ramzi BEN FTIMA</t>
  </si>
  <si>
    <t>2846</t>
  </si>
  <si>
    <t>XTKT3225</t>
  </si>
  <si>
    <t>Emna BEN SALAH</t>
  </si>
  <si>
    <t>2847</t>
  </si>
  <si>
    <t>ZJXN8009</t>
  </si>
  <si>
    <t>Adel SMAOUI</t>
  </si>
  <si>
    <t>Infographiste</t>
  </si>
  <si>
    <t>2850</t>
  </si>
  <si>
    <t>FSKL1573</t>
  </si>
  <si>
    <t>Ines JAAFAR</t>
  </si>
  <si>
    <t>Responsable gestion budgétaire et support logistique</t>
  </si>
  <si>
    <t>2851</t>
  </si>
  <si>
    <t>JCWK5037</t>
  </si>
  <si>
    <t>Jihed MEJRI</t>
  </si>
  <si>
    <t>2858</t>
  </si>
  <si>
    <t>QPFM4875</t>
  </si>
  <si>
    <t>Adel Akrout</t>
  </si>
  <si>
    <t>Directeur Réseaux &amp; Services</t>
  </si>
  <si>
    <t>2871</t>
  </si>
  <si>
    <t>NVCP7335</t>
  </si>
  <si>
    <t>Salma KHADHAR</t>
  </si>
  <si>
    <t>Chargé de production graphique</t>
  </si>
  <si>
    <t>2873</t>
  </si>
  <si>
    <t>GVTB8549</t>
  </si>
  <si>
    <t>Haithem REFAI</t>
  </si>
  <si>
    <t>Chef de Projet SI Entreprise</t>
  </si>
  <si>
    <t>2893</t>
  </si>
  <si>
    <t>JRJQ5761</t>
  </si>
  <si>
    <t>MOHAMED FERJANE</t>
  </si>
  <si>
    <t>2942</t>
  </si>
  <si>
    <t>VGFL2538</t>
  </si>
  <si>
    <t>Hajer GOUIDER</t>
  </si>
  <si>
    <t>Auditeur IT</t>
  </si>
  <si>
    <t>2957</t>
  </si>
  <si>
    <t>QFDR4441</t>
  </si>
  <si>
    <t>Afifa AYARI</t>
  </si>
  <si>
    <t>Thierry MILLET</t>
  </si>
  <si>
    <t>2962</t>
  </si>
  <si>
    <t>GMZR7480</t>
  </si>
  <si>
    <t>Emna KHEDRI</t>
  </si>
  <si>
    <t>Chef de Service Gestion et analyse de la donnée</t>
  </si>
  <si>
    <t>2974</t>
  </si>
  <si>
    <t>NVKN4780</t>
  </si>
  <si>
    <t>Meher SEHLI</t>
  </si>
  <si>
    <t>2975</t>
  </si>
  <si>
    <t>RJXM2540</t>
  </si>
  <si>
    <t>Tarek CHEBBI</t>
  </si>
  <si>
    <t>Gestionnaire Transit</t>
  </si>
  <si>
    <t>2976</t>
  </si>
  <si>
    <t>JTRB7270</t>
  </si>
  <si>
    <t>Wajdi NEJI</t>
  </si>
  <si>
    <t>2980</t>
  </si>
  <si>
    <t>MHTG9476</t>
  </si>
  <si>
    <t>Mohamed MILADI</t>
  </si>
  <si>
    <t>2987</t>
  </si>
  <si>
    <t>WHPC6528</t>
  </si>
  <si>
    <t>Chaima ALOUI</t>
  </si>
  <si>
    <t>Spécialiste Prévision et Planification</t>
  </si>
  <si>
    <t>2989</t>
  </si>
  <si>
    <t>FKQS3228</t>
  </si>
  <si>
    <t>Eya KADDOUR</t>
  </si>
  <si>
    <t>Responsable Etudes et Veille Concurrentielle</t>
  </si>
  <si>
    <t>2994</t>
  </si>
  <si>
    <t>JJMS5058</t>
  </si>
  <si>
    <t>Habib CHERIF</t>
  </si>
  <si>
    <t>Ingénieur Optimisation</t>
  </si>
  <si>
    <t>2995</t>
  </si>
  <si>
    <t>FWBH4672</t>
  </si>
  <si>
    <t>Belgecem MIMOUNI</t>
  </si>
  <si>
    <t>2997</t>
  </si>
  <si>
    <t>XKZH6833</t>
  </si>
  <si>
    <t>Noureddine AYARI</t>
  </si>
  <si>
    <t>Chef de Projet Outils et Systèmes de Monitoring IT</t>
  </si>
  <si>
    <t>3004</t>
  </si>
  <si>
    <t>NFKL5110</t>
  </si>
  <si>
    <t>Yasmine CHELLY</t>
  </si>
  <si>
    <t>Responsable de délégations de pouvoirs et de signatures</t>
  </si>
  <si>
    <t>3005</t>
  </si>
  <si>
    <t>DXVH7354</t>
  </si>
  <si>
    <t>Myriam BEN CHEIKH</t>
  </si>
  <si>
    <t>3007</t>
  </si>
  <si>
    <t>FVNF4538</t>
  </si>
  <si>
    <t>OUMAIMA REZGUI</t>
  </si>
  <si>
    <t>3009</t>
  </si>
  <si>
    <t>QFRN7362</t>
  </si>
  <si>
    <t>ABEDRRAHMEN KHABOUCHI</t>
  </si>
  <si>
    <t>3010</t>
  </si>
  <si>
    <t>BPJK7260</t>
  </si>
  <si>
    <t>RAMI ZERNI</t>
  </si>
  <si>
    <t>3011</t>
  </si>
  <si>
    <t>WRDW4899</t>
  </si>
  <si>
    <t>RAFII MEHOUACHI</t>
  </si>
  <si>
    <t>Administrateur sécurité électronique</t>
  </si>
  <si>
    <t>3012</t>
  </si>
  <si>
    <t>CTQW8726</t>
  </si>
  <si>
    <t>Selma Ben Heni</t>
  </si>
  <si>
    <t>3013</t>
  </si>
  <si>
    <t>NGZF1457</t>
  </si>
  <si>
    <t>Beya Ben Yahia</t>
  </si>
  <si>
    <t>3014</t>
  </si>
  <si>
    <t>DWBQ2283</t>
  </si>
  <si>
    <t>Olfa TRIAA</t>
  </si>
  <si>
    <t>3015</t>
  </si>
  <si>
    <t>LPGF1990</t>
  </si>
  <si>
    <t>KHAOULA HADA</t>
  </si>
  <si>
    <t>3016</t>
  </si>
  <si>
    <t>CFJW3793</t>
  </si>
  <si>
    <t>Houssem Eddine Trabelsi</t>
  </si>
  <si>
    <t>3017</t>
  </si>
  <si>
    <t>VCCV8818</t>
  </si>
  <si>
    <t>Amir Ridene</t>
  </si>
  <si>
    <t xml:space="preserve">Ingénieur production B2B </t>
  </si>
  <si>
    <t>3019</t>
  </si>
  <si>
    <t>GZCT2642</t>
  </si>
  <si>
    <t>FATMA MEJRI</t>
  </si>
  <si>
    <t>3021</t>
  </si>
  <si>
    <t>HXML9665</t>
  </si>
  <si>
    <t>Aymen Bouslama</t>
  </si>
  <si>
    <t>Technicien Drive Test</t>
  </si>
  <si>
    <t>3022</t>
  </si>
  <si>
    <t>WLXG8245</t>
  </si>
  <si>
    <t>Ichrak LOUHICHI</t>
  </si>
  <si>
    <t>3023</t>
  </si>
  <si>
    <t>QJDZ0793</t>
  </si>
  <si>
    <t>Sabri Tarifa</t>
  </si>
  <si>
    <t>3036</t>
  </si>
  <si>
    <t>XNJM6223</t>
  </si>
  <si>
    <t>Haythem Rejeb</t>
  </si>
  <si>
    <t>Expert support services et DATA</t>
  </si>
  <si>
    <t>3037</t>
  </si>
  <si>
    <t>CXCS2792</t>
  </si>
  <si>
    <t>Ali CHOUIREF</t>
  </si>
  <si>
    <t>Chef de Service Audit et Contrôle Interne</t>
  </si>
  <si>
    <t>3045</t>
  </si>
  <si>
    <t>RSHT2062</t>
  </si>
  <si>
    <t>Anis MESSADI</t>
  </si>
  <si>
    <t>Business Developer Orange Fab</t>
  </si>
  <si>
    <t>3046</t>
  </si>
  <si>
    <t>PMCN1334</t>
  </si>
  <si>
    <t>Omar BEN SAAD</t>
  </si>
  <si>
    <t>Chef de service support services et DATA</t>
  </si>
  <si>
    <t>3047</t>
  </si>
  <si>
    <t>ZMJJ0035</t>
  </si>
  <si>
    <t>Sirine ZOUAGHI</t>
  </si>
  <si>
    <t>Ingénieur coeur voix</t>
  </si>
  <si>
    <t>3049</t>
  </si>
  <si>
    <t>BHPM4821</t>
  </si>
  <si>
    <t>Chiheb eddine ABIDI</t>
  </si>
  <si>
    <t>Ingénieur infrastructure et cloud </t>
  </si>
  <si>
    <t>3050</t>
  </si>
  <si>
    <t>BSZD2748</t>
  </si>
  <si>
    <t>Sarhane ZRIBI</t>
  </si>
  <si>
    <t>Chef de Projets transverses</t>
  </si>
  <si>
    <t>3051</t>
  </si>
  <si>
    <t>PXLH8834</t>
  </si>
  <si>
    <t>Ali NASR</t>
  </si>
  <si>
    <t xml:space="preserve">Chef de Service Commercial Grands Comptes </t>
  </si>
  <si>
    <t>3055</t>
  </si>
  <si>
    <t>XPQB6512</t>
  </si>
  <si>
    <t>Chiraz DEROUICHE</t>
  </si>
  <si>
    <t>Responsable revenus et assurances</t>
  </si>
  <si>
    <t>3057</t>
  </si>
  <si>
    <t>BNBR2084</t>
  </si>
  <si>
    <t>Majdi BEN ABDALLAH</t>
  </si>
  <si>
    <t>Ingénieur SI Support</t>
  </si>
  <si>
    <t>3062</t>
  </si>
  <si>
    <t>BLZP5458</t>
  </si>
  <si>
    <t>Ramzi MARNISSI</t>
  </si>
  <si>
    <t>3063</t>
  </si>
  <si>
    <t>LKZX5440</t>
  </si>
  <si>
    <t>Farah BELKAHIA  CHAKROUN</t>
  </si>
  <si>
    <t>3068</t>
  </si>
  <si>
    <t>PWSB3219</t>
  </si>
  <si>
    <t>Heni ABDELWAHED</t>
  </si>
  <si>
    <t>3074</t>
  </si>
  <si>
    <t>ZBNS3066</t>
  </si>
  <si>
    <t>Wissem Eddine SOUSSI</t>
  </si>
  <si>
    <t>Chef de Service Support RAN</t>
  </si>
  <si>
    <t>3075</t>
  </si>
  <si>
    <t>BZWM2780</t>
  </si>
  <si>
    <t>Moez SASSI</t>
  </si>
  <si>
    <t>3076</t>
  </si>
  <si>
    <t>TBMR6371</t>
  </si>
  <si>
    <t>Saoussen MHADHBI</t>
  </si>
  <si>
    <t>3077</t>
  </si>
  <si>
    <t>QTDX0851</t>
  </si>
  <si>
    <t>Chaima BEN SLAMA</t>
  </si>
  <si>
    <t>Chef de Service  Coeur  Data</t>
  </si>
  <si>
    <t>3081</t>
  </si>
  <si>
    <t>DCMT6910</t>
  </si>
  <si>
    <t>Nabil DRIRA</t>
  </si>
  <si>
    <t>juriste</t>
  </si>
  <si>
    <t>3082</t>
  </si>
  <si>
    <t>WMVB4011</t>
  </si>
  <si>
    <t>Hedi DRIDI</t>
  </si>
  <si>
    <t>3085</t>
  </si>
  <si>
    <t>LMTP3111</t>
  </si>
  <si>
    <t>Taieb ZORGATI</t>
  </si>
  <si>
    <t>3086</t>
  </si>
  <si>
    <t>CCWT9232</t>
  </si>
  <si>
    <t>Hafedh RIAHI</t>
  </si>
  <si>
    <t>3088</t>
  </si>
  <si>
    <t>NWSK6592</t>
  </si>
  <si>
    <t>Mehdi AHMED</t>
  </si>
  <si>
    <t>Responsable des plateformes Data</t>
  </si>
  <si>
    <t>3089</t>
  </si>
  <si>
    <t>ZVWW8263</t>
  </si>
  <si>
    <t>Achref BILLIK</t>
  </si>
  <si>
    <t>3090</t>
  </si>
  <si>
    <t>GCNW7247</t>
  </si>
  <si>
    <t>Amel Ben Attiya</t>
  </si>
  <si>
    <t>3091</t>
  </si>
  <si>
    <t>HCFG1578</t>
  </si>
  <si>
    <t>Myriam Mahfoudh</t>
  </si>
  <si>
    <t>3092</t>
  </si>
  <si>
    <t>CLWB6809</t>
  </si>
  <si>
    <t>ZIED GARRAZ</t>
  </si>
  <si>
    <t>3094</t>
  </si>
  <si>
    <t>QVDB4323</t>
  </si>
  <si>
    <t>FATMA ROMDHANI</t>
  </si>
  <si>
    <t>3095</t>
  </si>
  <si>
    <t>NPFX5757</t>
  </si>
  <si>
    <t>RAHMA RHIMI</t>
  </si>
  <si>
    <t>3096</t>
  </si>
  <si>
    <t>FCPL1263</t>
  </si>
  <si>
    <t>MOHAMED HEDI TOUHAMI</t>
  </si>
  <si>
    <t>3097</t>
  </si>
  <si>
    <t>TBDQ9867</t>
  </si>
  <si>
    <t>Rabie JRAD</t>
  </si>
  <si>
    <t>3098</t>
  </si>
  <si>
    <t>NHMN3097</t>
  </si>
  <si>
    <t>Asma Yazidi</t>
  </si>
  <si>
    <t>3099</t>
  </si>
  <si>
    <t>GDFS8821</t>
  </si>
  <si>
    <t>Seif Hbibi</t>
  </si>
  <si>
    <t>3100</t>
  </si>
  <si>
    <t>BZWV2627</t>
  </si>
  <si>
    <t>Asma Ouederni</t>
  </si>
  <si>
    <t>3101</t>
  </si>
  <si>
    <t>GWQN9878</t>
  </si>
  <si>
    <t>Fakhar Seifeddine</t>
  </si>
  <si>
    <t>3102</t>
  </si>
  <si>
    <t>VLBJ1832</t>
  </si>
  <si>
    <t>Saida NASRA</t>
  </si>
  <si>
    <t>3103</t>
  </si>
  <si>
    <t>LCVJ2113</t>
  </si>
  <si>
    <t>Marwa SAADI</t>
  </si>
  <si>
    <t>3104</t>
  </si>
  <si>
    <t>TSXM7262</t>
  </si>
  <si>
    <t>Atef SOUISSI</t>
  </si>
  <si>
    <t>Che de projet migration BSCS et ingénierie billing</t>
  </si>
  <si>
    <t>3107</t>
  </si>
  <si>
    <t>SLXD3000</t>
  </si>
  <si>
    <t>Hamadi BEN CHEIKH</t>
  </si>
  <si>
    <t>Analyste relation inter opérateurs</t>
  </si>
  <si>
    <t>3116</t>
  </si>
  <si>
    <t>BRWR8037</t>
  </si>
  <si>
    <t>Ahmed Fehri</t>
  </si>
  <si>
    <t>Chef de service VAS Core et services digitaux</t>
  </si>
  <si>
    <t>3118</t>
  </si>
  <si>
    <t>JMRM4834</t>
  </si>
  <si>
    <t>Samia BEN CHOUIKHA</t>
  </si>
  <si>
    <t>3119</t>
  </si>
  <si>
    <t>XXTJ1275</t>
  </si>
  <si>
    <t>Wajdi BEN HAJ SGHAIER</t>
  </si>
  <si>
    <t>3120</t>
  </si>
  <si>
    <t>RXWB7237</t>
  </si>
  <si>
    <t>Rania MASSOUDI</t>
  </si>
  <si>
    <t>3121</t>
  </si>
  <si>
    <t>XRQP9553</t>
  </si>
  <si>
    <t>Nawel BEL HAJ AMMAR</t>
  </si>
  <si>
    <t>Chargé Client FO Mobile B2B</t>
  </si>
  <si>
    <t>3122</t>
  </si>
  <si>
    <t>LXCV6412</t>
  </si>
  <si>
    <t>Khaoula Maaroufi</t>
  </si>
  <si>
    <t>3138</t>
  </si>
  <si>
    <t>HLDS5405</t>
  </si>
  <si>
    <t>Sarra Berriri</t>
  </si>
  <si>
    <t>3139</t>
  </si>
  <si>
    <t>KTGD0261</t>
  </si>
  <si>
    <t>Samia BELHAJ ALI</t>
  </si>
  <si>
    <t>3141</t>
  </si>
  <si>
    <t>RMVX6144</t>
  </si>
  <si>
    <t>Khaled Ben Bachir</t>
  </si>
  <si>
    <t>3142</t>
  </si>
  <si>
    <t>WRJT4200</t>
  </si>
  <si>
    <t>MEHDI CHEFFI</t>
  </si>
  <si>
    <t>3147</t>
  </si>
  <si>
    <t>DKFP3100</t>
  </si>
  <si>
    <t>Randa Chaouachi</t>
  </si>
  <si>
    <t xml:space="preserve">Chef de Produit Pro </t>
  </si>
  <si>
    <t>3151</t>
  </si>
  <si>
    <t>TLMD6275</t>
  </si>
  <si>
    <t>Achref Smaoui</t>
  </si>
  <si>
    <t>3152</t>
  </si>
  <si>
    <t>TQVV5518</t>
  </si>
  <si>
    <t>Yasmine Mchirgui</t>
  </si>
  <si>
    <t>Chef de Projet IN</t>
  </si>
  <si>
    <t>3154</t>
  </si>
  <si>
    <t>CBSK3211</t>
  </si>
  <si>
    <t>Mohamed LAKHOUA</t>
  </si>
  <si>
    <t>3155</t>
  </si>
  <si>
    <t>SVPN3248</t>
  </si>
  <si>
    <t>Hela ASSIDI</t>
  </si>
  <si>
    <t>Responsable Wholesale National</t>
  </si>
  <si>
    <t>3157</t>
  </si>
  <si>
    <t>KTJF8419</t>
  </si>
  <si>
    <t>Salim Aboubaker Mami</t>
  </si>
  <si>
    <t>3158</t>
  </si>
  <si>
    <t>NNPC2957</t>
  </si>
  <si>
    <t>Achref Hammami</t>
  </si>
  <si>
    <t>Chargé de stock et de patrimoine</t>
  </si>
  <si>
    <t>3159</t>
  </si>
  <si>
    <t>FFFR5445</t>
  </si>
  <si>
    <t>Gharbi Souhail</t>
  </si>
  <si>
    <t xml:space="preserve">Acheteur Technique </t>
  </si>
  <si>
    <t>3160</t>
  </si>
  <si>
    <t>RFPX6677</t>
  </si>
  <si>
    <t>Hend Khiri</t>
  </si>
  <si>
    <t>Spécialiste partenariats et événements</t>
  </si>
  <si>
    <t>3161</t>
  </si>
  <si>
    <t>LHCQ2665</t>
  </si>
  <si>
    <t>Nadia CHAOUALI</t>
  </si>
  <si>
    <t>3162</t>
  </si>
  <si>
    <t>GFJT4406</t>
  </si>
  <si>
    <t>Nidhal FALAH</t>
  </si>
  <si>
    <t>3163</t>
  </si>
  <si>
    <t>RTDJ0472</t>
  </si>
  <si>
    <t>Mohamed Karim BOUZGAROU</t>
  </si>
  <si>
    <t>3164</t>
  </si>
  <si>
    <t>MJMK9201</t>
  </si>
  <si>
    <t>Badreddine GUERMAZI</t>
  </si>
  <si>
    <t>3165</t>
  </si>
  <si>
    <t>WJVF4566</t>
  </si>
  <si>
    <t>Asma DACHRAOUI</t>
  </si>
  <si>
    <t>3167</t>
  </si>
  <si>
    <t>ZLJB1135</t>
  </si>
  <si>
    <t>Belhassen MAATOUG</t>
  </si>
  <si>
    <t>3168</t>
  </si>
  <si>
    <t>DSMQ3595</t>
  </si>
  <si>
    <t>Lotfi HAJJI</t>
  </si>
  <si>
    <t>3169</t>
  </si>
  <si>
    <t>XDBT2717</t>
  </si>
  <si>
    <t>Hamza CHENAOUI</t>
  </si>
  <si>
    <t>3170</t>
  </si>
  <si>
    <t>XRTG5470</t>
  </si>
  <si>
    <t>Abdelwaheb MBARKI</t>
  </si>
  <si>
    <t>3171</t>
  </si>
  <si>
    <t>WXPM9347</t>
  </si>
  <si>
    <t>Khaoula AROUI</t>
  </si>
  <si>
    <t>3172</t>
  </si>
  <si>
    <t>VWMW4872</t>
  </si>
  <si>
    <t>Hatem Chehaibi</t>
  </si>
  <si>
    <t xml:space="preserve">Chef de Quai </t>
  </si>
  <si>
    <t>3174</t>
  </si>
  <si>
    <t>JJZL8416</t>
  </si>
  <si>
    <t>Mohamed BARGAOUI</t>
  </si>
  <si>
    <t>3175</t>
  </si>
  <si>
    <t>WCNC1872</t>
  </si>
  <si>
    <t>Siwar SHILI</t>
  </si>
  <si>
    <t>3176</t>
  </si>
  <si>
    <t>WRNV2941</t>
  </si>
  <si>
    <t>Amani Belfekih</t>
  </si>
  <si>
    <t>3177</t>
  </si>
  <si>
    <t>TLJH4156</t>
  </si>
  <si>
    <t>Montassar FARAH</t>
  </si>
  <si>
    <t>3178</t>
  </si>
  <si>
    <t>JZJQ0216</t>
  </si>
  <si>
    <t>Marwen MRAIHI</t>
  </si>
  <si>
    <t>3179</t>
  </si>
  <si>
    <t>BGGC0188</t>
  </si>
  <si>
    <t>Sabrine HAOUAS</t>
  </si>
  <si>
    <t>3198</t>
  </si>
  <si>
    <t>DRQT0139</t>
  </si>
  <si>
    <t>Asma BEN HAMIDA</t>
  </si>
  <si>
    <t>Responsable projets santé, sécurité au travail</t>
  </si>
  <si>
    <t>3202</t>
  </si>
  <si>
    <t>LBHM8601</t>
  </si>
  <si>
    <t>Safa HANFI</t>
  </si>
  <si>
    <t>Chef de Service Communication</t>
  </si>
  <si>
    <t>3213</t>
  </si>
  <si>
    <t>VXJS0127</t>
  </si>
  <si>
    <t>Majdi Abdelmalek</t>
  </si>
  <si>
    <t>Expert planification radio</t>
  </si>
  <si>
    <t>3216</t>
  </si>
  <si>
    <t>VWRH0432</t>
  </si>
  <si>
    <t>Brick Youssef</t>
  </si>
  <si>
    <t xml:space="preserve">Expert Achat technique </t>
  </si>
  <si>
    <t>3218</t>
  </si>
  <si>
    <t>QBXN8553</t>
  </si>
  <si>
    <t xml:space="preserve">Sabrine ABIDI </t>
  </si>
  <si>
    <t>Chef de projet IP</t>
  </si>
  <si>
    <t>3220</t>
  </si>
  <si>
    <t>FPCK4345</t>
  </si>
  <si>
    <t>Khaoula BEN HAMED</t>
  </si>
  <si>
    <t>Ingénieur Core Voix et Signalisation</t>
  </si>
  <si>
    <t>3221</t>
  </si>
  <si>
    <t>KDMP1407</t>
  </si>
  <si>
    <t>Ali BRAHMIA</t>
  </si>
  <si>
    <t>Chef de Département infrastructure et OSS</t>
  </si>
  <si>
    <t>3222</t>
  </si>
  <si>
    <t>KZCB2239</t>
  </si>
  <si>
    <t>Zied BEIZIG</t>
  </si>
  <si>
    <t>Ingénieur Intégration</t>
  </si>
  <si>
    <t>3223</t>
  </si>
  <si>
    <t>WRKP3067</t>
  </si>
  <si>
    <t>Oussama AROUA</t>
  </si>
  <si>
    <t>Développeur mobile</t>
  </si>
  <si>
    <t>3225</t>
  </si>
  <si>
    <t>NWVM3449</t>
  </si>
  <si>
    <t>Atef Hmidi</t>
  </si>
  <si>
    <t>3229</t>
  </si>
  <si>
    <t>FXJQ4320</t>
  </si>
  <si>
    <t>Achref Njili</t>
  </si>
  <si>
    <t>3232</t>
  </si>
  <si>
    <t>BZHV8747</t>
  </si>
  <si>
    <t>Safouane BESSROUR</t>
  </si>
  <si>
    <t>Chef de Projet CRM et Fidélité</t>
  </si>
  <si>
    <t>3233</t>
  </si>
  <si>
    <t>NKCX9570</t>
  </si>
  <si>
    <t>Wael Mabrouk</t>
  </si>
  <si>
    <t>Responsable Facturation et Budget SC</t>
  </si>
  <si>
    <t>3238</t>
  </si>
  <si>
    <t>JZTP7240</t>
  </si>
  <si>
    <t>Basma Brinis</t>
  </si>
  <si>
    <t>Chef de service développement web et performances</t>
  </si>
  <si>
    <t>3239</t>
  </si>
  <si>
    <t>TMTQ4669</t>
  </si>
  <si>
    <t>Amine Souabni</t>
  </si>
  <si>
    <t>Expert Support Charging</t>
  </si>
  <si>
    <t>3242</t>
  </si>
  <si>
    <t>BMMP5017</t>
  </si>
  <si>
    <t>Ines ALOUANE</t>
  </si>
  <si>
    <t xml:space="preserve">Chef de projet Core Voix et Signalisation </t>
  </si>
  <si>
    <t>3246</t>
  </si>
  <si>
    <t>VJRS8039</t>
  </si>
  <si>
    <t>SAHBANI Jihen</t>
  </si>
  <si>
    <t>3256</t>
  </si>
  <si>
    <t>QXDW0849</t>
  </si>
  <si>
    <t>Emna Jmili</t>
  </si>
  <si>
    <t>Chef de service comptabilité revenu</t>
  </si>
  <si>
    <t>3258</t>
  </si>
  <si>
    <t>GVPF5846</t>
  </si>
  <si>
    <t>Mohamed Nasser</t>
  </si>
  <si>
    <t>Ingénieur Support Core</t>
  </si>
  <si>
    <t>3260</t>
  </si>
  <si>
    <t>BSRZ5628</t>
  </si>
  <si>
    <t>Rana ISSAOUI</t>
  </si>
  <si>
    <t>3262</t>
  </si>
  <si>
    <t>GGCD4474</t>
  </si>
  <si>
    <t>Zaineb BELHAJ SALAH</t>
  </si>
  <si>
    <t>3263</t>
  </si>
  <si>
    <t>PLJS7863</t>
  </si>
  <si>
    <t>ADEL ALBOUCHI</t>
  </si>
  <si>
    <t>Ingénieur SI decisionnel BO</t>
  </si>
  <si>
    <t>3266</t>
  </si>
  <si>
    <t>TSRL4696</t>
  </si>
  <si>
    <t>Marwa BOUSSETTA</t>
  </si>
  <si>
    <t>Chef de Service dimensionnement et optimisation Radio</t>
  </si>
  <si>
    <t>3287</t>
  </si>
  <si>
    <t>VVLC7921</t>
  </si>
  <si>
    <t>Khawla GRASSI</t>
  </si>
  <si>
    <t>Ingénieur production B2B</t>
  </si>
  <si>
    <t>3288</t>
  </si>
  <si>
    <t>GHJP0974</t>
  </si>
  <si>
    <t>Mohamed Ali GZARA</t>
  </si>
  <si>
    <t>Ingénieur Environnement Technique</t>
  </si>
  <si>
    <t>3308</t>
  </si>
  <si>
    <t>GMRP9708</t>
  </si>
  <si>
    <t>Ridha AYEB</t>
  </si>
  <si>
    <t>Chef de Service Support Transport IP</t>
  </si>
  <si>
    <t>3312</t>
  </si>
  <si>
    <t>QRWV5221</t>
  </si>
  <si>
    <t>Walid Kdaiem</t>
  </si>
  <si>
    <t>Chef de Service infrastructure et Cloud</t>
  </si>
  <si>
    <t>3318</t>
  </si>
  <si>
    <t>NBTL7501</t>
  </si>
  <si>
    <t>Foued BEN FRADJ</t>
  </si>
  <si>
    <t>3319</t>
  </si>
  <si>
    <t>JQDH7568</t>
  </si>
  <si>
    <t>Maher SELLEMI</t>
  </si>
  <si>
    <t>3327</t>
  </si>
  <si>
    <t>STFS6899</t>
  </si>
  <si>
    <t>Ameni NSIB</t>
  </si>
  <si>
    <t>3329</t>
  </si>
  <si>
    <t>VJKX9919</t>
  </si>
  <si>
    <t>MOHAMED KAABACHI</t>
  </si>
  <si>
    <t>3330</t>
  </si>
  <si>
    <t>MLMM4320</t>
  </si>
  <si>
    <t>Yosr TONNICH</t>
  </si>
  <si>
    <t>Responsable d'activité ADSL GP</t>
  </si>
  <si>
    <t>3331</t>
  </si>
  <si>
    <t>HJQS3835</t>
  </si>
  <si>
    <t>Mariem SOUMER</t>
  </si>
  <si>
    <t>Responsable Réseaux Sociaux</t>
  </si>
  <si>
    <t>3332</t>
  </si>
  <si>
    <t>SDQG1678</t>
  </si>
  <si>
    <t>Walid HMIDI</t>
  </si>
  <si>
    <t>3333</t>
  </si>
  <si>
    <t>BCWJ8041</t>
  </si>
  <si>
    <t>Mohamed Yosri CHERIF</t>
  </si>
  <si>
    <t>3350</t>
  </si>
  <si>
    <t>GSMT1594</t>
  </si>
  <si>
    <t>Maher NAIMI</t>
  </si>
  <si>
    <t>Ingénieur Broadband Fixe</t>
  </si>
  <si>
    <t>3351</t>
  </si>
  <si>
    <t>WJLS1208</t>
  </si>
  <si>
    <t>Mayssa BEN YAHMED</t>
  </si>
  <si>
    <t>Responsable pôle gestion de la base client</t>
  </si>
  <si>
    <t>3352</t>
  </si>
  <si>
    <t>TDNQ3083</t>
  </si>
  <si>
    <t>Wassim ABDERRAHIM</t>
  </si>
  <si>
    <t>Chargé Maintenance</t>
  </si>
  <si>
    <t>3362</t>
  </si>
  <si>
    <t>VWLL7247 </t>
  </si>
  <si>
    <t>Salma ABDELMOUMEN</t>
  </si>
  <si>
    <t>Chef de service développement mobile</t>
  </si>
  <si>
    <t>3367</t>
  </si>
  <si>
    <t>VQRT2838</t>
  </si>
  <si>
    <t>Mohamed Zied BEN WAHID</t>
  </si>
  <si>
    <t>Scrum Master et coach Agile</t>
  </si>
  <si>
    <t>3368</t>
  </si>
  <si>
    <t>RVHQ4491</t>
  </si>
  <si>
    <t>Ramzi OUALI</t>
  </si>
  <si>
    <t>3369</t>
  </si>
  <si>
    <t>GGCQ6775</t>
  </si>
  <si>
    <t>Imen SAMMOUD</t>
  </si>
  <si>
    <t>Ingénieur Planification Radio</t>
  </si>
  <si>
    <t>3370</t>
  </si>
  <si>
    <t>WHLX6774</t>
  </si>
  <si>
    <t>Ahmed Hammouda</t>
  </si>
  <si>
    <t>UI/UX Designer</t>
  </si>
  <si>
    <t>3373</t>
  </si>
  <si>
    <t>GZQK9985</t>
  </si>
  <si>
    <t>Senda SAIDI</t>
  </si>
  <si>
    <t>Chef de Produit Broadband</t>
  </si>
  <si>
    <t>3378</t>
  </si>
  <si>
    <t>NZXZ8524</t>
  </si>
  <si>
    <t>Sirine AYARI</t>
  </si>
  <si>
    <t>Analyste roaming</t>
  </si>
  <si>
    <t>3380</t>
  </si>
  <si>
    <t>MFDN3201</t>
  </si>
  <si>
    <t>Hafedh Nabil THOUIR</t>
  </si>
  <si>
    <t>3382</t>
  </si>
  <si>
    <t>DNLQ2569</t>
  </si>
  <si>
    <t>Amel BEN SALEM</t>
  </si>
  <si>
    <t>3383</t>
  </si>
  <si>
    <t>YZGG1379</t>
  </si>
  <si>
    <t>Selima ARRFA</t>
  </si>
  <si>
    <t>3384</t>
  </si>
  <si>
    <t>XXPG4360</t>
  </si>
  <si>
    <t>Maroua RHAIEM</t>
  </si>
  <si>
    <t>3385</t>
  </si>
  <si>
    <t>JDRS3926</t>
  </si>
  <si>
    <t>Thouraya BADRI</t>
  </si>
  <si>
    <t>3386</t>
  </si>
  <si>
    <t>LLVD2323</t>
  </si>
  <si>
    <t>Heni MEZRANI</t>
  </si>
  <si>
    <t>Manager ODC</t>
  </si>
  <si>
    <t>3390</t>
  </si>
  <si>
    <t>GLBX8239</t>
  </si>
  <si>
    <t>Sami BINOUS</t>
  </si>
  <si>
    <t>Chef de Service Comptabilité Fournisseurs et Immobilisation</t>
  </si>
  <si>
    <t>3392</t>
  </si>
  <si>
    <t>GJRF5945</t>
  </si>
  <si>
    <t>Sana CHIBANI</t>
  </si>
  <si>
    <t>3417</t>
  </si>
  <si>
    <t>CLQR8228</t>
  </si>
  <si>
    <t>Imen REZGUI</t>
  </si>
  <si>
    <t>Chargé(e) moyens et stocks informatique</t>
  </si>
  <si>
    <t>3425</t>
  </si>
  <si>
    <t>VXNV4478</t>
  </si>
  <si>
    <t>Haythem DRAOUI</t>
  </si>
  <si>
    <t>Spécialiste sponsoring et événementiel</t>
  </si>
  <si>
    <t>3427</t>
  </si>
  <si>
    <t>YVNL1540</t>
  </si>
  <si>
    <t>Mohamed Alaa Eddine BOURAOUI</t>
  </si>
  <si>
    <t>Développeur instructeur fullstack</t>
  </si>
  <si>
    <t>3430</t>
  </si>
  <si>
    <t>WNWS6748</t>
  </si>
  <si>
    <t>Wafa Jebari</t>
  </si>
  <si>
    <t>Spécialiste Communication interne</t>
  </si>
  <si>
    <t>3431</t>
  </si>
  <si>
    <t>SZWJ9823</t>
  </si>
  <si>
    <t>Ahmed DAGHAR</t>
  </si>
  <si>
    <t>Chef de Projet Core, Voix et Signalisation</t>
  </si>
  <si>
    <t>3434</t>
  </si>
  <si>
    <t>FGFZ4455</t>
  </si>
  <si>
    <t>Olfa GAMOUDI</t>
  </si>
  <si>
    <t>Ingénieur solutions  B2B</t>
  </si>
  <si>
    <t>3440</t>
  </si>
  <si>
    <t>DKDZ7887</t>
  </si>
  <si>
    <t>Mehdi TOUMI</t>
  </si>
  <si>
    <t>Responsable pôle Data et services managés</t>
  </si>
  <si>
    <t>3441</t>
  </si>
  <si>
    <t>LTPW1534</t>
  </si>
  <si>
    <t>Bilel BOUSSAA</t>
  </si>
  <si>
    <t>3445</t>
  </si>
  <si>
    <t>WNFD9877</t>
  </si>
  <si>
    <t>Mohamed Faouzi SAIDI</t>
  </si>
  <si>
    <t>3447</t>
  </si>
  <si>
    <t>GBMP3061</t>
  </si>
  <si>
    <t>Achraf BEN ZID</t>
  </si>
  <si>
    <t>Administrateur base de données</t>
  </si>
  <si>
    <t>3454</t>
  </si>
  <si>
    <t>VJNF8345</t>
  </si>
  <si>
    <t>IMED BEYA</t>
  </si>
  <si>
    <t>ingénieur projet déploiement Fixe </t>
  </si>
  <si>
    <t>3457</t>
  </si>
  <si>
    <t>DDCG6310</t>
  </si>
  <si>
    <t>MOHSEN DAOUD</t>
  </si>
  <si>
    <t>Ingénieur Optimisation et Dimensionnement Radio</t>
  </si>
  <si>
    <t>3458</t>
  </si>
  <si>
    <t>TRCC3204</t>
  </si>
  <si>
    <t>TAREK HTIRA</t>
  </si>
  <si>
    <t>Directeur Audit et contrôle Interne</t>
  </si>
  <si>
    <t>3467</t>
  </si>
  <si>
    <t>GFHH7991</t>
  </si>
  <si>
    <t>Yosra BEN AISSA</t>
  </si>
  <si>
    <t>Spécialiste communication externe digitale</t>
  </si>
  <si>
    <t>3468</t>
  </si>
  <si>
    <t>FGHW0073</t>
  </si>
  <si>
    <t>Ameni AMDOUNI</t>
  </si>
  <si>
    <t>Gestionnaire Budget Technique</t>
  </si>
  <si>
    <t>3469</t>
  </si>
  <si>
    <t>WDTN7838</t>
  </si>
  <si>
    <t>Marouen KHADHAR</t>
  </si>
  <si>
    <t>Responsable Pôle gaming</t>
  </si>
  <si>
    <t>3472</t>
  </si>
  <si>
    <t>FLMX6770</t>
  </si>
  <si>
    <t>Khaled CHALOUATI</t>
  </si>
  <si>
    <t>Ingénieur Devops</t>
  </si>
  <si>
    <t>3473</t>
  </si>
  <si>
    <t>CXCC2160</t>
  </si>
  <si>
    <t>Mohamed Aymen BEN NEJMA</t>
  </si>
  <si>
    <t>Développeur SI</t>
  </si>
  <si>
    <t>3475</t>
  </si>
  <si>
    <t>WCMJ7742</t>
  </si>
  <si>
    <t>Ehseneddine TOUIL</t>
  </si>
  <si>
    <t>3479</t>
  </si>
  <si>
    <t>HGCN4838</t>
  </si>
  <si>
    <t>Mehdi BEN AMOR</t>
  </si>
  <si>
    <t>Chef de service Analyse des performances des campagnes digitales</t>
  </si>
  <si>
    <t>3483</t>
  </si>
  <si>
    <t>HPQF6684</t>
  </si>
  <si>
    <t>Emna THABET</t>
  </si>
  <si>
    <t>Responsable VAS Content</t>
  </si>
  <si>
    <t>3484</t>
  </si>
  <si>
    <t>WDHS6895</t>
  </si>
  <si>
    <t>Ahmed ZEIRI</t>
  </si>
  <si>
    <t>Ingénieur IP</t>
  </si>
  <si>
    <t>3485</t>
  </si>
  <si>
    <t>CLQF8199</t>
  </si>
  <si>
    <t>Iheb MATOUSSI</t>
  </si>
  <si>
    <t>Ingénieur SI decisionnel FO</t>
  </si>
  <si>
    <t>3486</t>
  </si>
  <si>
    <t>WVYG7048</t>
  </si>
  <si>
    <t xml:space="preserve">Responsable pôle BI analytique et géomarketing </t>
  </si>
  <si>
    <t>3487</t>
  </si>
  <si>
    <t>DYRM2655</t>
  </si>
  <si>
    <t>Mariem GHOURABI</t>
  </si>
  <si>
    <t>3488</t>
  </si>
  <si>
    <t>QCQC5446</t>
  </si>
  <si>
    <t>Mohamed Chedly LEMSI</t>
  </si>
  <si>
    <t>Ingénieur Sécurité SI</t>
  </si>
  <si>
    <t>3489</t>
  </si>
  <si>
    <t>KYKH1879</t>
  </si>
  <si>
    <t>Chamseddine AJROUDI</t>
  </si>
  <si>
    <t>Spécialiste comptabilité clôture</t>
  </si>
  <si>
    <t>3490</t>
  </si>
  <si>
    <t>YWLC4755</t>
  </si>
  <si>
    <t>Ines LAKHOUA</t>
  </si>
  <si>
    <t>3492</t>
  </si>
  <si>
    <t>FVTK7254</t>
  </si>
  <si>
    <t>Zakaria BEN YOUNES</t>
  </si>
  <si>
    <t xml:space="preserve">Fablab Manager </t>
  </si>
  <si>
    <t>3493</t>
  </si>
  <si>
    <t>VSJX1507</t>
  </si>
  <si>
    <t>Sabrine LAFFET</t>
  </si>
  <si>
    <t>3494</t>
  </si>
  <si>
    <t>HVHM9666</t>
  </si>
  <si>
    <t>Khalil AYARI</t>
  </si>
  <si>
    <t>Administrateur infrastructure et cloud </t>
  </si>
  <si>
    <t>3495</t>
  </si>
  <si>
    <t>FBPC8331</t>
  </si>
  <si>
    <t>Houssem HADDAD</t>
  </si>
  <si>
    <t>3496</t>
  </si>
  <si>
    <t>FFDF4058</t>
  </si>
  <si>
    <t>Said LAHOUEL</t>
  </si>
  <si>
    <t>Auditeur Interne</t>
  </si>
  <si>
    <t>3497</t>
  </si>
  <si>
    <t>DDMW0064</t>
  </si>
  <si>
    <t>Hela BEN AMMAR</t>
  </si>
  <si>
    <t>3498</t>
  </si>
  <si>
    <t>VSZL1237</t>
  </si>
  <si>
    <t>Tayssir MLAIKI</t>
  </si>
  <si>
    <t>3499</t>
  </si>
  <si>
    <t>JPQH0637</t>
  </si>
  <si>
    <t>Ahlem EL KAMEL</t>
  </si>
  <si>
    <t>Ingénieur Core Data</t>
  </si>
  <si>
    <t>3503</t>
  </si>
  <si>
    <t>TWHL3011</t>
  </si>
  <si>
    <t>Farah Turki</t>
  </si>
  <si>
    <t>Spécialiste développement de partenariats et nouveaux servic</t>
  </si>
  <si>
    <t>3504</t>
  </si>
  <si>
    <t>QNXT1171</t>
  </si>
  <si>
    <t>Sirine SMIDA</t>
  </si>
  <si>
    <t>3505</t>
  </si>
  <si>
    <t>BJDW0336</t>
  </si>
  <si>
    <t>Marwen DOUSS</t>
  </si>
  <si>
    <t>3506</t>
  </si>
  <si>
    <t>NDCB5744</t>
  </si>
  <si>
    <t>Wided BOUBAKRI</t>
  </si>
  <si>
    <t>3507</t>
  </si>
  <si>
    <t>FNLH6241</t>
  </si>
  <si>
    <t>Mohamed Anas FATTOUM</t>
  </si>
  <si>
    <t>3509</t>
  </si>
  <si>
    <t>TTTT1553</t>
  </si>
  <si>
    <t>Oumaima MANSOURI</t>
  </si>
  <si>
    <t>3510</t>
  </si>
  <si>
    <t>RPYY6960</t>
  </si>
  <si>
    <t>Anas BEN ABDELAFOU</t>
  </si>
  <si>
    <t>3516</t>
  </si>
  <si>
    <t>GYHR6495</t>
  </si>
  <si>
    <t>Rim SAHLI</t>
  </si>
  <si>
    <t>3517</t>
  </si>
  <si>
    <t>CBDG9670</t>
  </si>
  <si>
    <t>Mayssa SHILI</t>
  </si>
  <si>
    <t>Ingénieur dimensionnement et architecture de réseaux</t>
  </si>
  <si>
    <t>3518</t>
  </si>
  <si>
    <t>RDDH1252</t>
  </si>
  <si>
    <t>Mohamed FOURATI</t>
  </si>
  <si>
    <t>Chef de Projet SI Vente</t>
  </si>
  <si>
    <t>3519</t>
  </si>
  <si>
    <t>KDBH2610</t>
  </si>
  <si>
    <t>Khaoula BEN AMARA</t>
  </si>
  <si>
    <t>Ingénieur SMC</t>
  </si>
  <si>
    <t>3520</t>
  </si>
  <si>
    <t>ZRKW0934</t>
  </si>
  <si>
    <t>Saber JLASSI</t>
  </si>
  <si>
    <t>Ingénieur support services et DATA</t>
  </si>
  <si>
    <t>3521</t>
  </si>
  <si>
    <t>BDWS1272</t>
  </si>
  <si>
    <t>Ahmed LAIFI</t>
  </si>
  <si>
    <t>3522</t>
  </si>
  <si>
    <t>FHFJ4196</t>
  </si>
  <si>
    <t>Najeh ARRAD</t>
  </si>
  <si>
    <t>Développeur iOS</t>
  </si>
  <si>
    <t>3524</t>
  </si>
  <si>
    <t>FWDF3233</t>
  </si>
  <si>
    <t>Fatma KRAIEM</t>
  </si>
  <si>
    <t>3526</t>
  </si>
  <si>
    <t>YXXC1990</t>
  </si>
  <si>
    <t>Imen ARFAOUI</t>
  </si>
  <si>
    <t>3527</t>
  </si>
  <si>
    <t>BJLZ9572</t>
  </si>
  <si>
    <t>Hassen HMIDI</t>
  </si>
  <si>
    <t>3528</t>
  </si>
  <si>
    <t>WBHD3936</t>
  </si>
  <si>
    <t>Olfa BEJAOUI</t>
  </si>
  <si>
    <t>Ingénieur BSCS</t>
  </si>
  <si>
    <t>3531</t>
  </si>
  <si>
    <t>FSVG2331</t>
  </si>
  <si>
    <t>MOHAMED JALLOUL</t>
  </si>
  <si>
    <t>Chef de service offres commerciales et facturation</t>
  </si>
  <si>
    <t>3532</t>
  </si>
  <si>
    <t>WKVW1985</t>
  </si>
  <si>
    <t>Atef KOURAICHI</t>
  </si>
  <si>
    <t>Chef de service Design Authority</t>
  </si>
  <si>
    <t>3536</t>
  </si>
  <si>
    <t>HBQL4526</t>
  </si>
  <si>
    <t>Azza KACEM</t>
  </si>
  <si>
    <t>3538</t>
  </si>
  <si>
    <t>SVMF2930</t>
  </si>
  <si>
    <t>Amira SAID</t>
  </si>
  <si>
    <t>Expert Support Transport IP</t>
  </si>
  <si>
    <t>3539</t>
  </si>
  <si>
    <t>CQCT5397</t>
  </si>
  <si>
    <t>Mohamed AKBOUCHI</t>
  </si>
  <si>
    <t>Responsable avant-vente</t>
  </si>
  <si>
    <t>3543</t>
  </si>
  <si>
    <t>HGXP1599</t>
  </si>
  <si>
    <t>Hadhami HAJ LARBI</t>
  </si>
  <si>
    <t>Chef de Projet solutions B2B</t>
  </si>
  <si>
    <t>3544</t>
  </si>
  <si>
    <t>CCKF7904</t>
  </si>
  <si>
    <t>Mariem ABDELLATIF</t>
  </si>
  <si>
    <t>3546</t>
  </si>
  <si>
    <t>YZYM0992</t>
  </si>
  <si>
    <t>Sana NASRI</t>
  </si>
  <si>
    <t>Analyste BI &amp; Géomarketing</t>
  </si>
  <si>
    <t>3547</t>
  </si>
  <si>
    <t>QRMQ8307</t>
  </si>
  <si>
    <t>Asma KHLIFI</t>
  </si>
  <si>
    <t>3548</t>
  </si>
  <si>
    <t>DBXY3934</t>
  </si>
  <si>
    <t>Sami NASRI</t>
  </si>
  <si>
    <t>3549</t>
  </si>
  <si>
    <t>RGFG1335</t>
  </si>
  <si>
    <t>Mohamed Mehdi FAYECH</t>
  </si>
  <si>
    <t>3552</t>
  </si>
  <si>
    <t>CDSX3325</t>
  </si>
  <si>
    <t>Marwa GHARAM</t>
  </si>
  <si>
    <t>3567</t>
  </si>
  <si>
    <t>XRVH2234</t>
  </si>
  <si>
    <t>Oumaima Nogaa</t>
  </si>
  <si>
    <t>3568</t>
  </si>
  <si>
    <t>BRCN8248</t>
  </si>
  <si>
    <t>Mouaffek Omri</t>
  </si>
  <si>
    <t>3569</t>
  </si>
  <si>
    <t>VFTP0577</t>
  </si>
  <si>
    <t>Najla  Kharbout</t>
  </si>
  <si>
    <t>3574</t>
  </si>
  <si>
    <t>CNNS9143 </t>
  </si>
  <si>
    <t>Akrem Dakhli</t>
  </si>
  <si>
    <t>3575</t>
  </si>
  <si>
    <t>FXTN7144</t>
  </si>
  <si>
    <t>Amine Akrimi</t>
  </si>
  <si>
    <t>Acheteur Technique</t>
  </si>
  <si>
    <t>3578</t>
  </si>
  <si>
    <t>WYRX2526</t>
  </si>
  <si>
    <t>Mohamed Yassine Ben Nacef</t>
  </si>
  <si>
    <t>3579</t>
  </si>
  <si>
    <t>KHMG7630</t>
  </si>
  <si>
    <t>Sirine Ghanjeti</t>
  </si>
  <si>
    <t>Ingénieur Evolution et Extension RAN</t>
  </si>
  <si>
    <t>3581</t>
  </si>
  <si>
    <t>HTBJ0691</t>
  </si>
  <si>
    <t>Hatem Menchaoui</t>
  </si>
  <si>
    <t>Administrateur Poste de travail</t>
  </si>
  <si>
    <t>3582</t>
  </si>
  <si>
    <t>ZWXL3160</t>
  </si>
  <si>
    <t>Mohamed Rayen Belgaied</t>
  </si>
  <si>
    <t>Responsable déploiement et intégration M365</t>
  </si>
  <si>
    <t>3583</t>
  </si>
  <si>
    <t>NBFL6501</t>
  </si>
  <si>
    <t>Chaima Zneigui</t>
  </si>
  <si>
    <t>3584</t>
  </si>
  <si>
    <t>WHGB9048</t>
  </si>
  <si>
    <t>Awatef Akremi</t>
  </si>
  <si>
    <t>3585</t>
  </si>
  <si>
    <t>MCCV1942</t>
  </si>
  <si>
    <t>Mohamed Thamer Chehab</t>
  </si>
  <si>
    <t>Ingénieur support IP et Sécurité</t>
  </si>
  <si>
    <t>3588</t>
  </si>
  <si>
    <t>LPWF9819</t>
  </si>
  <si>
    <t>Sabeh GHOZZI</t>
  </si>
  <si>
    <t>Administrateur Kubernetes</t>
  </si>
  <si>
    <t>3591</t>
  </si>
  <si>
    <t>JWHT7990</t>
  </si>
  <si>
    <t>Amine KAROUI</t>
  </si>
  <si>
    <t>3592</t>
  </si>
  <si>
    <t>MJKW8490</t>
  </si>
  <si>
    <t>Hanen AKERMI</t>
  </si>
  <si>
    <t>Ingénieur support IP et Sécurité Réseau</t>
  </si>
  <si>
    <t>3594</t>
  </si>
  <si>
    <t>YJWR2777</t>
  </si>
  <si>
    <t>Houssem Bouraoui</t>
  </si>
  <si>
    <t>Développeur WEB</t>
  </si>
  <si>
    <t>3595</t>
  </si>
  <si>
    <t>HBXR3802</t>
  </si>
  <si>
    <t>Emir Ben Zayed</t>
  </si>
  <si>
    <t>Content Manager</t>
  </si>
  <si>
    <t>3598</t>
  </si>
  <si>
    <t>NFFQ3206</t>
  </si>
  <si>
    <t>Manel Kacem</t>
  </si>
  <si>
    <t>Dévelopeur Full Stack</t>
  </si>
  <si>
    <t>3599</t>
  </si>
  <si>
    <t>ZGJZ3745</t>
  </si>
  <si>
    <t>LOBNA HAMMAMI</t>
  </si>
  <si>
    <t>3600</t>
  </si>
  <si>
    <t>FZRK8291</t>
  </si>
  <si>
    <t>Mariem YOUSFI</t>
  </si>
  <si>
    <t>3601</t>
  </si>
  <si>
    <t>TVZP6685</t>
  </si>
  <si>
    <t>Roua Chaouachi</t>
  </si>
  <si>
    <t>3608</t>
  </si>
  <si>
    <t>MCNF2702</t>
  </si>
  <si>
    <t>Yasmine Hentati</t>
  </si>
  <si>
    <t>3610</t>
  </si>
  <si>
    <t>CQKF7035</t>
  </si>
  <si>
    <t>Mohamed Amine Salah</t>
  </si>
  <si>
    <t>3614</t>
  </si>
  <si>
    <t>ZQFD3139</t>
  </si>
  <si>
    <t>Zeineb NASRI</t>
  </si>
  <si>
    <t>Analyste Revenu et Assurance</t>
  </si>
  <si>
    <t>3619</t>
  </si>
  <si>
    <t>WFQD5652</t>
  </si>
  <si>
    <t>YASSINE ARAAR</t>
  </si>
  <si>
    <t>Ingenieur SMC Qos</t>
  </si>
  <si>
    <t>3623</t>
  </si>
  <si>
    <t>GFGD4524</t>
  </si>
  <si>
    <t>Ameni Amri</t>
  </si>
  <si>
    <t>3624</t>
  </si>
  <si>
    <t>FFJK9376</t>
  </si>
  <si>
    <t>Thabet Tlili</t>
  </si>
  <si>
    <t>3625</t>
  </si>
  <si>
    <t>DRHC0728</t>
  </si>
  <si>
    <t>Amel Khechini</t>
  </si>
  <si>
    <t>3626</t>
  </si>
  <si>
    <t>JVDX8632</t>
  </si>
  <si>
    <t>Chaima Sammoud</t>
  </si>
  <si>
    <t>3627</t>
  </si>
  <si>
    <t>JGZS4149</t>
  </si>
  <si>
    <t>Mehdi Somrani</t>
  </si>
  <si>
    <t>3628</t>
  </si>
  <si>
    <t>MNHR7948</t>
  </si>
  <si>
    <t>Sonia Njoui</t>
  </si>
  <si>
    <t>P0217</t>
  </si>
  <si>
    <t>NQXV7103</t>
  </si>
  <si>
    <t>SANA TALLOULI</t>
  </si>
  <si>
    <t>P0233</t>
  </si>
  <si>
    <t>TFSP2654</t>
  </si>
  <si>
    <t>SALWA BEN CHALBI</t>
  </si>
  <si>
    <t>P0288</t>
  </si>
  <si>
    <t>WQPJ2221</t>
  </si>
  <si>
    <t>ITEB MEKNI</t>
  </si>
  <si>
    <t>P0410</t>
  </si>
  <si>
    <t>DRHB1977</t>
  </si>
  <si>
    <t>HOUDA HOUIMLI</t>
  </si>
  <si>
    <t>P0419</t>
  </si>
  <si>
    <t>DMPQ3073</t>
  </si>
  <si>
    <t>WAFA BEN MASSAOUD</t>
  </si>
  <si>
    <t>P0438</t>
  </si>
  <si>
    <t>NXJX9768</t>
  </si>
  <si>
    <t>WAFA HARRABI</t>
  </si>
  <si>
    <t>P0467</t>
  </si>
  <si>
    <t>QPJP5786</t>
  </si>
  <si>
    <t>KHAOULA BOULEHMI</t>
  </si>
  <si>
    <t>Chargé(e) client BO Data</t>
  </si>
  <si>
    <t>P0471</t>
  </si>
  <si>
    <t>DDVT2243</t>
  </si>
  <si>
    <t>INES MAJDOUB</t>
  </si>
  <si>
    <t>Technicien N2 ADSL B2B</t>
  </si>
  <si>
    <t>P0472</t>
  </si>
  <si>
    <t>SPBF0694</t>
  </si>
  <si>
    <t>HAMIDA BEN SOLTANA</t>
  </si>
  <si>
    <t>P0475</t>
  </si>
  <si>
    <t>BRSZ7554</t>
  </si>
  <si>
    <t>AMEL BADREDDINE</t>
  </si>
  <si>
    <t>P0480</t>
  </si>
  <si>
    <t>JMCZ1515</t>
  </si>
  <si>
    <t>ELARBI EL OUERTATANI</t>
  </si>
  <si>
    <t>P0497</t>
  </si>
  <si>
    <t>QZPN4073</t>
  </si>
  <si>
    <t>IMEN BOUZOUMITA</t>
  </si>
  <si>
    <t>P0529</t>
  </si>
  <si>
    <t>GRHJ6197</t>
  </si>
  <si>
    <t>NAWEL Bettaibi</t>
  </si>
  <si>
    <t>P0530</t>
  </si>
  <si>
    <t>FLRT2655</t>
  </si>
  <si>
    <t>IMEN BAHRI</t>
  </si>
  <si>
    <t>P0555</t>
  </si>
  <si>
    <t>JFLF3335</t>
  </si>
  <si>
    <t>MOHAMED ALI HELLALLI</t>
  </si>
  <si>
    <t>P0575</t>
  </si>
  <si>
    <t>DVVV4019</t>
  </si>
  <si>
    <t>KHALED JELLITI</t>
  </si>
  <si>
    <t>Chef de Département SC Mobile et DATA B2B</t>
  </si>
  <si>
    <t>P0585</t>
  </si>
  <si>
    <t>GTKQ7084</t>
  </si>
  <si>
    <t>Mohamed BEN AMMAR</t>
  </si>
  <si>
    <t>P0586</t>
  </si>
  <si>
    <t>KFLN8639</t>
  </si>
  <si>
    <t>Moez MDALLAH</t>
  </si>
  <si>
    <t>Anis SANSA</t>
  </si>
  <si>
    <t>Yassine HANDOUS</t>
  </si>
  <si>
    <t>Hamdi Cherif</t>
  </si>
  <si>
    <t>Tarek HATIRA</t>
  </si>
  <si>
    <t>Monia Berdissi</t>
  </si>
  <si>
    <t>Sonia Krichene</t>
  </si>
  <si>
    <t>Salma MOKRANI</t>
  </si>
  <si>
    <t>Nejib AISSAOUI</t>
  </si>
  <si>
    <t>Abdelkader ZOUABI</t>
  </si>
  <si>
    <t>J</t>
  </si>
  <si>
    <t>D</t>
  </si>
  <si>
    <t>A</t>
  </si>
  <si>
    <t>H</t>
  </si>
  <si>
    <t>F</t>
  </si>
  <si>
    <t>I</t>
  </si>
  <si>
    <t>G</t>
  </si>
  <si>
    <t>E</t>
  </si>
  <si>
    <t>B</t>
  </si>
  <si>
    <t>C</t>
  </si>
  <si>
    <t>Masculin</t>
  </si>
  <si>
    <t>Feminin</t>
  </si>
  <si>
    <t>Veuf(ve)</t>
  </si>
  <si>
    <t>Celibataire</t>
  </si>
  <si>
    <t>Marie(e)</t>
  </si>
  <si>
    <t>Divorce(e)</t>
  </si>
  <si>
    <t>Niveau Managerial</t>
  </si>
  <si>
    <t>Restant Retraite</t>
  </si>
  <si>
    <t>Départ à la retraite dans 5 ans</t>
  </si>
  <si>
    <t>Localisation démographique</t>
  </si>
  <si>
    <t>Grand Tunis</t>
  </si>
  <si>
    <t>SUD</t>
  </si>
  <si>
    <t>Centre</t>
  </si>
  <si>
    <t>Nord</t>
  </si>
  <si>
    <t>Nb d'absence cumulé depuis Janvier</t>
  </si>
  <si>
    <t>Site d'affectation</t>
  </si>
  <si>
    <t>DIVONA</t>
  </si>
  <si>
    <t>SIEGE</t>
  </si>
  <si>
    <t>CROISIERE CHARGUIA</t>
  </si>
  <si>
    <t>DSC-Kram</t>
  </si>
  <si>
    <t>DME SFAX</t>
  </si>
  <si>
    <t>DME SOUSSE</t>
  </si>
  <si>
    <t>Boutique SOUSSE 2</t>
  </si>
  <si>
    <t>Entrepôt</t>
  </si>
  <si>
    <t>Boutique LAFAYETTE</t>
  </si>
  <si>
    <t>Boutique HABIB BOURGUIBA</t>
  </si>
  <si>
    <t>Boutique LA MARSA</t>
  </si>
  <si>
    <t>Boutique BEJA</t>
  </si>
  <si>
    <t>Boutique JENDOUBA</t>
  </si>
  <si>
    <t>Boutique BARDO</t>
  </si>
  <si>
    <t>Boutique Nabeul</t>
  </si>
  <si>
    <t>Boutique SFAX 1</t>
  </si>
  <si>
    <t>Boutique CENTRAL PARK</t>
  </si>
  <si>
    <t>Boutique BIZERTE</t>
  </si>
  <si>
    <t>Boutique SFAX 2</t>
  </si>
  <si>
    <t>Boutique GEANT</t>
  </si>
  <si>
    <t>Boutique Ezzahra</t>
  </si>
  <si>
    <t>Boutique VIP</t>
  </si>
  <si>
    <t>Boutique Azur</t>
  </si>
  <si>
    <t>Boutique AEROPORT TUNIS CARTHAGE</t>
  </si>
  <si>
    <t>Boutique KEF</t>
  </si>
  <si>
    <t>Boutique KAIROUAN</t>
  </si>
  <si>
    <t>Boutique GABES</t>
  </si>
  <si>
    <t>MSC SOUSSE</t>
  </si>
  <si>
    <t>Boutique MONASTIR</t>
  </si>
  <si>
    <t>Boutique MAHDIA</t>
  </si>
  <si>
    <t>Boutique MEDNINE</t>
  </si>
  <si>
    <t>Boutique TOZEUR</t>
  </si>
  <si>
    <t>CENTRE ODC</t>
  </si>
  <si>
    <t>DSC-KRAM</t>
  </si>
  <si>
    <t>Boutique Tozeur</t>
  </si>
  <si>
    <t>Boutique Gabes</t>
  </si>
  <si>
    <t>Boutique Beja</t>
  </si>
  <si>
    <t>Boutique El Kef</t>
  </si>
  <si>
    <t>Boutique Jendouba</t>
  </si>
  <si>
    <t>Non Manager</t>
  </si>
  <si>
    <t>Manager avec Equipe</t>
  </si>
  <si>
    <t>Manager sans Equipe</t>
  </si>
  <si>
    <t>Unité organisat</t>
  </si>
  <si>
    <t>Libellé UO</t>
  </si>
  <si>
    <t>Centre de coût</t>
  </si>
  <si>
    <t>ResponsableUO</t>
  </si>
  <si>
    <t>DCE91000</t>
  </si>
  <si>
    <t>Direction Commercial des Entreprises</t>
  </si>
  <si>
    <t>91000</t>
  </si>
  <si>
    <t>Oui</t>
  </si>
  <si>
    <t>DFI61510</t>
  </si>
  <si>
    <t>Recouvrement terrain</t>
  </si>
  <si>
    <t>61510</t>
  </si>
  <si>
    <t>Non</t>
  </si>
  <si>
    <t>DG10101</t>
  </si>
  <si>
    <t>Direction Générale 1</t>
  </si>
  <si>
    <t>10100</t>
  </si>
  <si>
    <t>DRS14135</t>
  </si>
  <si>
    <t>Fibre Optique &amp; Satellite</t>
  </si>
  <si>
    <t>14135</t>
  </si>
  <si>
    <t>DRH31122</t>
  </si>
  <si>
    <t>HR Bisiness Partner</t>
  </si>
  <si>
    <t>31120</t>
  </si>
  <si>
    <t>DRS14146</t>
  </si>
  <si>
    <t>Département Intervention</t>
  </si>
  <si>
    <t>14146</t>
  </si>
  <si>
    <t>DRS141204</t>
  </si>
  <si>
    <t>Service Dimensionnement et Optimisation Radio</t>
  </si>
  <si>
    <t>14120</t>
  </si>
  <si>
    <t>DPROG41000</t>
  </si>
  <si>
    <t>Direction de Programme</t>
  </si>
  <si>
    <t>41000</t>
  </si>
  <si>
    <t>DRS141301</t>
  </si>
  <si>
    <t>Service Projet Transverse</t>
  </si>
  <si>
    <t>14139</t>
  </si>
  <si>
    <t>DFI61120</t>
  </si>
  <si>
    <t>Encaissements</t>
  </si>
  <si>
    <t>61120</t>
  </si>
  <si>
    <t>DFI61100</t>
  </si>
  <si>
    <t>Département Trésorerie</t>
  </si>
  <si>
    <t>61100</t>
  </si>
  <si>
    <t>DFI61201</t>
  </si>
  <si>
    <t>contrôle de gestion</t>
  </si>
  <si>
    <t>61200</t>
  </si>
  <si>
    <t>DCGP11140</t>
  </si>
  <si>
    <t>Département Support Commercial</t>
  </si>
  <si>
    <t>11140</t>
  </si>
  <si>
    <t>DSI13100</t>
  </si>
  <si>
    <t>Direction Système d'Information</t>
  </si>
  <si>
    <t>13100</t>
  </si>
  <si>
    <t>DCGP11141</t>
  </si>
  <si>
    <t>Asministration des ventes et SAV</t>
  </si>
  <si>
    <t>11141</t>
  </si>
  <si>
    <t>DRH31200</t>
  </si>
  <si>
    <t>Formation &amp; Recrutement</t>
  </si>
  <si>
    <t>31200</t>
  </si>
  <si>
    <t>DSI13167</t>
  </si>
  <si>
    <t>Département Exp FO</t>
  </si>
  <si>
    <t>13160</t>
  </si>
  <si>
    <t>DCGP11152</t>
  </si>
  <si>
    <t xml:space="preserve">PDV </t>
  </si>
  <si>
    <t>DRS141382</t>
  </si>
  <si>
    <t>Service Support Négo</t>
  </si>
  <si>
    <t>14182</t>
  </si>
  <si>
    <t>DSI13133</t>
  </si>
  <si>
    <t>SI-Entreprise</t>
  </si>
  <si>
    <t>13133</t>
  </si>
  <si>
    <t>DRS14160</t>
  </si>
  <si>
    <t>Département B2B Factory</t>
  </si>
  <si>
    <t>14160</t>
  </si>
  <si>
    <t>DRS14104</t>
  </si>
  <si>
    <t>Stratégie et Planification</t>
  </si>
  <si>
    <t>14130</t>
  </si>
  <si>
    <t>DFI61200</t>
  </si>
  <si>
    <t>Département Contrôle de Gestion</t>
  </si>
  <si>
    <t>DRS14138</t>
  </si>
  <si>
    <t>Département Déploiement</t>
  </si>
  <si>
    <t>14138</t>
  </si>
  <si>
    <t>DAL71001</t>
  </si>
  <si>
    <t>Service Traveaux sites administratifs et techniques</t>
  </si>
  <si>
    <t>71000</t>
  </si>
  <si>
    <t>DC11154</t>
  </si>
  <si>
    <t>Service distribution</t>
  </si>
  <si>
    <t>11155</t>
  </si>
  <si>
    <t>Infrastructure Réseau</t>
  </si>
  <si>
    <t>DRS141205</t>
  </si>
  <si>
    <t>Direction Réseau d'Accès</t>
  </si>
  <si>
    <t>DRS14131</t>
  </si>
  <si>
    <t>Dép Réseau Intellig Sce à VA</t>
  </si>
  <si>
    <t>14131</t>
  </si>
  <si>
    <t>DFI61400</t>
  </si>
  <si>
    <t>Département Comptabilié</t>
  </si>
  <si>
    <t>61400</t>
  </si>
  <si>
    <t>DAL71230</t>
  </si>
  <si>
    <t>Achats Hors production</t>
  </si>
  <si>
    <t>71230</t>
  </si>
  <si>
    <t>DCGP111001</t>
  </si>
  <si>
    <t>Département Performance Management</t>
  </si>
  <si>
    <t>11100</t>
  </si>
  <si>
    <t>DSC81150</t>
  </si>
  <si>
    <t>Département SC Mobile et ADSL GP</t>
  </si>
  <si>
    <t>81120</t>
  </si>
  <si>
    <t>DRH31204</t>
  </si>
  <si>
    <t>service Communication interne</t>
  </si>
  <si>
    <t>DRO51000</t>
  </si>
  <si>
    <t>Direction Régulation &amp; Opérateurs</t>
  </si>
  <si>
    <t>51000</t>
  </si>
  <si>
    <t>DCGP11100</t>
  </si>
  <si>
    <t>Direction Ventes Grand Public</t>
  </si>
  <si>
    <t>DRS14168</t>
  </si>
  <si>
    <t>Intervention Sud</t>
  </si>
  <si>
    <t>14168</t>
  </si>
  <si>
    <t>DRS14151</t>
  </si>
  <si>
    <t>Service Déploiement</t>
  </si>
  <si>
    <t>14181</t>
  </si>
  <si>
    <t>DMC121205</t>
  </si>
  <si>
    <t xml:space="preserve"> Service Vas et Innovation</t>
  </si>
  <si>
    <t>12170</t>
  </si>
  <si>
    <t>DRH31121</t>
  </si>
  <si>
    <t>Sce Paie et Admin</t>
  </si>
  <si>
    <t>DRE15100</t>
  </si>
  <si>
    <t>Direction Relation Extérieur</t>
  </si>
  <si>
    <t>15130</t>
  </si>
  <si>
    <t>DCGP111301</t>
  </si>
  <si>
    <t>Merchandising PDV</t>
  </si>
  <si>
    <t>11130</t>
  </si>
  <si>
    <t>DRS14122</t>
  </si>
  <si>
    <t>Service planification radio</t>
  </si>
  <si>
    <t>DG10100</t>
  </si>
  <si>
    <t>Direction Générale</t>
  </si>
  <si>
    <t>DRO51303</t>
  </si>
  <si>
    <t>projet Wholesale National</t>
  </si>
  <si>
    <t>51300</t>
  </si>
  <si>
    <t>DMC121801</t>
  </si>
  <si>
    <t>service Offres Mobile &amp; Broadband</t>
  </si>
  <si>
    <t>12180</t>
  </si>
  <si>
    <t>DGC91143</t>
  </si>
  <si>
    <t>Vente SFAX-SUD</t>
  </si>
  <si>
    <t>91141</t>
  </si>
  <si>
    <t>DAL71310</t>
  </si>
  <si>
    <t>Gestion des Stocks &amp; Inventaires</t>
  </si>
  <si>
    <t>71310</t>
  </si>
  <si>
    <t>DCE91005</t>
  </si>
  <si>
    <t xml:space="preserve">Service Grands Comptes </t>
  </si>
  <si>
    <t>DRH31202</t>
  </si>
  <si>
    <t>Service Formation DRH</t>
  </si>
  <si>
    <t>DSI13158</t>
  </si>
  <si>
    <t>Sce BO décisionnel</t>
  </si>
  <si>
    <t>13154</t>
  </si>
  <si>
    <t>DRS14136</t>
  </si>
  <si>
    <t>Transmission</t>
  </si>
  <si>
    <t>14136</t>
  </si>
  <si>
    <t>DFI61101</t>
  </si>
  <si>
    <t>Service  Décaissement et Relations banques</t>
  </si>
  <si>
    <t>DAL71300</t>
  </si>
  <si>
    <t>Logistique</t>
  </si>
  <si>
    <t>71300</t>
  </si>
  <si>
    <t>DSC811203</t>
  </si>
  <si>
    <t>Service Activité Mobile GP</t>
  </si>
  <si>
    <t>DRH31208</t>
  </si>
  <si>
    <t>Pôle Workforce Planning et Développement des compétences</t>
  </si>
  <si>
    <t>DFI61431</t>
  </si>
  <si>
    <t>Service Comptabilité Fournisseurs et Immobilisation</t>
  </si>
  <si>
    <t>DCGP11120</t>
  </si>
  <si>
    <t>Département Vente Directes</t>
  </si>
  <si>
    <t>11120</t>
  </si>
  <si>
    <t>DRS14155</t>
  </si>
  <si>
    <t>Service support entreprise</t>
  </si>
  <si>
    <t>DRS14163</t>
  </si>
  <si>
    <t>Supervision Incidents Réseau</t>
  </si>
  <si>
    <t>14163</t>
  </si>
  <si>
    <t>DRS141383</t>
  </si>
  <si>
    <t>Service Déploiement GC</t>
  </si>
  <si>
    <t>14183</t>
  </si>
  <si>
    <t>DRH31209</t>
  </si>
  <si>
    <t xml:space="preserve"> service Talent management</t>
  </si>
  <si>
    <t>DSI13134</t>
  </si>
  <si>
    <t>Département Digital Factory</t>
  </si>
  <si>
    <t>DRS14133</t>
  </si>
  <si>
    <t>Dép Portails Contenus &amp;Terminaux</t>
  </si>
  <si>
    <t>14133</t>
  </si>
  <si>
    <t>DRS141415</t>
  </si>
  <si>
    <t>Département Infrastructure et OSS</t>
  </si>
  <si>
    <t>DRS141442</t>
  </si>
  <si>
    <t>Service Support VAS</t>
  </si>
  <si>
    <t>14144</t>
  </si>
  <si>
    <t>DSI131123</t>
  </si>
  <si>
    <t>Architecte</t>
  </si>
  <si>
    <t>13110</t>
  </si>
  <si>
    <t>DMC12178</t>
  </si>
  <si>
    <t>Pôle Data et services managés</t>
  </si>
  <si>
    <t>DAL71200</t>
  </si>
  <si>
    <t>Achat</t>
  </si>
  <si>
    <t>71200</t>
  </si>
  <si>
    <t>DSI13174</t>
  </si>
  <si>
    <t>Service Helpdesk et poste de travail</t>
  </si>
  <si>
    <t>13171</t>
  </si>
  <si>
    <t>DRS141634</t>
  </si>
  <si>
    <t>Servce SMC Qos</t>
  </si>
  <si>
    <t>DRS141313</t>
  </si>
  <si>
    <t>Service VAS</t>
  </si>
  <si>
    <t>14127</t>
  </si>
  <si>
    <t>DRS14144</t>
  </si>
  <si>
    <t>Support IN/VAS</t>
  </si>
  <si>
    <t>DAL71000</t>
  </si>
  <si>
    <t>Direction Achats &amp; Logistique</t>
  </si>
  <si>
    <t>DFI61310</t>
  </si>
  <si>
    <t>Fraude</t>
  </si>
  <si>
    <t>61310</t>
  </si>
  <si>
    <t>DPROG41001</t>
  </si>
  <si>
    <t>département Business Program</t>
  </si>
  <si>
    <t>41420</t>
  </si>
  <si>
    <t>DRS14143</t>
  </si>
  <si>
    <t>Support RAN</t>
  </si>
  <si>
    <t>14143</t>
  </si>
  <si>
    <t>DMC121802</t>
  </si>
  <si>
    <t>Parcours Clients et Relation Front</t>
  </si>
  <si>
    <t>DMC12170</t>
  </si>
  <si>
    <t>Planification, VAS et devices</t>
  </si>
  <si>
    <t>DAL713203</t>
  </si>
  <si>
    <t>Quai Livraison</t>
  </si>
  <si>
    <t>71320</t>
  </si>
  <si>
    <t>DPROG41004</t>
  </si>
  <si>
    <t>Boutique Lafayette</t>
  </si>
  <si>
    <t>11212</t>
  </si>
  <si>
    <t>DMC12172</t>
  </si>
  <si>
    <t xml:space="preserve"> marketing équipements</t>
  </si>
  <si>
    <t>DCGP11306</t>
  </si>
  <si>
    <t>Boutique Sousse 2</t>
  </si>
  <si>
    <t>11306</t>
  </si>
  <si>
    <t>DCGP11200</t>
  </si>
  <si>
    <t>Boutique Av. Habib Bourguiba</t>
  </si>
  <si>
    <t>11200</t>
  </si>
  <si>
    <t>DRS14148</t>
  </si>
  <si>
    <t>Intervention</t>
  </si>
  <si>
    <t>14148</t>
  </si>
  <si>
    <t>DSI131100</t>
  </si>
  <si>
    <t>Service Sécurité Electronique</t>
  </si>
  <si>
    <t>DRH31424</t>
  </si>
  <si>
    <t>Sce Sociale et sécurité</t>
  </si>
  <si>
    <t>31420</t>
  </si>
  <si>
    <t>DRO51304</t>
  </si>
  <si>
    <t>Service Wholesale International</t>
  </si>
  <si>
    <t>DRE151601</t>
  </si>
  <si>
    <t>Responsable des projets mécénat et solidarité numérique</t>
  </si>
  <si>
    <t>81320</t>
  </si>
  <si>
    <t>DSC811202</t>
  </si>
  <si>
    <t>Planification et Pilotage de la Production</t>
  </si>
  <si>
    <t>DAL71301</t>
  </si>
  <si>
    <t>Logistique B2B</t>
  </si>
  <si>
    <t>DSC81290</t>
  </si>
  <si>
    <t>Care</t>
  </si>
  <si>
    <t>81200</t>
  </si>
  <si>
    <t>DCGP11142</t>
  </si>
  <si>
    <t>Département outils et process</t>
  </si>
  <si>
    <t>11142</t>
  </si>
  <si>
    <t>DCGP11209</t>
  </si>
  <si>
    <t>Boutique Béja</t>
  </si>
  <si>
    <t>11209</t>
  </si>
  <si>
    <t xml:space="preserve">PDSC82006   </t>
  </si>
  <si>
    <t>mobile B2B</t>
  </si>
  <si>
    <t>DSC813103</t>
  </si>
  <si>
    <t>Activation et delivery Data</t>
  </si>
  <si>
    <t>81310</t>
  </si>
  <si>
    <t>DRO51302</t>
  </si>
  <si>
    <t>Service Réglementation et Concurrence</t>
  </si>
  <si>
    <t>DFI61600</t>
  </si>
  <si>
    <t>Performance et Référentiel</t>
  </si>
  <si>
    <t>DSC81343</t>
  </si>
  <si>
    <t>BO mobile</t>
  </si>
  <si>
    <t>Département Roaming Business</t>
  </si>
  <si>
    <t>41410</t>
  </si>
  <si>
    <t>DCGP11211</t>
  </si>
  <si>
    <t>11211</t>
  </si>
  <si>
    <t>DJ21100</t>
  </si>
  <si>
    <t>Direction Juridique</t>
  </si>
  <si>
    <t>21100</t>
  </si>
  <si>
    <t>DPROG41003</t>
  </si>
  <si>
    <t>Service Moniroting, performance et planification</t>
  </si>
  <si>
    <t>41440</t>
  </si>
  <si>
    <t>DAL71110</t>
  </si>
  <si>
    <t>Sécurité Environnement</t>
  </si>
  <si>
    <t>71110</t>
  </si>
  <si>
    <t>DRH31100</t>
  </si>
  <si>
    <t>Paie &amp; Administration du personnel</t>
  </si>
  <si>
    <t>31100</t>
  </si>
  <si>
    <t>DSC811201</t>
  </si>
  <si>
    <t>Qualité</t>
  </si>
  <si>
    <t>DCE91142</t>
  </si>
  <si>
    <t>Affaire Ese</t>
  </si>
  <si>
    <t>DMC121202</t>
  </si>
  <si>
    <t>VAS Core</t>
  </si>
  <si>
    <t>DSI131670</t>
  </si>
  <si>
    <t>DSC81334</t>
  </si>
  <si>
    <t>SC mobile et ADSL GP</t>
  </si>
  <si>
    <t>DCGP111005</t>
  </si>
  <si>
    <t>Equipe Commerciale VIP</t>
  </si>
  <si>
    <t>DSC811204</t>
  </si>
  <si>
    <t>Analyse de la Performance et Expérience Client</t>
  </si>
  <si>
    <t>DGC91142</t>
  </si>
  <si>
    <t>vente SUD</t>
  </si>
  <si>
    <t>DRS14164</t>
  </si>
  <si>
    <t>Supervision Incidents IT</t>
  </si>
  <si>
    <t>14164</t>
  </si>
  <si>
    <t>DCGP11203</t>
  </si>
  <si>
    <t>Boutique Bardo</t>
  </si>
  <si>
    <t>11203</t>
  </si>
  <si>
    <t>DCGP11207</t>
  </si>
  <si>
    <t>Boutique La Marsa</t>
  </si>
  <si>
    <t>11207</t>
  </si>
  <si>
    <t>DRE15110</t>
  </si>
  <si>
    <t>Relation Presse</t>
  </si>
  <si>
    <t>15110</t>
  </si>
  <si>
    <t>DCGP11400</t>
  </si>
  <si>
    <t>Boutique Sfax 1</t>
  </si>
  <si>
    <t>11400</t>
  </si>
  <si>
    <t>DCGP11301</t>
  </si>
  <si>
    <t>11301</t>
  </si>
  <si>
    <t>DCGP11202</t>
  </si>
  <si>
    <t>Boutique Central Park</t>
  </si>
  <si>
    <t>11202</t>
  </si>
  <si>
    <t>DCGP11208</t>
  </si>
  <si>
    <t>Boutique Bizerte</t>
  </si>
  <si>
    <t>11208</t>
  </si>
  <si>
    <t>DCGP11401</t>
  </si>
  <si>
    <t>Boutique Sfax 2</t>
  </si>
  <si>
    <t>11401</t>
  </si>
  <si>
    <t>DRS14150</t>
  </si>
  <si>
    <t>Intervention mobile</t>
  </si>
  <si>
    <t>DSC813102</t>
  </si>
  <si>
    <t>activation et delivery</t>
  </si>
  <si>
    <t>DCGP11205</t>
  </si>
  <si>
    <t>Boutique Géant</t>
  </si>
  <si>
    <t>11205</t>
  </si>
  <si>
    <t>DCGP11300</t>
  </si>
  <si>
    <t>Boutique EZZAHRA</t>
  </si>
  <si>
    <t>11300</t>
  </si>
  <si>
    <t>DCGP11206</t>
  </si>
  <si>
    <t>11206</t>
  </si>
  <si>
    <t>DCGP11307</t>
  </si>
  <si>
    <t>Boutique Azur City</t>
  </si>
  <si>
    <t>DCGP11213</t>
  </si>
  <si>
    <t>Boutique Aéroport</t>
  </si>
  <si>
    <t>DCGP11212</t>
  </si>
  <si>
    <t>DCGP111003</t>
  </si>
  <si>
    <t>service vente segment pro</t>
  </si>
  <si>
    <t>DAL71401</t>
  </si>
  <si>
    <t>Mobilier et équipement</t>
  </si>
  <si>
    <t>71400</t>
  </si>
  <si>
    <t>DG10120</t>
  </si>
  <si>
    <t>10120</t>
  </si>
  <si>
    <t>Achat Terminaux</t>
  </si>
  <si>
    <t>DCGP11153</t>
  </si>
  <si>
    <t>11153</t>
  </si>
  <si>
    <t>DRS14147</t>
  </si>
  <si>
    <t>14147</t>
  </si>
  <si>
    <t>61000</t>
  </si>
  <si>
    <t>oui</t>
  </si>
  <si>
    <t>DRS141300</t>
  </si>
  <si>
    <t>DMC12177</t>
  </si>
  <si>
    <t>DAL71002</t>
  </si>
  <si>
    <t>DAL71320</t>
  </si>
  <si>
    <t>DAL71140</t>
  </si>
  <si>
    <t>71140</t>
  </si>
  <si>
    <t>DMC12173</t>
  </si>
  <si>
    <t>DCGP11150</t>
  </si>
  <si>
    <t>11150</t>
  </si>
  <si>
    <t>DCGP11122</t>
  </si>
  <si>
    <t>11122</t>
  </si>
  <si>
    <t>DCGP11131</t>
  </si>
  <si>
    <t>11131</t>
  </si>
  <si>
    <t>DCGP111002</t>
  </si>
  <si>
    <t>Département vente pro &amp; convention</t>
  </si>
  <si>
    <t>DME91142</t>
  </si>
  <si>
    <t>DCGP11146</t>
  </si>
  <si>
    <t>DCGP11210</t>
  </si>
  <si>
    <t xml:space="preserve"> Boutique EL Kef</t>
  </si>
  <si>
    <t>11210</t>
  </si>
  <si>
    <t>PDV Centre et Sud</t>
  </si>
  <si>
    <t>DRS141441</t>
  </si>
  <si>
    <t>DSI13166</t>
  </si>
  <si>
    <t>13163</t>
  </si>
  <si>
    <t>DFI61300</t>
  </si>
  <si>
    <t>61300</t>
  </si>
  <si>
    <t>DSI13135</t>
  </si>
  <si>
    <t>DFI61401</t>
  </si>
  <si>
    <t>DRS14142</t>
  </si>
  <si>
    <t>14142</t>
  </si>
  <si>
    <t>DMC121206</t>
  </si>
  <si>
    <t>DCGP11302</t>
  </si>
  <si>
    <t>Boutique Kairouan</t>
  </si>
  <si>
    <t>11302</t>
  </si>
  <si>
    <t>DFI612001</t>
  </si>
  <si>
    <t>DRE15160</t>
  </si>
  <si>
    <t>15100</t>
  </si>
  <si>
    <t>DSC81335</t>
  </si>
  <si>
    <t>DSC82001</t>
  </si>
  <si>
    <t>81000</t>
  </si>
  <si>
    <t>PDSC82003</t>
  </si>
  <si>
    <t>Privilège Mobile B2B</t>
  </si>
  <si>
    <t>81280</t>
  </si>
  <si>
    <t>DC111000</t>
  </si>
  <si>
    <t>Opérations commerciales</t>
  </si>
  <si>
    <t>Service Fidélisation Et Rétention</t>
  </si>
  <si>
    <t>Production B2B</t>
  </si>
  <si>
    <t>Recouvrement Sédentaire BtoB</t>
  </si>
  <si>
    <t>DSC82002</t>
  </si>
  <si>
    <t>Recouvrement Sédentaire BtoC</t>
  </si>
  <si>
    <t>DRH31201</t>
  </si>
  <si>
    <t>Recrutement</t>
  </si>
  <si>
    <t>DMC121803</t>
  </si>
  <si>
    <t>Pôle gestion de la base client</t>
  </si>
  <si>
    <t>PDSC82001</t>
  </si>
  <si>
    <t>Facturation et Budget SC</t>
  </si>
  <si>
    <t>DG101201</t>
  </si>
  <si>
    <t>Inventaire</t>
  </si>
  <si>
    <t>DCGP11148</t>
  </si>
  <si>
    <t>Analyste Performance Commerciale</t>
  </si>
  <si>
    <t>PDSC82006</t>
  </si>
  <si>
    <t>Mobile GP</t>
  </si>
  <si>
    <t>DRS141414</t>
  </si>
  <si>
    <t>Direction de la Transformation Opérationnelle</t>
  </si>
  <si>
    <t>DSI13160</t>
  </si>
  <si>
    <t>Département RUN</t>
  </si>
  <si>
    <t>DRE15161</t>
  </si>
  <si>
    <t>RSE</t>
  </si>
  <si>
    <t>DSC811200</t>
  </si>
  <si>
    <t>Process et Intégration Offres et Services</t>
  </si>
  <si>
    <t>DCGP111004</t>
  </si>
  <si>
    <t>Service Cellule VIP</t>
  </si>
  <si>
    <t>DRS141411</t>
  </si>
  <si>
    <t>Support IP</t>
  </si>
  <si>
    <t>Produit Terminaux</t>
  </si>
  <si>
    <t>DRS141413</t>
  </si>
  <si>
    <t>Département Support RAN et FH</t>
  </si>
  <si>
    <t>14141</t>
  </si>
  <si>
    <t>DRO51300</t>
  </si>
  <si>
    <t>Wholesale National</t>
  </si>
  <si>
    <t>DCE91143</t>
  </si>
  <si>
    <t>Convention Mobile</t>
  </si>
  <si>
    <t>11154</t>
  </si>
  <si>
    <t>DSI13122</t>
  </si>
  <si>
    <t>Service Design Authority</t>
  </si>
  <si>
    <t>11307</t>
  </si>
  <si>
    <t>DSC81000</t>
  </si>
  <si>
    <t xml:space="preserve"> Direction Service Client</t>
  </si>
  <si>
    <t>DSI13120</t>
  </si>
  <si>
    <t>Planification et Service Desk</t>
  </si>
  <si>
    <t>13120</t>
  </si>
  <si>
    <t>DMC12100</t>
  </si>
  <si>
    <t>Direction Marketing</t>
  </si>
  <si>
    <t>12100</t>
  </si>
  <si>
    <t>DSI13136</t>
  </si>
  <si>
    <t>SI-Portail</t>
  </si>
  <si>
    <t>DMC12180</t>
  </si>
  <si>
    <t xml:space="preserve"> Marketing GP et PRO</t>
  </si>
  <si>
    <t>DCGP11304</t>
  </si>
  <si>
    <t>Boutique Monastir</t>
  </si>
  <si>
    <t>11304</t>
  </si>
  <si>
    <t>DRS141311</t>
  </si>
  <si>
    <t>Data Charging &amp; IN</t>
  </si>
  <si>
    <t>14125</t>
  </si>
  <si>
    <t>DAL71240</t>
  </si>
  <si>
    <t>Achats Marketing &amp; Commercial</t>
  </si>
  <si>
    <t>71240</t>
  </si>
  <si>
    <t>DRS141206</t>
  </si>
  <si>
    <t>Extention Réseaux d'accès</t>
  </si>
  <si>
    <t>DCGP11303</t>
  </si>
  <si>
    <t>Boutique Mahdia</t>
  </si>
  <si>
    <t>11303</t>
  </si>
  <si>
    <t>DSI13130</t>
  </si>
  <si>
    <t>Département SIFAC</t>
  </si>
  <si>
    <t>Service Facility Management</t>
  </si>
  <si>
    <t>DCGP11405</t>
  </si>
  <si>
    <t>11405</t>
  </si>
  <si>
    <t>DRO51301</t>
  </si>
  <si>
    <t>Service Wholesale National</t>
  </si>
  <si>
    <t>DRS141416</t>
  </si>
  <si>
    <t>Backbone IP et Optique</t>
  </si>
  <si>
    <t>DSC82003</t>
  </si>
  <si>
    <t>Département MOA et Recouvrement sédentaire</t>
  </si>
  <si>
    <t>DSC813101</t>
  </si>
  <si>
    <t>ADSL B2B</t>
  </si>
  <si>
    <t>DSC81310</t>
  </si>
  <si>
    <t>Service Data B2B</t>
  </si>
  <si>
    <t>DCGP11147</t>
  </si>
  <si>
    <t>Service ingénierie des données et commissioning partenaires de vente</t>
  </si>
  <si>
    <t>non</t>
  </si>
  <si>
    <t>DFI61211</t>
  </si>
  <si>
    <t>Service contrôle de gestion</t>
  </si>
  <si>
    <t>61210</t>
  </si>
  <si>
    <t>service contrôle de gestion B2B</t>
  </si>
  <si>
    <t>DAL713201</t>
  </si>
  <si>
    <t>Magasin Technique</t>
  </si>
  <si>
    <t>DSC81230</t>
  </si>
  <si>
    <t>Commerciale ADSL GP</t>
  </si>
  <si>
    <t>81230</t>
  </si>
  <si>
    <t>DFI61420</t>
  </si>
  <si>
    <t>Comptabilité Clôture</t>
  </si>
  <si>
    <t>61420</t>
  </si>
  <si>
    <t>DSC81240</t>
  </si>
  <si>
    <t>Rétention GP</t>
  </si>
  <si>
    <t>81240</t>
  </si>
  <si>
    <t>e-shop</t>
  </si>
  <si>
    <t>Support Core</t>
  </si>
  <si>
    <t>DCGP11402</t>
  </si>
  <si>
    <t>Boutique Mednine</t>
  </si>
  <si>
    <t>11402</t>
  </si>
  <si>
    <t>DCGP11151</t>
  </si>
  <si>
    <t>PDV NORD</t>
  </si>
  <si>
    <t>DMC12120</t>
  </si>
  <si>
    <t>Département Communication</t>
  </si>
  <si>
    <t>DRS141410</t>
  </si>
  <si>
    <t>Service Support Transport IP</t>
  </si>
  <si>
    <t>DSI13154</t>
  </si>
  <si>
    <t>SI Décisionnel</t>
  </si>
  <si>
    <t>Service avant-vente et qualité</t>
  </si>
  <si>
    <t>DSC81300</t>
  </si>
  <si>
    <t>Département SC Performance Management</t>
  </si>
  <si>
    <t>81300</t>
  </si>
  <si>
    <t>DRS141412</t>
  </si>
  <si>
    <t>Service Support Transmission FH et Optique</t>
  </si>
  <si>
    <t>DGA2110</t>
  </si>
  <si>
    <t>Direction générale Adjointe</t>
  </si>
  <si>
    <t>Evénementiel &amp; concours de ventes</t>
  </si>
  <si>
    <t>DRS14132</t>
  </si>
  <si>
    <t>Cœur Réseau et Plateformes de services</t>
  </si>
  <si>
    <t>14132</t>
  </si>
  <si>
    <t>DSI13110</t>
  </si>
  <si>
    <t>Département SI Support</t>
  </si>
  <si>
    <t>service facturation et taxes</t>
  </si>
  <si>
    <t>PDV Nord</t>
  </si>
  <si>
    <t>11151</t>
  </si>
  <si>
    <t>DMC121610</t>
  </si>
  <si>
    <t>BI Marketing</t>
  </si>
  <si>
    <t>12161</t>
  </si>
  <si>
    <t>DSC811205</t>
  </si>
  <si>
    <t>Digital DSC</t>
  </si>
  <si>
    <t>DMC12163</t>
  </si>
  <si>
    <t>Budget et Planification</t>
  </si>
  <si>
    <t>12160</t>
  </si>
  <si>
    <t>DCGP11403</t>
  </si>
  <si>
    <t>11403</t>
  </si>
  <si>
    <t>DRH31207</t>
  </si>
  <si>
    <t>Service Management des Compétences et Développement Managérial</t>
  </si>
  <si>
    <t>DRS14139</t>
  </si>
  <si>
    <t>Core voix et signalisation</t>
  </si>
  <si>
    <t>12120</t>
  </si>
  <si>
    <t>Service Facturation et Stock</t>
  </si>
  <si>
    <t>DRS14113</t>
  </si>
  <si>
    <t>service dimensionnement et architecture réseau</t>
  </si>
  <si>
    <t>14110</t>
  </si>
  <si>
    <t>Support Applicatif et Gestion du changement</t>
  </si>
  <si>
    <t>DMC12125</t>
  </si>
  <si>
    <t>Communication externe</t>
  </si>
  <si>
    <t>DRE15123</t>
  </si>
  <si>
    <t>Partenariats et événements</t>
  </si>
  <si>
    <t>DRH31000</t>
  </si>
  <si>
    <t>Direction Ressources Humaines</t>
  </si>
  <si>
    <t>31000</t>
  </si>
  <si>
    <t>DFI61000</t>
  </si>
  <si>
    <t>Direction Financière</t>
  </si>
  <si>
    <t>DRS14137</t>
  </si>
  <si>
    <t>IP</t>
  </si>
  <si>
    <t>14137</t>
  </si>
  <si>
    <t>Intervention Mobile</t>
  </si>
  <si>
    <t>DSI13172</t>
  </si>
  <si>
    <t>Intégration &amp; Soutien Metier</t>
  </si>
  <si>
    <t>13172</t>
  </si>
  <si>
    <t>DSC81280</t>
  </si>
  <si>
    <t>Archivage</t>
  </si>
  <si>
    <t>DCGP11160</t>
  </si>
  <si>
    <t>département Ventes commerciales, accélération de la digitalisation et des usages de L'IA</t>
  </si>
  <si>
    <t>Service IT Infrastructure et Cloud</t>
  </si>
  <si>
    <t>DRS1413</t>
  </si>
  <si>
    <t>Service Solution B2B</t>
  </si>
  <si>
    <t>DRE15121</t>
  </si>
  <si>
    <t>Développement center</t>
  </si>
  <si>
    <t>15120</t>
  </si>
  <si>
    <t>DRE15120</t>
  </si>
  <si>
    <t>Relation Publiques</t>
  </si>
  <si>
    <t>DSI13138</t>
  </si>
  <si>
    <t>service développement web et performances</t>
  </si>
  <si>
    <t>DSI13139</t>
  </si>
  <si>
    <t>service Outils de vente</t>
  </si>
  <si>
    <t>13130</t>
  </si>
  <si>
    <t>Parc Roulant</t>
  </si>
  <si>
    <t>DCGP11161</t>
  </si>
  <si>
    <t xml:space="preserve"> service e-commerce, omnicanalité et réseaux sociaux</t>
  </si>
  <si>
    <t>DRS14100</t>
  </si>
  <si>
    <t>Direction Technique</t>
  </si>
  <si>
    <t>14100</t>
  </si>
  <si>
    <t xml:space="preserve"> service Support Optique et Backhaul</t>
  </si>
  <si>
    <t>service e-commerce, omnicanalité et réseaux sociaux</t>
  </si>
  <si>
    <t>DG101202</t>
  </si>
  <si>
    <t>Service audit et contrôle interne</t>
  </si>
  <si>
    <t>DSI13157</t>
  </si>
  <si>
    <t>Sce FO décisionnel</t>
  </si>
  <si>
    <t>DMC12182</t>
  </si>
  <si>
    <t>Etudes et veille concurentielle</t>
  </si>
  <si>
    <t>DJ21101</t>
  </si>
  <si>
    <t>Service actes et contrats</t>
  </si>
  <si>
    <t>Entrepot</t>
  </si>
  <si>
    <t>DFI61320</t>
  </si>
  <si>
    <t>Revenu Assurance</t>
  </si>
  <si>
    <t>Service Convention &amp; Pro</t>
  </si>
  <si>
    <t>Service Support Charging</t>
  </si>
  <si>
    <t>DAL71220</t>
  </si>
  <si>
    <t>Achats Techniques</t>
  </si>
  <si>
    <t>71220</t>
  </si>
  <si>
    <t>SAV</t>
  </si>
  <si>
    <t>DMC1212012</t>
  </si>
  <si>
    <t xml:space="preserve"> Communication Publicitaire</t>
  </si>
  <si>
    <t>DRS141360</t>
  </si>
  <si>
    <t>Environnement Technique</t>
  </si>
  <si>
    <t>PDSC81326</t>
  </si>
  <si>
    <t>Technique ADSL GP</t>
  </si>
  <si>
    <t>Service Maintenance</t>
  </si>
  <si>
    <t>DSI13137</t>
  </si>
  <si>
    <t>Service développement mobile</t>
  </si>
  <si>
    <t>DRE15122</t>
  </si>
  <si>
    <t>Audit Interne</t>
  </si>
  <si>
    <t>DRS14112</t>
  </si>
  <si>
    <t>Planification et pilotage budgétaire</t>
  </si>
  <si>
    <t>service API Factoty et Enablers</t>
  </si>
  <si>
    <t>DSI13145</t>
  </si>
  <si>
    <t>service sécurité</t>
  </si>
  <si>
    <t>13140</t>
  </si>
  <si>
    <t>DSI13114</t>
  </si>
  <si>
    <t>Offres Commerciales</t>
  </si>
  <si>
    <t>13114</t>
  </si>
  <si>
    <t>DRS141207</t>
  </si>
  <si>
    <t>Responsable Extension Réseaux d'accès</t>
  </si>
  <si>
    <t>PDSC82000</t>
  </si>
  <si>
    <t>Département SC Mobile et DATA B2B</t>
  </si>
  <si>
    <t>Qualification Cadre</t>
  </si>
  <si>
    <t>Cadre</t>
  </si>
  <si>
    <t>Non Cadre</t>
  </si>
  <si>
    <t>Affectation Comex</t>
  </si>
  <si>
    <t>Membre Comex</t>
  </si>
  <si>
    <t>Hors Comex</t>
  </si>
  <si>
    <t>Filiere de metier</t>
  </si>
  <si>
    <t>Support</t>
  </si>
  <si>
    <t>Client</t>
  </si>
  <si>
    <t>Technique</t>
  </si>
  <si>
    <t>Ancienneté</t>
  </si>
  <si>
    <t>Cluster Ancienneté</t>
  </si>
  <si>
    <t>Statut Contrat</t>
  </si>
  <si>
    <t>Date de fin de contrat</t>
  </si>
  <si>
    <t>Actif</t>
  </si>
  <si>
    <t>Mars</t>
  </si>
  <si>
    <t>Février</t>
  </si>
  <si>
    <t>Foued TEMIMI</t>
  </si>
  <si>
    <t>LGPV4888</t>
  </si>
  <si>
    <t>Chef de Produit Mobile</t>
  </si>
  <si>
    <t>Chef de produit broadband</t>
  </si>
  <si>
    <t>Ingénieur support  infra</t>
  </si>
  <si>
    <t xml:space="preserve">Technicien support OSS </t>
  </si>
  <si>
    <t>Ingénieur Solution B2B</t>
  </si>
  <si>
    <t xml:space="preserve">Chef de Service infrastructure </t>
  </si>
  <si>
    <t>Ingénieur Production B2B</t>
  </si>
  <si>
    <t>Ingénieur support infra</t>
  </si>
  <si>
    <t xml:space="preserve">Spécialiste planification et prévision </t>
  </si>
  <si>
    <t xml:space="preserve">Ingénieur support OSS </t>
  </si>
  <si>
    <t>Manager Sécurité et RSSI</t>
  </si>
  <si>
    <t>Expert Support OSS</t>
  </si>
  <si>
    <t>Mohamed FRIDHI</t>
  </si>
  <si>
    <t>Mehdi Baklouti</t>
  </si>
  <si>
    <t>Ali Brahmia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</si>
</sst>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Helvetica 55 Roman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/>
    <xf numFmtId="0" fontId="2" fillId="0" borderId="1" xfId="0" applyFont="1" applyBorder="1"/>
    <xf numFmtId="164" fontId="0" fillId="0" borderId="1" xfId="0" applyNumberFormat="1" applyBorder="1"/>
    <xf numFmtId="0" fontId="0" fillId="0" borderId="1" xfId="0" applyBorder="1" applyAlignment="1">
      <alignment horizontal="left"/>
    </xf>
    <xf numFmtId="1" fontId="0" fillId="0" borderId="1" xfId="0" applyNumberFormat="1" applyBorder="1"/>
    <xf numFmtId="0" fontId="0" fillId="0" borderId="2" xfId="0" applyBorder="1" applyAlignment="1" applyProtection="1">
      <alignment horizontal="left" vertical="center"/>
      <protection locked="0"/>
    </xf>
    <xf numFmtId="14" fontId="0" fillId="3" borderId="1" xfId="0" applyNumberFormat="1" applyFill="1" applyBorder="1"/>
    <xf numFmtId="0" fontId="0" fillId="3" borderId="1" xfId="0" applyFill="1" applyBorder="1"/>
    <xf numFmtId="1" fontId="0" fillId="3" borderId="1" xfId="0" applyNumberFormat="1" applyFill="1" applyBorder="1"/>
    <xf numFmtId="0" fontId="2" fillId="3" borderId="1" xfId="0" applyFont="1" applyFill="1" applyBorder="1"/>
    <xf numFmtId="0" fontId="0" fillId="3" borderId="0" xfId="0" applyFill="1"/>
    <xf numFmtId="14" fontId="0" fillId="0" borderId="1" xfId="0" applyNumberFormat="1" applyFill="1" applyBorder="1"/>
    <xf numFmtId="0" fontId="0" fillId="0" borderId="1" xfId="0" applyFill="1" applyBorder="1"/>
    <xf numFmtId="1" fontId="0" fillId="0" borderId="1" xfId="0" applyNumberFormat="1" applyFill="1" applyBorder="1"/>
    <xf numFmtId="0" fontId="2" fillId="0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B522-F626-4EC6-BD8A-E557BC9A8B6C}">
  <dimension ref="A1:AL1070"/>
  <sheetViews>
    <sheetView tabSelected="1" workbookViewId="0">
      <selection activeCell="A114" sqref="A114:XFD114"/>
    </sheetView>
  </sheetViews>
  <sheetFormatPr baseColWidth="10" defaultRowHeight="14.4" x14ac:dyDescent="0.3"/>
  <cols>
    <col min="1" max="38" width="24.6640625" style="5" customWidth="1"/>
  </cols>
  <sheetData>
    <row r="1" spans="1:38" s="1" customFormat="1" ht="40.20000000000000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4492</v>
      </c>
      <c r="F1" s="2" t="s">
        <v>4493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4490</v>
      </c>
      <c r="N1" s="2" t="s">
        <v>4491</v>
      </c>
      <c r="O1" s="2" t="s">
        <v>15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3" t="s">
        <v>3796</v>
      </c>
      <c r="AA1" s="2" t="s">
        <v>3797</v>
      </c>
      <c r="AB1" s="2" t="s">
        <v>3804</v>
      </c>
      <c r="AC1" s="2" t="s">
        <v>3798</v>
      </c>
      <c r="AD1" s="2" t="s">
        <v>3803</v>
      </c>
      <c r="AE1" s="2" t="s">
        <v>3795</v>
      </c>
      <c r="AF1" s="2" t="s">
        <v>4480</v>
      </c>
      <c r="AG1" s="2" t="s">
        <v>4483</v>
      </c>
      <c r="AH1" s="2" t="s">
        <v>4486</v>
      </c>
      <c r="AI1" s="2" t="s">
        <v>3847</v>
      </c>
      <c r="AJ1" s="2" t="s">
        <v>3848</v>
      </c>
      <c r="AK1" s="2" t="s">
        <v>3849</v>
      </c>
      <c r="AL1" s="2" t="s">
        <v>3850</v>
      </c>
    </row>
    <row r="2" spans="1:38" x14ac:dyDescent="0.3">
      <c r="A2" s="4">
        <v>45716</v>
      </c>
      <c r="B2" s="5" t="s">
        <v>21</v>
      </c>
      <c r="C2" s="5" t="s">
        <v>22</v>
      </c>
      <c r="D2" s="5" t="s">
        <v>23</v>
      </c>
      <c r="E2" s="5" t="s">
        <v>4494</v>
      </c>
      <c r="F2" s="4"/>
      <c r="G2" s="5" t="s">
        <v>24</v>
      </c>
      <c r="H2" s="5" t="s">
        <v>25</v>
      </c>
      <c r="I2" s="5" t="s">
        <v>1857</v>
      </c>
      <c r="J2" s="5" t="s">
        <v>2841</v>
      </c>
      <c r="K2" s="4">
        <v>38078</v>
      </c>
      <c r="L2" s="4">
        <v>38078</v>
      </c>
      <c r="M2" s="9">
        <f t="shared" ref="M2:M65" si="0">DATEDIF(L2,A2,"y")</f>
        <v>20</v>
      </c>
      <c r="N2" s="4" t="str">
        <f>IF(M2&lt;=2," ] 0 ; 2 ]",IF(AND(M2&gt;2,M2&lt;=5),"] 2 ; 5 ]",IF(AND(M2&gt;5,M2&lt;=8),"] 5 ; 8 ]",IF(AND(M2&gt;8,M2&lt;=10),"] 8 ; 10 ]",IF(AND(M2&gt;10,M2&lt;=15),"] 10 ; 15 ]","] 15 ; +oo [")))))</f>
        <v>] 15 ; +oo [</v>
      </c>
      <c r="O2" s="5" t="s">
        <v>3779</v>
      </c>
      <c r="P2" s="5" t="s">
        <v>3779</v>
      </c>
      <c r="Q2" s="5">
        <v>2</v>
      </c>
      <c r="R2" s="5" t="str">
        <f>IF(OR(O2="A",O2="B",O2="C",O2="D"),"Qualification",IF(OR(O2="E",O2="F",O2="G"),"Specialisation","Management &amp; Expertise"))</f>
        <v>Management &amp; Expertise</v>
      </c>
      <c r="S2" s="5" t="s">
        <v>3789</v>
      </c>
      <c r="T2" s="4">
        <v>27208</v>
      </c>
      <c r="U2" s="5">
        <f>YEAR(T2)</f>
        <v>1974</v>
      </c>
      <c r="V2" s="5" t="s">
        <v>3793</v>
      </c>
      <c r="W2" s="9">
        <f t="shared" ref="W2:W65" si="1">DATEDIF(T2,A2,"y")</f>
        <v>50</v>
      </c>
      <c r="X2" s="5" t="str">
        <f>IF(W2&lt;30,"[20 - 29 ans[",IF(AND(W2&gt;=30,W2&lt;35),"[30 - 34 ans]",IF(AND(W2&gt;=35,W2&lt;40),"[35 - 39 ans ]",IF(AND(W2&gt;=40,W2&lt;45),"[40 - 44 ans]",IF(AND(W2&gt;=45,W2&lt;50),"[45 - 49 ans]","[50 ans, +oo [")))))</f>
        <v>[50 ans, +oo [</v>
      </c>
      <c r="Y2" s="5" t="str">
        <f>IF(AND(U2&gt;1946,U2&lt;=1965)," Baby - Boomers ",IF(AND(U2&gt;1965,U2&lt;=1980)," Generation X ",IF(AND(U2&gt;1980,U2&lt;1996)," Mellenials ",IF(AND(U2&gt;1996,U2&lt;2012)," Gen Z "," Gen Alpha"))))</f>
        <v xml:space="preserve"> Generation X </v>
      </c>
      <c r="Z2" s="9">
        <f>60-W2</f>
        <v>10</v>
      </c>
      <c r="AA2" s="5" t="str">
        <f>IF(Z2&lt;=5,"Départ à la Retraite 5ans","RAS")</f>
        <v>RAS</v>
      </c>
      <c r="AB2" s="5" t="s">
        <v>3805</v>
      </c>
      <c r="AC2" s="6" t="s">
        <v>3799</v>
      </c>
      <c r="AE2" s="5" t="s">
        <v>3845</v>
      </c>
      <c r="AF2" s="5" t="s">
        <v>4481</v>
      </c>
      <c r="AG2" s="5" t="s">
        <v>4484</v>
      </c>
      <c r="AH2" s="5" t="s">
        <v>4488</v>
      </c>
      <c r="AI2" s="5" t="s">
        <v>3851</v>
      </c>
      <c r="AJ2" s="5" t="s">
        <v>3852</v>
      </c>
      <c r="AK2" s="5" t="s">
        <v>3853</v>
      </c>
      <c r="AL2" s="5" t="s">
        <v>3854</v>
      </c>
    </row>
    <row r="3" spans="1:38" x14ac:dyDescent="0.3">
      <c r="A3" s="4">
        <v>45716</v>
      </c>
      <c r="B3" s="5" t="s">
        <v>26</v>
      </c>
      <c r="C3" s="5" t="s">
        <v>27</v>
      </c>
      <c r="D3" s="5" t="s">
        <v>28</v>
      </c>
      <c r="E3" s="5" t="s">
        <v>4494</v>
      </c>
      <c r="G3" s="5" t="s">
        <v>29</v>
      </c>
      <c r="H3" s="5" t="s">
        <v>30</v>
      </c>
      <c r="I3" s="5" t="s">
        <v>377</v>
      </c>
      <c r="J3" s="5" t="s">
        <v>69</v>
      </c>
      <c r="K3" s="4">
        <v>38169</v>
      </c>
      <c r="L3" s="4">
        <v>38169</v>
      </c>
      <c r="M3" s="9">
        <f t="shared" si="0"/>
        <v>20</v>
      </c>
      <c r="N3" s="4" t="str">
        <f t="shared" ref="N3:N66" si="2">IF(M3&lt;=2," ] 0 ; 2 ]",IF(AND(M3&gt;2,M3&lt;=5),"] 2 ; 5 ]",IF(AND(M3&gt;5,M3&lt;=8),"] 5 ; 8 ]",IF(AND(M3&gt;8,M3&lt;=10),"] 8 ; 10 ]",IF(AND(M3&gt;10,M3&lt;=15),"] 10 ; 15 ]","] 15 ; +oo [")))))</f>
        <v>] 15 ; +oo [</v>
      </c>
      <c r="O3" s="5" t="s">
        <v>3780</v>
      </c>
      <c r="P3" s="5" t="s">
        <v>3786</v>
      </c>
      <c r="Q3" s="5">
        <v>1</v>
      </c>
      <c r="R3" s="5" t="str">
        <f t="shared" ref="R3:R66" si="3">IF(OR(O3="A",O3="B",O3="C",O3="D"),"Qualification",IF(OR(O3="E",O3="F",O3="G"),"Specialisation","Management &amp; Expertise"))</f>
        <v>Qualification</v>
      </c>
      <c r="S3" s="5" t="s">
        <v>3789</v>
      </c>
      <c r="T3" s="4">
        <v>28266</v>
      </c>
      <c r="U3" s="5">
        <f t="shared" ref="U3:U66" si="4">YEAR(T3)</f>
        <v>1977</v>
      </c>
      <c r="V3" s="5" t="s">
        <v>3793</v>
      </c>
      <c r="W3" s="9">
        <f t="shared" si="1"/>
        <v>47</v>
      </c>
      <c r="X3" s="5" t="str">
        <f t="shared" ref="X3:X66" si="5">IF(W3&lt;30,"[20 - 29 ans[",IF(AND(W3&gt;=30,W3&lt;35),"[30 - 34 ans]",IF(AND(W3&gt;=35,W3&lt;40),"[35 - 39 ans ]",IF(AND(W3&gt;=40,W3&lt;45),"[40 - 44 ans]",IF(AND(W3&gt;=45,W3&lt;50),"[45 - 49 ans]","[50 ans, +oo [")))))</f>
        <v>[45 - 49 ans]</v>
      </c>
      <c r="Y3" s="5" t="str">
        <f t="shared" ref="Y3:Y66" si="6">IF(AND(U3&gt;1946,U3&lt;=1965)," Baby - Boomers ",IF(AND(U3&gt;1965,U3&lt;=1980)," Generation X ",IF(AND(U3&gt;1980,U3&lt;1996)," Mellenials ",IF(AND(U3&gt;1996,U3&lt;2012)," Gen Z "," Gen Alpha"))))</f>
        <v xml:space="preserve"> Generation X </v>
      </c>
      <c r="Z3" s="9">
        <f t="shared" ref="Z3:Z66" si="7">60-W3</f>
        <v>13</v>
      </c>
      <c r="AA3" s="5" t="str">
        <f t="shared" ref="AA3:AA66" si="8">IF(Z3&lt;=5,"Départ à la Retraite 5ans","RAS")</f>
        <v>RAS</v>
      </c>
      <c r="AB3" s="5" t="s">
        <v>3806</v>
      </c>
      <c r="AC3" s="6" t="s">
        <v>3799</v>
      </c>
      <c r="AE3" s="5" t="s">
        <v>3844</v>
      </c>
      <c r="AF3" s="5" t="s">
        <v>4482</v>
      </c>
      <c r="AG3" s="5" t="s">
        <v>4485</v>
      </c>
      <c r="AH3" s="5" t="s">
        <v>4488</v>
      </c>
      <c r="AI3" s="5" t="s">
        <v>3855</v>
      </c>
      <c r="AJ3" s="5" t="s">
        <v>3856</v>
      </c>
      <c r="AK3" s="5" t="s">
        <v>3857</v>
      </c>
      <c r="AL3" s="5" t="s">
        <v>3858</v>
      </c>
    </row>
    <row r="4" spans="1:38" x14ac:dyDescent="0.3">
      <c r="A4" s="4">
        <v>45716</v>
      </c>
      <c r="B4" s="5" t="s">
        <v>31</v>
      </c>
      <c r="C4" s="5" t="s">
        <v>32</v>
      </c>
      <c r="D4" s="5" t="s">
        <v>33</v>
      </c>
      <c r="E4" s="5" t="s">
        <v>4494</v>
      </c>
      <c r="G4" s="5" t="s">
        <v>34</v>
      </c>
      <c r="H4" s="5" t="s">
        <v>35</v>
      </c>
      <c r="I4" s="5" t="s">
        <v>238</v>
      </c>
      <c r="J4" s="5" t="s">
        <v>2841</v>
      </c>
      <c r="K4" s="4">
        <v>38596</v>
      </c>
      <c r="L4" s="4">
        <v>37987</v>
      </c>
      <c r="M4" s="9">
        <f t="shared" si="0"/>
        <v>21</v>
      </c>
      <c r="N4" s="4" t="str">
        <f t="shared" si="2"/>
        <v>] 15 ; +oo [</v>
      </c>
      <c r="O4" s="5" t="s">
        <v>3781</v>
      </c>
      <c r="P4" s="5" t="s">
        <v>3787</v>
      </c>
      <c r="Q4" s="5">
        <v>1</v>
      </c>
      <c r="R4" s="5" t="str">
        <f t="shared" si="3"/>
        <v>Qualification</v>
      </c>
      <c r="S4" s="5" t="s">
        <v>3790</v>
      </c>
      <c r="T4" s="4">
        <v>27395</v>
      </c>
      <c r="U4" s="5">
        <f t="shared" si="4"/>
        <v>1975</v>
      </c>
      <c r="V4" s="5" t="s">
        <v>3793</v>
      </c>
      <c r="W4" s="9">
        <f t="shared" si="1"/>
        <v>50</v>
      </c>
      <c r="X4" s="5" t="str">
        <f t="shared" si="5"/>
        <v>[50 ans, +oo [</v>
      </c>
      <c r="Y4" s="5" t="str">
        <f t="shared" si="6"/>
        <v xml:space="preserve"> Generation X </v>
      </c>
      <c r="Z4" s="9">
        <f t="shared" si="7"/>
        <v>10</v>
      </c>
      <c r="AA4" s="5" t="str">
        <f t="shared" si="8"/>
        <v>RAS</v>
      </c>
      <c r="AB4" s="5" t="s">
        <v>3806</v>
      </c>
      <c r="AC4" s="6" t="s">
        <v>3799</v>
      </c>
      <c r="AE4" s="5" t="s">
        <v>3844</v>
      </c>
      <c r="AF4" s="5" t="s">
        <v>4482</v>
      </c>
      <c r="AG4" s="5" t="s">
        <v>4485</v>
      </c>
      <c r="AH4" s="5" t="s">
        <v>4487</v>
      </c>
      <c r="AI4" s="5" t="s">
        <v>3859</v>
      </c>
      <c r="AJ4" s="5" t="s">
        <v>3860</v>
      </c>
      <c r="AK4" s="5" t="s">
        <v>3861</v>
      </c>
      <c r="AL4" s="5" t="s">
        <v>3858</v>
      </c>
    </row>
    <row r="5" spans="1:38" x14ac:dyDescent="0.3">
      <c r="A5" s="4">
        <v>45716</v>
      </c>
      <c r="B5" s="5" t="s">
        <v>36</v>
      </c>
      <c r="C5" s="5" t="s">
        <v>37</v>
      </c>
      <c r="D5" s="5" t="s">
        <v>38</v>
      </c>
      <c r="E5" s="5" t="s">
        <v>4494</v>
      </c>
      <c r="G5" s="5" t="s">
        <v>39</v>
      </c>
      <c r="H5" s="5" t="s">
        <v>40</v>
      </c>
      <c r="I5" s="5" t="s">
        <v>149</v>
      </c>
      <c r="J5" s="5" t="s">
        <v>2821</v>
      </c>
      <c r="K5" s="4">
        <v>38261</v>
      </c>
      <c r="L5" s="4">
        <v>38261</v>
      </c>
      <c r="M5" s="9">
        <f t="shared" si="0"/>
        <v>20</v>
      </c>
      <c r="N5" s="4" t="str">
        <f t="shared" si="2"/>
        <v>] 15 ; +oo [</v>
      </c>
      <c r="O5" s="5" t="s">
        <v>3782</v>
      </c>
      <c r="P5" s="5" t="s">
        <v>3784</v>
      </c>
      <c r="Q5" s="5">
        <v>1</v>
      </c>
      <c r="R5" s="5" t="str">
        <f t="shared" si="3"/>
        <v>Management &amp; Expertise</v>
      </c>
      <c r="S5" s="5" t="s">
        <v>3789</v>
      </c>
      <c r="T5" s="4">
        <v>24114</v>
      </c>
      <c r="U5" s="5">
        <f t="shared" si="4"/>
        <v>1966</v>
      </c>
      <c r="V5" s="5" t="s">
        <v>3793</v>
      </c>
      <c r="W5" s="9">
        <f t="shared" si="1"/>
        <v>59</v>
      </c>
      <c r="X5" s="5" t="str">
        <f t="shared" si="5"/>
        <v>[50 ans, +oo [</v>
      </c>
      <c r="Y5" s="5" t="str">
        <f t="shared" si="6"/>
        <v xml:space="preserve"> Generation X </v>
      </c>
      <c r="Z5" s="9">
        <f t="shared" si="7"/>
        <v>1</v>
      </c>
      <c r="AA5" s="5" t="str">
        <f t="shared" si="8"/>
        <v>Départ à la Retraite 5ans</v>
      </c>
      <c r="AB5" s="5" t="s">
        <v>3807</v>
      </c>
      <c r="AC5" s="6" t="s">
        <v>3799</v>
      </c>
      <c r="AE5" s="5" t="s">
        <v>3845</v>
      </c>
      <c r="AF5" s="5" t="s">
        <v>4481</v>
      </c>
      <c r="AG5" s="5" t="s">
        <v>4485</v>
      </c>
      <c r="AH5" s="5" t="s">
        <v>4489</v>
      </c>
      <c r="AI5" s="5" t="s">
        <v>3862</v>
      </c>
      <c r="AJ5" s="5" t="s">
        <v>3863</v>
      </c>
      <c r="AK5" s="5" t="s">
        <v>3864</v>
      </c>
      <c r="AL5" s="5" t="s">
        <v>3854</v>
      </c>
    </row>
    <row r="6" spans="1:38" x14ac:dyDescent="0.3">
      <c r="A6" s="4">
        <v>45716</v>
      </c>
      <c r="B6" s="5" t="s">
        <v>41</v>
      </c>
      <c r="C6" s="5" t="s">
        <v>42</v>
      </c>
      <c r="D6" s="5" t="s">
        <v>43</v>
      </c>
      <c r="E6" s="5" t="s">
        <v>4494</v>
      </c>
      <c r="G6" s="5" t="s">
        <v>44</v>
      </c>
      <c r="H6" s="5" t="s">
        <v>45</v>
      </c>
      <c r="I6" s="5" t="s">
        <v>1990</v>
      </c>
      <c r="J6" s="5" t="s">
        <v>2337</v>
      </c>
      <c r="K6" s="4">
        <v>38384</v>
      </c>
      <c r="L6" s="4">
        <v>38384</v>
      </c>
      <c r="M6" s="9">
        <f t="shared" si="0"/>
        <v>20</v>
      </c>
      <c r="N6" s="4" t="str">
        <f t="shared" si="2"/>
        <v>] 15 ; +oo [</v>
      </c>
      <c r="O6" s="5" t="s">
        <v>3783</v>
      </c>
      <c r="P6" s="5" t="s">
        <v>3785</v>
      </c>
      <c r="Q6" s="5">
        <v>1</v>
      </c>
      <c r="R6" s="5" t="str">
        <f t="shared" si="3"/>
        <v>Specialisation</v>
      </c>
      <c r="S6" s="5" t="s">
        <v>3790</v>
      </c>
      <c r="T6" s="4">
        <v>28635</v>
      </c>
      <c r="U6" s="5">
        <f t="shared" si="4"/>
        <v>1978</v>
      </c>
      <c r="V6" s="5" t="s">
        <v>3793</v>
      </c>
      <c r="W6" s="9">
        <f t="shared" si="1"/>
        <v>46</v>
      </c>
      <c r="X6" s="5" t="str">
        <f t="shared" si="5"/>
        <v>[45 - 49 ans]</v>
      </c>
      <c r="Y6" s="5" t="str">
        <f t="shared" si="6"/>
        <v xml:space="preserve"> Generation X </v>
      </c>
      <c r="Z6" s="9">
        <f t="shared" si="7"/>
        <v>14</v>
      </c>
      <c r="AA6" s="5" t="str">
        <f t="shared" si="8"/>
        <v>RAS</v>
      </c>
      <c r="AB6" s="5" t="s">
        <v>3805</v>
      </c>
      <c r="AC6" s="6" t="s">
        <v>3799</v>
      </c>
      <c r="AE6" s="5" t="s">
        <v>3844</v>
      </c>
      <c r="AF6" s="5" t="s">
        <v>4482</v>
      </c>
      <c r="AG6" s="5" t="s">
        <v>4485</v>
      </c>
      <c r="AH6" s="5" t="s">
        <v>4487</v>
      </c>
      <c r="AI6" s="5" t="s">
        <v>3865</v>
      </c>
      <c r="AJ6" s="5" t="s">
        <v>3866</v>
      </c>
      <c r="AK6" s="5" t="s">
        <v>3867</v>
      </c>
      <c r="AL6" s="5" t="s">
        <v>3858</v>
      </c>
    </row>
    <row r="7" spans="1:38" x14ac:dyDescent="0.3">
      <c r="A7" s="4">
        <v>45716</v>
      </c>
      <c r="B7" s="5" t="s">
        <v>46</v>
      </c>
      <c r="C7" s="5" t="s">
        <v>47</v>
      </c>
      <c r="D7" s="5" t="s">
        <v>48</v>
      </c>
      <c r="E7" s="5" t="s">
        <v>4494</v>
      </c>
      <c r="G7" s="5" t="s">
        <v>39</v>
      </c>
      <c r="H7" s="5" t="s">
        <v>49</v>
      </c>
      <c r="I7" s="5" t="s">
        <v>149</v>
      </c>
      <c r="J7" s="5" t="s">
        <v>2821</v>
      </c>
      <c r="K7" s="4">
        <v>39052</v>
      </c>
      <c r="L7" s="4">
        <v>39052</v>
      </c>
      <c r="M7" s="9">
        <f t="shared" si="0"/>
        <v>18</v>
      </c>
      <c r="N7" s="4" t="str">
        <f t="shared" si="2"/>
        <v>] 15 ; +oo [</v>
      </c>
      <c r="O7" s="5" t="s">
        <v>3784</v>
      </c>
      <c r="P7" s="5" t="s">
        <v>3784</v>
      </c>
      <c r="Q7" s="5">
        <v>2</v>
      </c>
      <c r="R7" s="5" t="str">
        <f t="shared" si="3"/>
        <v>Management &amp; Expertise</v>
      </c>
      <c r="S7" s="5" t="s">
        <v>3789</v>
      </c>
      <c r="T7" s="4">
        <v>25471</v>
      </c>
      <c r="U7" s="5">
        <f t="shared" si="4"/>
        <v>1969</v>
      </c>
      <c r="V7" s="5" t="s">
        <v>3793</v>
      </c>
      <c r="W7" s="9">
        <f t="shared" si="1"/>
        <v>55</v>
      </c>
      <c r="X7" s="5" t="str">
        <f t="shared" si="5"/>
        <v>[50 ans, +oo [</v>
      </c>
      <c r="Y7" s="5" t="str">
        <f t="shared" si="6"/>
        <v xml:space="preserve"> Generation X </v>
      </c>
      <c r="Z7" s="9">
        <f t="shared" si="7"/>
        <v>5</v>
      </c>
      <c r="AA7" s="5" t="str">
        <f t="shared" si="8"/>
        <v>Départ à la Retraite 5ans</v>
      </c>
      <c r="AB7" s="5" t="s">
        <v>3807</v>
      </c>
      <c r="AC7" s="6" t="s">
        <v>3799</v>
      </c>
      <c r="AE7" s="5" t="s">
        <v>3845</v>
      </c>
      <c r="AF7" s="5" t="s">
        <v>4481</v>
      </c>
      <c r="AG7" s="5" t="s">
        <v>4485</v>
      </c>
      <c r="AH7" s="5" t="s">
        <v>4489</v>
      </c>
      <c r="AI7" s="5" t="s">
        <v>3868</v>
      </c>
      <c r="AJ7" s="5" t="s">
        <v>3869</v>
      </c>
      <c r="AK7" s="5" t="s">
        <v>3870</v>
      </c>
      <c r="AL7" s="5" t="s">
        <v>3854</v>
      </c>
    </row>
    <row r="8" spans="1:38" x14ac:dyDescent="0.3">
      <c r="A8" s="4">
        <v>45716</v>
      </c>
      <c r="B8" s="5" t="s">
        <v>50</v>
      </c>
      <c r="C8" s="5" t="s">
        <v>51</v>
      </c>
      <c r="D8" s="5" t="s">
        <v>52</v>
      </c>
      <c r="E8" s="5" t="s">
        <v>4494</v>
      </c>
      <c r="G8" s="5" t="s">
        <v>39</v>
      </c>
      <c r="H8" s="5" t="s">
        <v>53</v>
      </c>
      <c r="I8" s="5" t="s">
        <v>1218</v>
      </c>
      <c r="J8" s="5" t="s">
        <v>2821</v>
      </c>
      <c r="K8" s="4">
        <v>39114</v>
      </c>
      <c r="L8" s="4">
        <v>40057</v>
      </c>
      <c r="M8" s="9">
        <f t="shared" si="0"/>
        <v>15</v>
      </c>
      <c r="N8" s="4" t="str">
        <f t="shared" si="2"/>
        <v>] 10 ; 15 ]</v>
      </c>
      <c r="O8" s="5" t="s">
        <v>3784</v>
      </c>
      <c r="P8" s="5" t="s">
        <v>3784</v>
      </c>
      <c r="Q8" s="5">
        <v>1</v>
      </c>
      <c r="R8" s="5" t="str">
        <f t="shared" si="3"/>
        <v>Management &amp; Expertise</v>
      </c>
      <c r="S8" s="5" t="s">
        <v>3790</v>
      </c>
      <c r="T8" s="4">
        <v>30135</v>
      </c>
      <c r="U8" s="5">
        <f t="shared" si="4"/>
        <v>1982</v>
      </c>
      <c r="V8" s="5" t="s">
        <v>3793</v>
      </c>
      <c r="W8" s="9">
        <f t="shared" si="1"/>
        <v>42</v>
      </c>
      <c r="X8" s="5" t="str">
        <f t="shared" si="5"/>
        <v>[40 - 44 ans]</v>
      </c>
      <c r="Y8" s="5" t="str">
        <f t="shared" si="6"/>
        <v xml:space="preserve"> Mellenials </v>
      </c>
      <c r="Z8" s="9">
        <f t="shared" si="7"/>
        <v>18</v>
      </c>
      <c r="AA8" s="5" t="str">
        <f t="shared" si="8"/>
        <v>RAS</v>
      </c>
      <c r="AB8" s="5" t="s">
        <v>3807</v>
      </c>
      <c r="AC8" s="6" t="s">
        <v>3799</v>
      </c>
      <c r="AE8" s="5" t="s">
        <v>3845</v>
      </c>
      <c r="AF8" s="5" t="s">
        <v>4481</v>
      </c>
      <c r="AG8" s="5" t="s">
        <v>4485</v>
      </c>
      <c r="AH8" s="5" t="s">
        <v>4489</v>
      </c>
      <c r="AI8" s="5" t="s">
        <v>3871</v>
      </c>
      <c r="AJ8" s="5" t="s">
        <v>3872</v>
      </c>
      <c r="AK8" s="5" t="s">
        <v>3873</v>
      </c>
      <c r="AL8" s="5" t="s">
        <v>3854</v>
      </c>
    </row>
    <row r="9" spans="1:38" x14ac:dyDescent="0.3">
      <c r="A9" s="4">
        <v>45716</v>
      </c>
      <c r="B9" s="5" t="s">
        <v>54</v>
      </c>
      <c r="C9" s="5" t="s">
        <v>55</v>
      </c>
      <c r="D9" s="5" t="s">
        <v>56</v>
      </c>
      <c r="E9" s="5" t="s">
        <v>4494</v>
      </c>
      <c r="G9" s="5" t="s">
        <v>57</v>
      </c>
      <c r="H9" s="5" t="s">
        <v>58</v>
      </c>
      <c r="I9" s="5" t="s">
        <v>2841</v>
      </c>
      <c r="J9" s="5" t="s">
        <v>2841</v>
      </c>
      <c r="K9" s="4">
        <v>39356</v>
      </c>
      <c r="L9" s="4">
        <v>39356</v>
      </c>
      <c r="M9" s="9">
        <f t="shared" si="0"/>
        <v>17</v>
      </c>
      <c r="N9" s="4" t="str">
        <f t="shared" si="2"/>
        <v>] 15 ; +oo [</v>
      </c>
      <c r="O9" s="5" t="s">
        <v>3779</v>
      </c>
      <c r="P9" s="5" t="s">
        <v>3779</v>
      </c>
      <c r="Q9" s="5">
        <v>1</v>
      </c>
      <c r="R9" s="5" t="str">
        <f t="shared" si="3"/>
        <v>Management &amp; Expertise</v>
      </c>
      <c r="S9" s="5" t="s">
        <v>3790</v>
      </c>
      <c r="T9" s="4">
        <v>29096</v>
      </c>
      <c r="U9" s="5">
        <f t="shared" si="4"/>
        <v>1979</v>
      </c>
      <c r="V9" s="5" t="s">
        <v>3793</v>
      </c>
      <c r="W9" s="9">
        <f t="shared" si="1"/>
        <v>45</v>
      </c>
      <c r="X9" s="5" t="str">
        <f t="shared" si="5"/>
        <v>[45 - 49 ans]</v>
      </c>
      <c r="Y9" s="5" t="str">
        <f t="shared" si="6"/>
        <v xml:space="preserve"> Generation X </v>
      </c>
      <c r="Z9" s="9">
        <f t="shared" si="7"/>
        <v>15</v>
      </c>
      <c r="AA9" s="5" t="str">
        <f t="shared" si="8"/>
        <v>RAS</v>
      </c>
      <c r="AB9" s="5" t="s">
        <v>3806</v>
      </c>
      <c r="AC9" s="6" t="s">
        <v>3799</v>
      </c>
      <c r="AE9" s="5" t="s">
        <v>3845</v>
      </c>
      <c r="AF9" s="5" t="s">
        <v>4481</v>
      </c>
      <c r="AG9" s="5" t="s">
        <v>4484</v>
      </c>
      <c r="AH9" s="5" t="s">
        <v>4487</v>
      </c>
      <c r="AI9" s="5" t="s">
        <v>3874</v>
      </c>
      <c r="AJ9" s="5" t="s">
        <v>3875</v>
      </c>
      <c r="AK9" s="5" t="s">
        <v>3876</v>
      </c>
      <c r="AL9" s="5" t="s">
        <v>3854</v>
      </c>
    </row>
    <row r="10" spans="1:38" x14ac:dyDescent="0.3">
      <c r="A10" s="4">
        <v>45716</v>
      </c>
      <c r="B10" s="5" t="s">
        <v>59</v>
      </c>
      <c r="C10" s="5" t="s">
        <v>60</v>
      </c>
      <c r="D10" s="5" t="s">
        <v>61</v>
      </c>
      <c r="E10" s="5" t="s">
        <v>4494</v>
      </c>
      <c r="G10" s="5" t="s">
        <v>39</v>
      </c>
      <c r="H10" s="5" t="s">
        <v>62</v>
      </c>
      <c r="I10" s="5" t="s">
        <v>1806</v>
      </c>
      <c r="J10" s="5" t="s">
        <v>2821</v>
      </c>
      <c r="K10" s="4">
        <v>39479</v>
      </c>
      <c r="L10" s="4">
        <v>39479</v>
      </c>
      <c r="M10" s="9">
        <f t="shared" si="0"/>
        <v>17</v>
      </c>
      <c r="N10" s="4" t="str">
        <f t="shared" si="2"/>
        <v>] 15 ; +oo [</v>
      </c>
      <c r="O10" s="5" t="s">
        <v>3783</v>
      </c>
      <c r="P10" s="5" t="s">
        <v>3783</v>
      </c>
      <c r="Q10" s="5">
        <v>1</v>
      </c>
      <c r="R10" s="5" t="str">
        <f t="shared" si="3"/>
        <v>Specialisation</v>
      </c>
      <c r="S10" s="5" t="s">
        <v>3790</v>
      </c>
      <c r="T10" s="4">
        <v>30101</v>
      </c>
      <c r="U10" s="5">
        <f t="shared" si="4"/>
        <v>1982</v>
      </c>
      <c r="V10" s="5" t="s">
        <v>3793</v>
      </c>
      <c r="W10" s="9">
        <f t="shared" si="1"/>
        <v>42</v>
      </c>
      <c r="X10" s="5" t="str">
        <f t="shared" si="5"/>
        <v>[40 - 44 ans]</v>
      </c>
      <c r="Y10" s="5" t="str">
        <f t="shared" si="6"/>
        <v xml:space="preserve"> Mellenials </v>
      </c>
      <c r="Z10" s="9">
        <f t="shared" si="7"/>
        <v>18</v>
      </c>
      <c r="AA10" s="5" t="str">
        <f t="shared" si="8"/>
        <v>RAS</v>
      </c>
      <c r="AB10" s="5" t="s">
        <v>3807</v>
      </c>
      <c r="AC10" s="6" t="s">
        <v>3799</v>
      </c>
      <c r="AE10" s="5" t="s">
        <v>3844</v>
      </c>
      <c r="AF10" s="5" t="s">
        <v>4482</v>
      </c>
      <c r="AG10" s="5" t="s">
        <v>4485</v>
      </c>
      <c r="AH10" s="5" t="s">
        <v>4489</v>
      </c>
      <c r="AI10" s="5" t="s">
        <v>3877</v>
      </c>
      <c r="AJ10" s="5" t="s">
        <v>3878</v>
      </c>
      <c r="AK10" s="5" t="s">
        <v>3879</v>
      </c>
      <c r="AL10" s="5" t="s">
        <v>3858</v>
      </c>
    </row>
    <row r="11" spans="1:38" x14ac:dyDescent="0.3">
      <c r="A11" s="4">
        <v>45716</v>
      </c>
      <c r="B11" s="5" t="s">
        <v>63</v>
      </c>
      <c r="C11" s="5" t="s">
        <v>64</v>
      </c>
      <c r="D11" s="5" t="s">
        <v>65</v>
      </c>
      <c r="E11" s="5" t="s">
        <v>4494</v>
      </c>
      <c r="G11" s="5" t="s">
        <v>29</v>
      </c>
      <c r="H11" s="5" t="s">
        <v>66</v>
      </c>
      <c r="I11" s="5" t="s">
        <v>69</v>
      </c>
      <c r="J11" s="5" t="s">
        <v>2355</v>
      </c>
      <c r="K11" s="4">
        <v>39569</v>
      </c>
      <c r="L11" s="4">
        <v>39569</v>
      </c>
      <c r="M11" s="9">
        <f t="shared" si="0"/>
        <v>16</v>
      </c>
      <c r="N11" s="4" t="str">
        <f t="shared" si="2"/>
        <v>] 15 ; +oo [</v>
      </c>
      <c r="O11" s="5" t="s">
        <v>3782</v>
      </c>
      <c r="P11" s="5" t="s">
        <v>3784</v>
      </c>
      <c r="Q11" s="5">
        <v>1</v>
      </c>
      <c r="R11" s="5" t="str">
        <f t="shared" si="3"/>
        <v>Management &amp; Expertise</v>
      </c>
      <c r="S11" s="5" t="s">
        <v>3789</v>
      </c>
      <c r="T11" s="4">
        <v>30252</v>
      </c>
      <c r="U11" s="5">
        <f t="shared" si="4"/>
        <v>1982</v>
      </c>
      <c r="V11" s="5" t="s">
        <v>3793</v>
      </c>
      <c r="W11" s="9">
        <f t="shared" si="1"/>
        <v>42</v>
      </c>
      <c r="X11" s="5" t="str">
        <f t="shared" si="5"/>
        <v>[40 - 44 ans]</v>
      </c>
      <c r="Y11" s="5" t="str">
        <f t="shared" si="6"/>
        <v xml:space="preserve"> Mellenials </v>
      </c>
      <c r="Z11" s="9">
        <f t="shared" si="7"/>
        <v>18</v>
      </c>
      <c r="AA11" s="5" t="str">
        <f t="shared" si="8"/>
        <v>RAS</v>
      </c>
      <c r="AB11" s="5" t="s">
        <v>3806</v>
      </c>
      <c r="AC11" s="6" t="s">
        <v>3799</v>
      </c>
      <c r="AE11" s="5" t="s">
        <v>3845</v>
      </c>
      <c r="AF11" s="5" t="s">
        <v>4481</v>
      </c>
      <c r="AG11" s="5" t="s">
        <v>4485</v>
      </c>
      <c r="AH11" s="5" t="s">
        <v>4487</v>
      </c>
      <c r="AI11" s="5" t="s">
        <v>3880</v>
      </c>
      <c r="AJ11" s="5" t="s">
        <v>3881</v>
      </c>
      <c r="AK11" s="5" t="s">
        <v>3882</v>
      </c>
      <c r="AL11" s="5" t="s">
        <v>3854</v>
      </c>
    </row>
    <row r="12" spans="1:38" x14ac:dyDescent="0.3">
      <c r="A12" s="4">
        <v>45716</v>
      </c>
      <c r="B12" s="5" t="s">
        <v>67</v>
      </c>
      <c r="C12" s="5" t="s">
        <v>68</v>
      </c>
      <c r="D12" s="5" t="s">
        <v>69</v>
      </c>
      <c r="E12" s="5" t="s">
        <v>4494</v>
      </c>
      <c r="G12" s="5" t="s">
        <v>29</v>
      </c>
      <c r="H12" s="5" t="s">
        <v>70</v>
      </c>
      <c r="I12" s="5" t="s">
        <v>2355</v>
      </c>
      <c r="J12" s="5" t="s">
        <v>2841</v>
      </c>
      <c r="K12" s="4">
        <v>39769</v>
      </c>
      <c r="L12" s="4">
        <v>39769</v>
      </c>
      <c r="M12" s="9">
        <f t="shared" si="0"/>
        <v>16</v>
      </c>
      <c r="N12" s="4" t="str">
        <f t="shared" si="2"/>
        <v>] 15 ; +oo [</v>
      </c>
      <c r="O12" s="5" t="s">
        <v>3784</v>
      </c>
      <c r="P12" s="5" t="s">
        <v>3784</v>
      </c>
      <c r="Q12" s="5">
        <v>1</v>
      </c>
      <c r="R12" s="5" t="str">
        <f t="shared" si="3"/>
        <v>Management &amp; Expertise</v>
      </c>
      <c r="S12" s="5" t="s">
        <v>3789</v>
      </c>
      <c r="T12" s="4">
        <v>29731</v>
      </c>
      <c r="U12" s="5">
        <f t="shared" si="4"/>
        <v>1981</v>
      </c>
      <c r="V12" s="5" t="s">
        <v>3793</v>
      </c>
      <c r="W12" s="9">
        <f t="shared" si="1"/>
        <v>43</v>
      </c>
      <c r="X12" s="5" t="str">
        <f t="shared" si="5"/>
        <v>[40 - 44 ans]</v>
      </c>
      <c r="Y12" s="5" t="str">
        <f t="shared" si="6"/>
        <v xml:space="preserve"> Mellenials </v>
      </c>
      <c r="Z12" s="9">
        <f t="shared" si="7"/>
        <v>17</v>
      </c>
      <c r="AA12" s="5" t="str">
        <f t="shared" si="8"/>
        <v>RAS</v>
      </c>
      <c r="AB12" s="5" t="s">
        <v>3806</v>
      </c>
      <c r="AC12" s="6" t="s">
        <v>3799</v>
      </c>
      <c r="AE12" s="5" t="s">
        <v>3845</v>
      </c>
      <c r="AF12" s="5" t="s">
        <v>4481</v>
      </c>
      <c r="AG12" s="5" t="s">
        <v>4485</v>
      </c>
      <c r="AH12" s="5" t="s">
        <v>4487</v>
      </c>
      <c r="AI12" s="5" t="s">
        <v>3883</v>
      </c>
      <c r="AJ12" s="5" t="s">
        <v>3884</v>
      </c>
      <c r="AK12" s="5" t="s">
        <v>3885</v>
      </c>
      <c r="AL12" s="5" t="s">
        <v>3854</v>
      </c>
    </row>
    <row r="13" spans="1:38" x14ac:dyDescent="0.3">
      <c r="A13" s="4">
        <v>45716</v>
      </c>
      <c r="B13" s="5" t="s">
        <v>71</v>
      </c>
      <c r="C13" s="5" t="s">
        <v>72</v>
      </c>
      <c r="D13" s="5" t="s">
        <v>73</v>
      </c>
      <c r="E13" s="5" t="s">
        <v>4494</v>
      </c>
      <c r="G13" s="5" t="s">
        <v>29</v>
      </c>
      <c r="H13" s="5" t="s">
        <v>74</v>
      </c>
      <c r="I13" s="5" t="s">
        <v>128</v>
      </c>
      <c r="J13" s="5" t="s">
        <v>2355</v>
      </c>
      <c r="K13" s="4">
        <v>39769</v>
      </c>
      <c r="L13" s="4">
        <v>39769</v>
      </c>
      <c r="M13" s="9">
        <f t="shared" si="0"/>
        <v>16</v>
      </c>
      <c r="N13" s="4" t="str">
        <f t="shared" si="2"/>
        <v>] 15 ; +oo [</v>
      </c>
      <c r="O13" s="5" t="s">
        <v>3782</v>
      </c>
      <c r="P13" s="5" t="s">
        <v>3782</v>
      </c>
      <c r="Q13" s="5">
        <v>1</v>
      </c>
      <c r="R13" s="5" t="str">
        <f t="shared" si="3"/>
        <v>Management &amp; Expertise</v>
      </c>
      <c r="S13" s="5" t="s">
        <v>3789</v>
      </c>
      <c r="T13" s="4">
        <v>30073</v>
      </c>
      <c r="U13" s="5">
        <f t="shared" si="4"/>
        <v>1982</v>
      </c>
      <c r="V13" s="5" t="s">
        <v>3794</v>
      </c>
      <c r="W13" s="9">
        <f t="shared" si="1"/>
        <v>42</v>
      </c>
      <c r="X13" s="5" t="str">
        <f t="shared" si="5"/>
        <v>[40 - 44 ans]</v>
      </c>
      <c r="Y13" s="5" t="str">
        <f t="shared" si="6"/>
        <v xml:space="preserve"> Mellenials </v>
      </c>
      <c r="Z13" s="9">
        <f t="shared" si="7"/>
        <v>18</v>
      </c>
      <c r="AA13" s="5" t="str">
        <f t="shared" si="8"/>
        <v>RAS</v>
      </c>
      <c r="AB13" s="5" t="s">
        <v>3806</v>
      </c>
      <c r="AC13" s="6" t="s">
        <v>3799</v>
      </c>
      <c r="AE13" s="5" t="s">
        <v>3845</v>
      </c>
      <c r="AF13" s="5" t="s">
        <v>4481</v>
      </c>
      <c r="AG13" s="5" t="s">
        <v>4485</v>
      </c>
      <c r="AH13" s="5" t="s">
        <v>4487</v>
      </c>
      <c r="AI13" s="5" t="s">
        <v>3886</v>
      </c>
      <c r="AJ13" s="5" t="s">
        <v>3887</v>
      </c>
      <c r="AK13" s="5" t="s">
        <v>3888</v>
      </c>
      <c r="AL13" s="5" t="s">
        <v>3854</v>
      </c>
    </row>
    <row r="14" spans="1:38" x14ac:dyDescent="0.3">
      <c r="A14" s="4">
        <v>45716</v>
      </c>
      <c r="B14" s="5" t="s">
        <v>75</v>
      </c>
      <c r="C14" s="5" t="s">
        <v>76</v>
      </c>
      <c r="D14" s="5" t="s">
        <v>77</v>
      </c>
      <c r="E14" s="5" t="s">
        <v>4494</v>
      </c>
      <c r="G14" s="5" t="s">
        <v>78</v>
      </c>
      <c r="H14" s="5" t="s">
        <v>79</v>
      </c>
      <c r="I14" s="5" t="s">
        <v>1357</v>
      </c>
      <c r="J14" s="5" t="s">
        <v>1857</v>
      </c>
      <c r="K14" s="4">
        <v>39828</v>
      </c>
      <c r="L14" s="4">
        <v>39828</v>
      </c>
      <c r="M14" s="9">
        <f t="shared" si="0"/>
        <v>16</v>
      </c>
      <c r="N14" s="4" t="str">
        <f t="shared" si="2"/>
        <v>] 15 ; +oo [</v>
      </c>
      <c r="O14" s="5" t="s">
        <v>3784</v>
      </c>
      <c r="P14" s="5" t="s">
        <v>3784</v>
      </c>
      <c r="Q14" s="5">
        <v>2</v>
      </c>
      <c r="R14" s="5" t="str">
        <f t="shared" si="3"/>
        <v>Management &amp; Expertise</v>
      </c>
      <c r="S14" s="5" t="s">
        <v>3790</v>
      </c>
      <c r="T14" s="4">
        <v>29396</v>
      </c>
      <c r="U14" s="5">
        <f t="shared" si="4"/>
        <v>1980</v>
      </c>
      <c r="V14" s="5" t="s">
        <v>3793</v>
      </c>
      <c r="W14" s="9">
        <f t="shared" si="1"/>
        <v>44</v>
      </c>
      <c r="X14" s="5" t="str">
        <f t="shared" si="5"/>
        <v>[40 - 44 ans]</v>
      </c>
      <c r="Y14" s="5" t="str">
        <f t="shared" si="6"/>
        <v xml:space="preserve"> Generation X </v>
      </c>
      <c r="Z14" s="9">
        <f t="shared" si="7"/>
        <v>16</v>
      </c>
      <c r="AA14" s="5" t="str">
        <f t="shared" si="8"/>
        <v>RAS</v>
      </c>
      <c r="AB14" s="5" t="s">
        <v>3806</v>
      </c>
      <c r="AC14" s="6" t="s">
        <v>3799</v>
      </c>
      <c r="AE14" s="5" t="s">
        <v>3845</v>
      </c>
      <c r="AF14" s="5" t="s">
        <v>4481</v>
      </c>
      <c r="AG14" s="5" t="s">
        <v>4485</v>
      </c>
      <c r="AH14" s="5" t="s">
        <v>4488</v>
      </c>
      <c r="AI14" s="5" t="s">
        <v>3889</v>
      </c>
      <c r="AJ14" s="5" t="s">
        <v>3890</v>
      </c>
      <c r="AK14" s="5" t="s">
        <v>3891</v>
      </c>
      <c r="AL14" s="5" t="s">
        <v>3854</v>
      </c>
    </row>
    <row r="15" spans="1:38" x14ac:dyDescent="0.3">
      <c r="A15" s="4">
        <v>45716</v>
      </c>
      <c r="B15" s="5" t="s">
        <v>80</v>
      </c>
      <c r="C15" s="5" t="s">
        <v>81</v>
      </c>
      <c r="D15" s="5" t="s">
        <v>82</v>
      </c>
      <c r="E15" s="5" t="s">
        <v>4494</v>
      </c>
      <c r="G15" s="5" t="s">
        <v>83</v>
      </c>
      <c r="H15" s="5" t="s">
        <v>84</v>
      </c>
      <c r="I15" s="5" t="s">
        <v>2841</v>
      </c>
      <c r="J15" s="5" t="s">
        <v>2841</v>
      </c>
      <c r="K15" s="4">
        <v>40087</v>
      </c>
      <c r="L15" s="4">
        <v>40087</v>
      </c>
      <c r="M15" s="9">
        <f t="shared" si="0"/>
        <v>15</v>
      </c>
      <c r="N15" s="4" t="str">
        <f t="shared" si="2"/>
        <v>] 10 ; 15 ]</v>
      </c>
      <c r="O15" s="5" t="s">
        <v>3779</v>
      </c>
      <c r="P15" s="5" t="s">
        <v>3779</v>
      </c>
      <c r="Q15" s="5">
        <v>2</v>
      </c>
      <c r="R15" s="5" t="str">
        <f t="shared" si="3"/>
        <v>Management &amp; Expertise</v>
      </c>
      <c r="S15" s="5" t="s">
        <v>3789</v>
      </c>
      <c r="T15" s="4">
        <v>24905</v>
      </c>
      <c r="U15" s="5">
        <f t="shared" si="4"/>
        <v>1968</v>
      </c>
      <c r="V15" s="5" t="s">
        <v>3793</v>
      </c>
      <c r="W15" s="9">
        <f t="shared" si="1"/>
        <v>56</v>
      </c>
      <c r="X15" s="5" t="str">
        <f t="shared" si="5"/>
        <v>[50 ans, +oo [</v>
      </c>
      <c r="Y15" s="5" t="str">
        <f t="shared" si="6"/>
        <v xml:space="preserve"> Generation X </v>
      </c>
      <c r="Z15" s="9">
        <f t="shared" si="7"/>
        <v>4</v>
      </c>
      <c r="AA15" s="5" t="str">
        <f t="shared" si="8"/>
        <v>Départ à la Retraite 5ans</v>
      </c>
      <c r="AB15" s="5" t="s">
        <v>3806</v>
      </c>
      <c r="AC15" s="6" t="s">
        <v>3799</v>
      </c>
      <c r="AE15" s="5" t="s">
        <v>3845</v>
      </c>
      <c r="AF15" s="5" t="s">
        <v>4481</v>
      </c>
      <c r="AG15" s="5" t="s">
        <v>4484</v>
      </c>
      <c r="AH15" s="5" t="s">
        <v>4489</v>
      </c>
      <c r="AI15" s="5" t="s">
        <v>3892</v>
      </c>
      <c r="AJ15" s="5" t="s">
        <v>3893</v>
      </c>
      <c r="AK15" s="5" t="s">
        <v>3894</v>
      </c>
      <c r="AL15" s="5" t="s">
        <v>3854</v>
      </c>
    </row>
    <row r="16" spans="1:38" x14ac:dyDescent="0.3">
      <c r="A16" s="4">
        <v>45716</v>
      </c>
      <c r="B16" s="5" t="s">
        <v>85</v>
      </c>
      <c r="C16" s="5" t="s">
        <v>86</v>
      </c>
      <c r="D16" s="5" t="s">
        <v>87</v>
      </c>
      <c r="E16" s="5" t="s">
        <v>4494</v>
      </c>
      <c r="G16" s="5" t="s">
        <v>88</v>
      </c>
      <c r="H16" s="5" t="s">
        <v>89</v>
      </c>
      <c r="I16" s="5" t="s">
        <v>213</v>
      </c>
      <c r="J16" s="5" t="s">
        <v>2739</v>
      </c>
      <c r="K16" s="4">
        <v>40092</v>
      </c>
      <c r="L16" s="4">
        <v>40092</v>
      </c>
      <c r="M16" s="9">
        <f t="shared" si="0"/>
        <v>15</v>
      </c>
      <c r="N16" s="4" t="str">
        <f t="shared" si="2"/>
        <v>] 10 ; 15 ]</v>
      </c>
      <c r="O16" s="5" t="s">
        <v>3780</v>
      </c>
      <c r="P16" s="5" t="s">
        <v>3786</v>
      </c>
      <c r="Q16" s="5">
        <v>1</v>
      </c>
      <c r="R16" s="5" t="str">
        <f t="shared" si="3"/>
        <v>Qualification</v>
      </c>
      <c r="S16" s="5" t="s">
        <v>3790</v>
      </c>
      <c r="T16" s="4">
        <v>26527</v>
      </c>
      <c r="U16" s="5">
        <f t="shared" si="4"/>
        <v>1972</v>
      </c>
      <c r="V16" s="5" t="s">
        <v>3793</v>
      </c>
      <c r="W16" s="9">
        <f t="shared" si="1"/>
        <v>52</v>
      </c>
      <c r="X16" s="5" t="str">
        <f t="shared" si="5"/>
        <v>[50 ans, +oo [</v>
      </c>
      <c r="Y16" s="5" t="str">
        <f t="shared" si="6"/>
        <v xml:space="preserve"> Generation X </v>
      </c>
      <c r="Z16" s="9">
        <f t="shared" si="7"/>
        <v>8</v>
      </c>
      <c r="AA16" s="5" t="str">
        <f t="shared" si="8"/>
        <v>RAS</v>
      </c>
      <c r="AB16" s="5" t="s">
        <v>3806</v>
      </c>
      <c r="AC16" s="6" t="s">
        <v>3799</v>
      </c>
      <c r="AE16" s="5" t="s">
        <v>3844</v>
      </c>
      <c r="AF16" s="5" t="s">
        <v>4482</v>
      </c>
      <c r="AG16" s="5" t="s">
        <v>4485</v>
      </c>
      <c r="AH16" s="5" t="s">
        <v>4488</v>
      </c>
      <c r="AI16" s="5" t="s">
        <v>3895</v>
      </c>
      <c r="AJ16" s="5" t="s">
        <v>3896</v>
      </c>
      <c r="AK16" s="5" t="s">
        <v>3897</v>
      </c>
      <c r="AL16" s="5" t="s">
        <v>3858</v>
      </c>
    </row>
    <row r="17" spans="1:38" x14ac:dyDescent="0.3">
      <c r="A17" s="4">
        <v>45716</v>
      </c>
      <c r="B17" s="5" t="s">
        <v>90</v>
      </c>
      <c r="C17" s="5" t="s">
        <v>91</v>
      </c>
      <c r="D17" s="5" t="s">
        <v>92</v>
      </c>
      <c r="E17" s="5" t="s">
        <v>4494</v>
      </c>
      <c r="G17" s="5" t="s">
        <v>44</v>
      </c>
      <c r="H17" s="5" t="s">
        <v>93</v>
      </c>
      <c r="I17" s="5" t="s">
        <v>2337</v>
      </c>
      <c r="J17" s="5" t="s">
        <v>2841</v>
      </c>
      <c r="K17" s="4">
        <v>40107</v>
      </c>
      <c r="L17" s="4">
        <v>40107</v>
      </c>
      <c r="M17" s="9">
        <f t="shared" si="0"/>
        <v>15</v>
      </c>
      <c r="N17" s="4" t="str">
        <f t="shared" si="2"/>
        <v>] 10 ; 15 ]</v>
      </c>
      <c r="O17" s="5" t="s">
        <v>3784</v>
      </c>
      <c r="P17" s="5" t="s">
        <v>3784</v>
      </c>
      <c r="Q17" s="5">
        <v>2</v>
      </c>
      <c r="R17" s="5" t="str">
        <f t="shared" si="3"/>
        <v>Management &amp; Expertise</v>
      </c>
      <c r="S17" s="5" t="s">
        <v>3789</v>
      </c>
      <c r="T17" s="4">
        <v>28770</v>
      </c>
      <c r="U17" s="5">
        <f t="shared" si="4"/>
        <v>1978</v>
      </c>
      <c r="V17" s="5" t="s">
        <v>3793</v>
      </c>
      <c r="W17" s="9">
        <f t="shared" si="1"/>
        <v>46</v>
      </c>
      <c r="X17" s="5" t="str">
        <f t="shared" si="5"/>
        <v>[45 - 49 ans]</v>
      </c>
      <c r="Y17" s="5" t="str">
        <f t="shared" si="6"/>
        <v xml:space="preserve"> Generation X </v>
      </c>
      <c r="Z17" s="9">
        <f t="shared" si="7"/>
        <v>14</v>
      </c>
      <c r="AA17" s="5" t="str">
        <f t="shared" si="8"/>
        <v>RAS</v>
      </c>
      <c r="AB17" s="5" t="s">
        <v>3806</v>
      </c>
      <c r="AC17" s="6" t="s">
        <v>3799</v>
      </c>
      <c r="AE17" s="5" t="s">
        <v>3845</v>
      </c>
      <c r="AF17" s="5" t="s">
        <v>4481</v>
      </c>
      <c r="AG17" s="5" t="s">
        <v>4485</v>
      </c>
      <c r="AH17" s="5" t="s">
        <v>4487</v>
      </c>
      <c r="AI17" s="5" t="s">
        <v>3898</v>
      </c>
      <c r="AJ17" s="5" t="s">
        <v>3899</v>
      </c>
      <c r="AK17" s="5" t="s">
        <v>3900</v>
      </c>
      <c r="AL17" s="5" t="s">
        <v>3854</v>
      </c>
    </row>
    <row r="18" spans="1:38" x14ac:dyDescent="0.3">
      <c r="A18" s="4">
        <v>45716</v>
      </c>
      <c r="B18" s="5" t="s">
        <v>94</v>
      </c>
      <c r="C18" s="5" t="s">
        <v>95</v>
      </c>
      <c r="D18" s="5" t="s">
        <v>96</v>
      </c>
      <c r="E18" s="5" t="s">
        <v>4494</v>
      </c>
      <c r="G18" s="5" t="s">
        <v>83</v>
      </c>
      <c r="H18" s="5" t="s">
        <v>97</v>
      </c>
      <c r="I18" s="5" t="s">
        <v>1222</v>
      </c>
      <c r="J18" s="5" t="s">
        <v>82</v>
      </c>
      <c r="K18" s="4">
        <v>40112</v>
      </c>
      <c r="L18" s="4">
        <v>40112</v>
      </c>
      <c r="M18" s="9">
        <f t="shared" si="0"/>
        <v>15</v>
      </c>
      <c r="N18" s="4" t="str">
        <f t="shared" si="2"/>
        <v>] 10 ; 15 ]</v>
      </c>
      <c r="O18" s="5" t="s">
        <v>3782</v>
      </c>
      <c r="P18" s="5" t="s">
        <v>3782</v>
      </c>
      <c r="Q18" s="5">
        <v>1</v>
      </c>
      <c r="R18" s="5" t="str">
        <f t="shared" si="3"/>
        <v>Management &amp; Expertise</v>
      </c>
      <c r="S18" s="5" t="s">
        <v>3789</v>
      </c>
      <c r="T18" s="4">
        <v>31650</v>
      </c>
      <c r="U18" s="5">
        <f t="shared" si="4"/>
        <v>1986</v>
      </c>
      <c r="V18" s="5" t="s">
        <v>3792</v>
      </c>
      <c r="W18" s="9">
        <f t="shared" si="1"/>
        <v>38</v>
      </c>
      <c r="X18" s="5" t="str">
        <f t="shared" si="5"/>
        <v>[35 - 39 ans ]</v>
      </c>
      <c r="Y18" s="5" t="str">
        <f t="shared" si="6"/>
        <v xml:space="preserve"> Mellenials </v>
      </c>
      <c r="Z18" s="9">
        <f t="shared" si="7"/>
        <v>22</v>
      </c>
      <c r="AA18" s="5" t="str">
        <f t="shared" si="8"/>
        <v>RAS</v>
      </c>
      <c r="AB18" s="5" t="s">
        <v>3807</v>
      </c>
      <c r="AC18" s="6" t="s">
        <v>3799</v>
      </c>
      <c r="AE18" s="5" t="s">
        <v>3845</v>
      </c>
      <c r="AF18" s="5" t="s">
        <v>4481</v>
      </c>
      <c r="AG18" s="5" t="s">
        <v>4485</v>
      </c>
      <c r="AH18" s="5" t="s">
        <v>4489</v>
      </c>
      <c r="AI18" s="5" t="s">
        <v>3901</v>
      </c>
      <c r="AJ18" s="5" t="s">
        <v>3902</v>
      </c>
      <c r="AK18" s="5" t="s">
        <v>3903</v>
      </c>
      <c r="AL18" s="5" t="s">
        <v>3854</v>
      </c>
    </row>
    <row r="19" spans="1:38" x14ac:dyDescent="0.3">
      <c r="A19" s="4">
        <v>45716</v>
      </c>
      <c r="B19" s="5" t="s">
        <v>98</v>
      </c>
      <c r="C19" s="5" t="s">
        <v>99</v>
      </c>
      <c r="D19" s="5" t="s">
        <v>100</v>
      </c>
      <c r="E19" s="5" t="s">
        <v>4494</v>
      </c>
      <c r="G19" s="5" t="s">
        <v>88</v>
      </c>
      <c r="H19" s="5" t="s">
        <v>101</v>
      </c>
      <c r="I19" s="5" t="s">
        <v>945</v>
      </c>
      <c r="J19" s="5" t="s">
        <v>879</v>
      </c>
      <c r="K19" s="4">
        <v>40118</v>
      </c>
      <c r="L19" s="4">
        <v>40118</v>
      </c>
      <c r="M19" s="9">
        <f t="shared" si="0"/>
        <v>15</v>
      </c>
      <c r="N19" s="4" t="str">
        <f t="shared" si="2"/>
        <v>] 10 ; 15 ]</v>
      </c>
      <c r="O19" s="5" t="s">
        <v>3783</v>
      </c>
      <c r="P19" s="5" t="s">
        <v>3785</v>
      </c>
      <c r="Q19" s="5">
        <v>1</v>
      </c>
      <c r="R19" s="5" t="str">
        <f t="shared" si="3"/>
        <v>Specialisation</v>
      </c>
      <c r="S19" s="5" t="s">
        <v>3789</v>
      </c>
      <c r="T19" s="4">
        <v>28860</v>
      </c>
      <c r="U19" s="5">
        <f t="shared" si="4"/>
        <v>1979</v>
      </c>
      <c r="V19" s="5" t="s">
        <v>3792</v>
      </c>
      <c r="W19" s="9">
        <f t="shared" si="1"/>
        <v>46</v>
      </c>
      <c r="X19" s="5" t="str">
        <f t="shared" si="5"/>
        <v>[45 - 49 ans]</v>
      </c>
      <c r="Y19" s="5" t="str">
        <f t="shared" si="6"/>
        <v xml:space="preserve"> Generation X </v>
      </c>
      <c r="Z19" s="9">
        <f t="shared" si="7"/>
        <v>14</v>
      </c>
      <c r="AA19" s="5" t="str">
        <f t="shared" si="8"/>
        <v>RAS</v>
      </c>
      <c r="AB19" s="5" t="s">
        <v>3806</v>
      </c>
      <c r="AC19" s="6" t="s">
        <v>3799</v>
      </c>
      <c r="AE19" s="5" t="s">
        <v>3844</v>
      </c>
      <c r="AF19" s="5" t="s">
        <v>4482</v>
      </c>
      <c r="AG19" s="5" t="s">
        <v>4485</v>
      </c>
      <c r="AH19" s="5" t="s">
        <v>4488</v>
      </c>
      <c r="AI19" s="5" t="s">
        <v>3904</v>
      </c>
      <c r="AJ19" s="5" t="s">
        <v>3905</v>
      </c>
      <c r="AK19" s="8">
        <v>11152</v>
      </c>
      <c r="AL19" s="5" t="s">
        <v>3858</v>
      </c>
    </row>
    <row r="20" spans="1:38" x14ac:dyDescent="0.3">
      <c r="A20" s="4">
        <v>45716</v>
      </c>
      <c r="B20" s="5" t="s">
        <v>102</v>
      </c>
      <c r="C20" s="5" t="s">
        <v>103</v>
      </c>
      <c r="D20" s="5" t="s">
        <v>104</v>
      </c>
      <c r="E20" s="5" t="s">
        <v>4494</v>
      </c>
      <c r="G20" s="5" t="s">
        <v>39</v>
      </c>
      <c r="H20" s="5" t="s">
        <v>105</v>
      </c>
      <c r="I20" s="5" t="s">
        <v>132</v>
      </c>
      <c r="J20" s="5" t="s">
        <v>1372</v>
      </c>
      <c r="K20" s="4">
        <v>40118</v>
      </c>
      <c r="L20" s="4">
        <v>39798</v>
      </c>
      <c r="M20" s="9">
        <f t="shared" si="0"/>
        <v>16</v>
      </c>
      <c r="N20" s="4" t="str">
        <f t="shared" si="2"/>
        <v>] 15 ; +oo [</v>
      </c>
      <c r="O20" s="5" t="s">
        <v>3785</v>
      </c>
      <c r="P20" s="5" t="s">
        <v>3785</v>
      </c>
      <c r="Q20" s="5">
        <v>1</v>
      </c>
      <c r="R20" s="5" t="str">
        <f t="shared" si="3"/>
        <v>Specialisation</v>
      </c>
      <c r="S20" s="5" t="s">
        <v>3789</v>
      </c>
      <c r="T20" s="4">
        <v>29560</v>
      </c>
      <c r="U20" s="5">
        <f t="shared" si="4"/>
        <v>1980</v>
      </c>
      <c r="V20" s="5" t="s">
        <v>3793</v>
      </c>
      <c r="W20" s="9">
        <f t="shared" si="1"/>
        <v>44</v>
      </c>
      <c r="X20" s="5" t="str">
        <f t="shared" si="5"/>
        <v>[40 - 44 ans]</v>
      </c>
      <c r="Y20" s="5" t="str">
        <f t="shared" si="6"/>
        <v xml:space="preserve"> Generation X </v>
      </c>
      <c r="Z20" s="9">
        <f t="shared" si="7"/>
        <v>16</v>
      </c>
      <c r="AA20" s="5" t="str">
        <f t="shared" si="8"/>
        <v>RAS</v>
      </c>
      <c r="AB20" s="5" t="s">
        <v>3805</v>
      </c>
      <c r="AC20" s="6" t="s">
        <v>3799</v>
      </c>
      <c r="AE20" s="5" t="s">
        <v>3844</v>
      </c>
      <c r="AF20" s="5" t="s">
        <v>4481</v>
      </c>
      <c r="AG20" s="5" t="s">
        <v>4485</v>
      </c>
      <c r="AH20" s="5" t="s">
        <v>4489</v>
      </c>
      <c r="AI20" s="5" t="s">
        <v>3906</v>
      </c>
      <c r="AJ20" s="5" t="s">
        <v>3907</v>
      </c>
      <c r="AK20" s="5" t="s">
        <v>3908</v>
      </c>
      <c r="AL20" s="5" t="s">
        <v>3858</v>
      </c>
    </row>
    <row r="21" spans="1:38" x14ac:dyDescent="0.3">
      <c r="A21" s="4">
        <v>45716</v>
      </c>
      <c r="B21" s="5" t="s">
        <v>106</v>
      </c>
      <c r="C21" s="5" t="s">
        <v>107</v>
      </c>
      <c r="D21" s="5" t="s">
        <v>108</v>
      </c>
      <c r="E21" s="5" t="s">
        <v>4494</v>
      </c>
      <c r="G21" s="5" t="s">
        <v>83</v>
      </c>
      <c r="H21" s="5" t="s">
        <v>109</v>
      </c>
      <c r="I21" s="5" t="s">
        <v>96</v>
      </c>
      <c r="J21" s="5" t="s">
        <v>1222</v>
      </c>
      <c r="K21" s="4">
        <v>40118</v>
      </c>
      <c r="L21" s="4">
        <v>39783</v>
      </c>
      <c r="M21" s="9">
        <f t="shared" si="0"/>
        <v>16</v>
      </c>
      <c r="N21" s="4" t="str">
        <f t="shared" si="2"/>
        <v>] 15 ; +oo [</v>
      </c>
      <c r="O21" s="5" t="s">
        <v>3783</v>
      </c>
      <c r="P21" s="5" t="s">
        <v>3785</v>
      </c>
      <c r="Q21" s="5">
        <v>1</v>
      </c>
      <c r="R21" s="5" t="str">
        <f t="shared" si="3"/>
        <v>Specialisation</v>
      </c>
      <c r="S21" s="5" t="s">
        <v>3789</v>
      </c>
      <c r="T21" s="4">
        <v>31672</v>
      </c>
      <c r="U21" s="5">
        <f t="shared" si="4"/>
        <v>1986</v>
      </c>
      <c r="V21" s="5" t="s">
        <v>3793</v>
      </c>
      <c r="W21" s="9">
        <f t="shared" si="1"/>
        <v>38</v>
      </c>
      <c r="X21" s="5" t="str">
        <f t="shared" si="5"/>
        <v>[35 - 39 ans ]</v>
      </c>
      <c r="Y21" s="5" t="str">
        <f t="shared" si="6"/>
        <v xml:space="preserve"> Mellenials </v>
      </c>
      <c r="Z21" s="9">
        <f t="shared" si="7"/>
        <v>22</v>
      </c>
      <c r="AA21" s="5" t="str">
        <f t="shared" si="8"/>
        <v>RAS</v>
      </c>
      <c r="AB21" s="5" t="s">
        <v>3807</v>
      </c>
      <c r="AC21" s="6" t="s">
        <v>3799</v>
      </c>
      <c r="AE21" s="5" t="s">
        <v>3844</v>
      </c>
      <c r="AF21" s="5" t="s">
        <v>4482</v>
      </c>
      <c r="AG21" s="5" t="s">
        <v>4485</v>
      </c>
      <c r="AH21" s="5" t="s">
        <v>4489</v>
      </c>
      <c r="AI21" s="5" t="s">
        <v>3901</v>
      </c>
      <c r="AJ21" s="5" t="s">
        <v>3902</v>
      </c>
      <c r="AK21" s="5" t="s">
        <v>3903</v>
      </c>
      <c r="AL21" s="5" t="s">
        <v>3858</v>
      </c>
    </row>
    <row r="22" spans="1:38" x14ac:dyDescent="0.3">
      <c r="A22" s="4">
        <v>45716</v>
      </c>
      <c r="B22" s="5" t="s">
        <v>110</v>
      </c>
      <c r="C22" s="5" t="s">
        <v>111</v>
      </c>
      <c r="D22" s="5" t="s">
        <v>112</v>
      </c>
      <c r="E22" s="5" t="s">
        <v>4494</v>
      </c>
      <c r="G22" s="5" t="s">
        <v>83</v>
      </c>
      <c r="H22" s="5" t="s">
        <v>113</v>
      </c>
      <c r="I22" s="5" t="s">
        <v>1903</v>
      </c>
      <c r="J22" s="5" t="s">
        <v>82</v>
      </c>
      <c r="K22" s="4">
        <v>40121</v>
      </c>
      <c r="L22" s="4">
        <v>40121</v>
      </c>
      <c r="M22" s="9">
        <f t="shared" si="0"/>
        <v>15</v>
      </c>
      <c r="N22" s="4" t="str">
        <f t="shared" si="2"/>
        <v>] 10 ; 15 ]</v>
      </c>
      <c r="O22" s="5" t="s">
        <v>3782</v>
      </c>
      <c r="P22" s="5" t="s">
        <v>3784</v>
      </c>
      <c r="Q22" s="5">
        <v>1</v>
      </c>
      <c r="R22" s="5" t="str">
        <f t="shared" si="3"/>
        <v>Management &amp; Expertise</v>
      </c>
      <c r="S22" s="5" t="s">
        <v>3789</v>
      </c>
      <c r="T22" s="4">
        <v>25166</v>
      </c>
      <c r="U22" s="5">
        <f t="shared" si="4"/>
        <v>1968</v>
      </c>
      <c r="V22" s="5" t="s">
        <v>3793</v>
      </c>
      <c r="W22" s="9">
        <f t="shared" si="1"/>
        <v>56</v>
      </c>
      <c r="X22" s="5" t="str">
        <f t="shared" si="5"/>
        <v>[50 ans, +oo [</v>
      </c>
      <c r="Y22" s="5" t="str">
        <f t="shared" si="6"/>
        <v xml:space="preserve"> Generation X </v>
      </c>
      <c r="Z22" s="9">
        <f t="shared" si="7"/>
        <v>4</v>
      </c>
      <c r="AA22" s="5" t="str">
        <f t="shared" si="8"/>
        <v>Départ à la Retraite 5ans</v>
      </c>
      <c r="AB22" s="5" t="s">
        <v>3807</v>
      </c>
      <c r="AC22" s="6" t="s">
        <v>3799</v>
      </c>
      <c r="AE22" s="5" t="s">
        <v>3845</v>
      </c>
      <c r="AF22" s="5" t="s">
        <v>4481</v>
      </c>
      <c r="AG22" s="5" t="s">
        <v>4485</v>
      </c>
      <c r="AH22" s="5" t="s">
        <v>4489</v>
      </c>
      <c r="AI22" s="5" t="s">
        <v>3909</v>
      </c>
      <c r="AJ22" s="5" t="s">
        <v>3910</v>
      </c>
      <c r="AK22" s="5" t="s">
        <v>3911</v>
      </c>
      <c r="AL22" s="5" t="s">
        <v>3854</v>
      </c>
    </row>
    <row r="23" spans="1:38" x14ac:dyDescent="0.3">
      <c r="A23" s="4">
        <v>45716</v>
      </c>
      <c r="B23" s="5" t="s">
        <v>114</v>
      </c>
      <c r="C23" s="5" t="s">
        <v>115</v>
      </c>
      <c r="D23" s="5" t="s">
        <v>116</v>
      </c>
      <c r="E23" s="5" t="s">
        <v>4494</v>
      </c>
      <c r="G23" s="5" t="s">
        <v>39</v>
      </c>
      <c r="H23" s="5" t="s">
        <v>117</v>
      </c>
      <c r="I23" s="5" t="s">
        <v>132</v>
      </c>
      <c r="J23" s="5" t="s">
        <v>1372</v>
      </c>
      <c r="K23" s="4">
        <v>40121</v>
      </c>
      <c r="L23" s="4">
        <v>40121</v>
      </c>
      <c r="M23" s="9">
        <f t="shared" si="0"/>
        <v>15</v>
      </c>
      <c r="N23" s="4" t="str">
        <f t="shared" si="2"/>
        <v>] 10 ; 15 ]</v>
      </c>
      <c r="O23" s="5" t="s">
        <v>3786</v>
      </c>
      <c r="P23" s="5" t="s">
        <v>3783</v>
      </c>
      <c r="Q23" s="5">
        <v>1</v>
      </c>
      <c r="R23" s="5" t="str">
        <f t="shared" si="3"/>
        <v>Specialisation</v>
      </c>
      <c r="S23" s="5" t="s">
        <v>3790</v>
      </c>
      <c r="T23" s="4">
        <v>28453</v>
      </c>
      <c r="U23" s="5">
        <f t="shared" si="4"/>
        <v>1977</v>
      </c>
      <c r="V23" s="5" t="s">
        <v>3793</v>
      </c>
      <c r="W23" s="9">
        <f t="shared" si="1"/>
        <v>47</v>
      </c>
      <c r="X23" s="5" t="str">
        <f t="shared" si="5"/>
        <v>[45 - 49 ans]</v>
      </c>
      <c r="Y23" s="5" t="str">
        <f t="shared" si="6"/>
        <v xml:space="preserve"> Generation X </v>
      </c>
      <c r="Z23" s="9">
        <f t="shared" si="7"/>
        <v>13</v>
      </c>
      <c r="AA23" s="5" t="str">
        <f t="shared" si="8"/>
        <v>RAS</v>
      </c>
      <c r="AB23" s="5" t="s">
        <v>3805</v>
      </c>
      <c r="AC23" s="6" t="s">
        <v>3799</v>
      </c>
      <c r="AE23" s="5" t="s">
        <v>3844</v>
      </c>
      <c r="AF23" s="5" t="s">
        <v>4482</v>
      </c>
      <c r="AG23" s="5" t="s">
        <v>4485</v>
      </c>
      <c r="AH23" s="5" t="s">
        <v>4489</v>
      </c>
      <c r="AI23" s="5" t="s">
        <v>3906</v>
      </c>
      <c r="AJ23" s="5" t="s">
        <v>3907</v>
      </c>
      <c r="AK23" s="5" t="s">
        <v>3908</v>
      </c>
      <c r="AL23" s="5" t="s">
        <v>3858</v>
      </c>
    </row>
    <row r="24" spans="1:38" x14ac:dyDescent="0.3">
      <c r="A24" s="4">
        <v>45716</v>
      </c>
      <c r="B24" s="5" t="s">
        <v>118</v>
      </c>
      <c r="C24" s="5" t="s">
        <v>119</v>
      </c>
      <c r="D24" s="5" t="s">
        <v>120</v>
      </c>
      <c r="E24" s="5" t="s">
        <v>4494</v>
      </c>
      <c r="G24" s="5" t="s">
        <v>39</v>
      </c>
      <c r="H24" s="5" t="s">
        <v>121</v>
      </c>
      <c r="I24" s="5" t="s">
        <v>2821</v>
      </c>
      <c r="J24" s="5" t="s">
        <v>2841</v>
      </c>
      <c r="K24" s="4">
        <v>40126</v>
      </c>
      <c r="L24" s="4">
        <v>40126</v>
      </c>
      <c r="M24" s="9">
        <f t="shared" si="0"/>
        <v>15</v>
      </c>
      <c r="N24" s="4" t="str">
        <f t="shared" si="2"/>
        <v>] 10 ; 15 ]</v>
      </c>
      <c r="O24" s="5" t="s">
        <v>3784</v>
      </c>
      <c r="P24" s="5" t="s">
        <v>3784</v>
      </c>
      <c r="Q24" s="5">
        <v>2</v>
      </c>
      <c r="R24" s="5" t="str">
        <f t="shared" si="3"/>
        <v>Management &amp; Expertise</v>
      </c>
      <c r="S24" s="5" t="s">
        <v>3789</v>
      </c>
      <c r="T24" s="4">
        <v>27908</v>
      </c>
      <c r="U24" s="5">
        <f t="shared" si="4"/>
        <v>1976</v>
      </c>
      <c r="V24" s="5" t="s">
        <v>3793</v>
      </c>
      <c r="W24" s="9">
        <f t="shared" si="1"/>
        <v>48</v>
      </c>
      <c r="X24" s="5" t="str">
        <f t="shared" si="5"/>
        <v>[45 - 49 ans]</v>
      </c>
      <c r="Y24" s="5" t="str">
        <f t="shared" si="6"/>
        <v xml:space="preserve"> Generation X </v>
      </c>
      <c r="Z24" s="9">
        <f t="shared" si="7"/>
        <v>12</v>
      </c>
      <c r="AA24" s="5" t="str">
        <f t="shared" si="8"/>
        <v>RAS</v>
      </c>
      <c r="AB24" s="5" t="s">
        <v>3807</v>
      </c>
      <c r="AC24" s="6" t="s">
        <v>3799</v>
      </c>
      <c r="AE24" s="5" t="s">
        <v>3845</v>
      </c>
      <c r="AF24" s="5" t="s">
        <v>4481</v>
      </c>
      <c r="AG24" s="5" t="s">
        <v>4485</v>
      </c>
      <c r="AH24" s="5" t="s">
        <v>4489</v>
      </c>
      <c r="AI24" s="5" t="s">
        <v>3912</v>
      </c>
      <c r="AJ24" s="5" t="s">
        <v>3913</v>
      </c>
      <c r="AK24" s="5" t="s">
        <v>3914</v>
      </c>
      <c r="AL24" s="5" t="s">
        <v>3854</v>
      </c>
    </row>
    <row r="25" spans="1:38" x14ac:dyDescent="0.3">
      <c r="A25" s="4">
        <v>45716</v>
      </c>
      <c r="B25" s="5" t="s">
        <v>122</v>
      </c>
      <c r="C25" s="5" t="s">
        <v>123</v>
      </c>
      <c r="D25" s="5" t="s">
        <v>124</v>
      </c>
      <c r="E25" s="5" t="s">
        <v>4494</v>
      </c>
      <c r="G25" s="5" t="s">
        <v>39</v>
      </c>
      <c r="H25" s="5" t="s">
        <v>125</v>
      </c>
      <c r="I25" s="5" t="s">
        <v>2821</v>
      </c>
      <c r="J25" s="5" t="s">
        <v>2841</v>
      </c>
      <c r="K25" s="4">
        <v>40118</v>
      </c>
      <c r="L25" s="4">
        <v>40118</v>
      </c>
      <c r="M25" s="9">
        <f t="shared" si="0"/>
        <v>15</v>
      </c>
      <c r="N25" s="4" t="str">
        <f t="shared" si="2"/>
        <v>] 10 ; 15 ]</v>
      </c>
      <c r="O25" s="5" t="s">
        <v>3784</v>
      </c>
      <c r="P25" s="5" t="s">
        <v>3784</v>
      </c>
      <c r="Q25" s="5">
        <v>2</v>
      </c>
      <c r="R25" s="5" t="str">
        <f t="shared" si="3"/>
        <v>Management &amp; Expertise</v>
      </c>
      <c r="S25" s="5" t="s">
        <v>3789</v>
      </c>
      <c r="T25" s="4">
        <v>26951</v>
      </c>
      <c r="U25" s="5">
        <f t="shared" si="4"/>
        <v>1973</v>
      </c>
      <c r="V25" s="5" t="s">
        <v>3793</v>
      </c>
      <c r="W25" s="9">
        <f t="shared" si="1"/>
        <v>51</v>
      </c>
      <c r="X25" s="5" t="str">
        <f t="shared" si="5"/>
        <v>[50 ans, +oo [</v>
      </c>
      <c r="Y25" s="5" t="str">
        <f t="shared" si="6"/>
        <v xml:space="preserve"> Generation X </v>
      </c>
      <c r="Z25" s="9">
        <f t="shared" si="7"/>
        <v>9</v>
      </c>
      <c r="AA25" s="5" t="str">
        <f t="shared" si="8"/>
        <v>RAS</v>
      </c>
      <c r="AB25" s="5" t="s">
        <v>3807</v>
      </c>
      <c r="AC25" s="6" t="s">
        <v>3799</v>
      </c>
      <c r="AE25" s="5" t="s">
        <v>3844</v>
      </c>
      <c r="AF25" s="5" t="s">
        <v>4481</v>
      </c>
      <c r="AG25" s="5" t="s">
        <v>4485</v>
      </c>
      <c r="AH25" s="5" t="s">
        <v>4489</v>
      </c>
      <c r="AI25" s="5" t="s">
        <v>3915</v>
      </c>
      <c r="AJ25" s="5" t="s">
        <v>3916</v>
      </c>
      <c r="AK25" s="5" t="s">
        <v>3917</v>
      </c>
      <c r="AL25" s="5" t="s">
        <v>3858</v>
      </c>
    </row>
    <row r="26" spans="1:38" x14ac:dyDescent="0.3">
      <c r="A26" s="4">
        <v>45716</v>
      </c>
      <c r="B26" s="5" t="s">
        <v>126</v>
      </c>
      <c r="C26" s="5" t="s">
        <v>127</v>
      </c>
      <c r="D26" s="5" t="s">
        <v>128</v>
      </c>
      <c r="E26" s="5" t="s">
        <v>4494</v>
      </c>
      <c r="G26" s="5" t="s">
        <v>29</v>
      </c>
      <c r="H26" s="5" t="s">
        <v>129</v>
      </c>
      <c r="I26" s="5" t="s">
        <v>2355</v>
      </c>
      <c r="J26" s="5" t="s">
        <v>2841</v>
      </c>
      <c r="K26" s="4">
        <v>40133</v>
      </c>
      <c r="L26" s="4">
        <v>40133</v>
      </c>
      <c r="M26" s="9">
        <f t="shared" si="0"/>
        <v>15</v>
      </c>
      <c r="N26" s="4" t="str">
        <f t="shared" si="2"/>
        <v>] 10 ; 15 ]</v>
      </c>
      <c r="O26" s="5" t="s">
        <v>3784</v>
      </c>
      <c r="P26" s="5" t="s">
        <v>3784</v>
      </c>
      <c r="Q26" s="5">
        <v>2</v>
      </c>
      <c r="R26" s="5" t="str">
        <f t="shared" si="3"/>
        <v>Management &amp; Expertise</v>
      </c>
      <c r="S26" s="5" t="s">
        <v>3789</v>
      </c>
      <c r="T26" s="4">
        <v>26085</v>
      </c>
      <c r="U26" s="5">
        <f t="shared" si="4"/>
        <v>1971</v>
      </c>
      <c r="V26" s="5" t="s">
        <v>3793</v>
      </c>
      <c r="W26" s="9">
        <f t="shared" si="1"/>
        <v>53</v>
      </c>
      <c r="X26" s="5" t="str">
        <f t="shared" si="5"/>
        <v>[50 ans, +oo [</v>
      </c>
      <c r="Y26" s="5" t="str">
        <f t="shared" si="6"/>
        <v xml:space="preserve"> Generation X </v>
      </c>
      <c r="Z26" s="9">
        <f t="shared" si="7"/>
        <v>7</v>
      </c>
      <c r="AA26" s="5" t="str">
        <f t="shared" si="8"/>
        <v>RAS</v>
      </c>
      <c r="AB26" s="5" t="s">
        <v>3806</v>
      </c>
      <c r="AC26" s="6" t="s">
        <v>3799</v>
      </c>
      <c r="AE26" s="5" t="s">
        <v>3845</v>
      </c>
      <c r="AF26" s="5" t="s">
        <v>4481</v>
      </c>
      <c r="AG26" s="5" t="s">
        <v>4485</v>
      </c>
      <c r="AH26" s="5" t="s">
        <v>4487</v>
      </c>
      <c r="AI26" s="5" t="s">
        <v>3918</v>
      </c>
      <c r="AJ26" s="5" t="s">
        <v>3919</v>
      </c>
      <c r="AK26" s="5" t="s">
        <v>3888</v>
      </c>
      <c r="AL26" s="5" t="s">
        <v>3854</v>
      </c>
    </row>
    <row r="27" spans="1:38" x14ac:dyDescent="0.3">
      <c r="A27" s="4">
        <v>45716</v>
      </c>
      <c r="B27" s="5" t="s">
        <v>130</v>
      </c>
      <c r="C27" s="5" t="s">
        <v>131</v>
      </c>
      <c r="D27" s="5" t="s">
        <v>132</v>
      </c>
      <c r="E27" s="5" t="s">
        <v>4494</v>
      </c>
      <c r="G27" s="5" t="s">
        <v>39</v>
      </c>
      <c r="H27" s="5" t="s">
        <v>133</v>
      </c>
      <c r="I27" s="5" t="s">
        <v>1372</v>
      </c>
      <c r="J27" s="5" t="s">
        <v>2821</v>
      </c>
      <c r="K27" s="4">
        <v>40133</v>
      </c>
      <c r="L27" s="4">
        <v>40133</v>
      </c>
      <c r="M27" s="9">
        <f t="shared" si="0"/>
        <v>15</v>
      </c>
      <c r="N27" s="4" t="str">
        <f t="shared" si="2"/>
        <v>] 10 ; 15 ]</v>
      </c>
      <c r="O27" s="5" t="s">
        <v>3782</v>
      </c>
      <c r="P27" s="5" t="s">
        <v>3782</v>
      </c>
      <c r="Q27" s="5">
        <v>1</v>
      </c>
      <c r="R27" s="5" t="str">
        <f t="shared" si="3"/>
        <v>Management &amp; Expertise</v>
      </c>
      <c r="S27" s="5" t="s">
        <v>3789</v>
      </c>
      <c r="T27" s="4">
        <v>29793</v>
      </c>
      <c r="U27" s="5">
        <f t="shared" si="4"/>
        <v>1981</v>
      </c>
      <c r="V27" s="5" t="s">
        <v>3793</v>
      </c>
      <c r="W27" s="9">
        <f t="shared" si="1"/>
        <v>43</v>
      </c>
      <c r="X27" s="5" t="str">
        <f t="shared" si="5"/>
        <v>[40 - 44 ans]</v>
      </c>
      <c r="Y27" s="5" t="str">
        <f t="shared" si="6"/>
        <v xml:space="preserve"> Mellenials </v>
      </c>
      <c r="Z27" s="9">
        <f t="shared" si="7"/>
        <v>17</v>
      </c>
      <c r="AA27" s="5" t="str">
        <f t="shared" si="8"/>
        <v>RAS</v>
      </c>
      <c r="AB27" s="5" t="s">
        <v>3805</v>
      </c>
      <c r="AC27" s="6" t="s">
        <v>3799</v>
      </c>
      <c r="AE27" s="5" t="s">
        <v>3845</v>
      </c>
      <c r="AF27" s="5" t="s">
        <v>4481</v>
      </c>
      <c r="AG27" s="5" t="s">
        <v>4485</v>
      </c>
      <c r="AH27" s="5" t="s">
        <v>4489</v>
      </c>
      <c r="AI27" s="5" t="s">
        <v>3920</v>
      </c>
      <c r="AJ27" s="5" t="s">
        <v>3921</v>
      </c>
      <c r="AK27" s="5" t="s">
        <v>3922</v>
      </c>
      <c r="AL27" s="5" t="s">
        <v>3854</v>
      </c>
    </row>
    <row r="28" spans="1:38" x14ac:dyDescent="0.3">
      <c r="A28" s="4">
        <v>45716</v>
      </c>
      <c r="B28" s="5" t="s">
        <v>134</v>
      </c>
      <c r="C28" s="5" t="s">
        <v>135</v>
      </c>
      <c r="D28" s="5" t="s">
        <v>136</v>
      </c>
      <c r="E28" s="5" t="s">
        <v>4494</v>
      </c>
      <c r="G28" s="5" t="s">
        <v>137</v>
      </c>
      <c r="H28" s="5" t="s">
        <v>138</v>
      </c>
      <c r="I28" s="5" t="s">
        <v>1346</v>
      </c>
      <c r="J28" s="5" t="s">
        <v>2841</v>
      </c>
      <c r="K28" s="4">
        <v>40135</v>
      </c>
      <c r="L28" s="4">
        <v>40135</v>
      </c>
      <c r="M28" s="9">
        <f t="shared" si="0"/>
        <v>15</v>
      </c>
      <c r="N28" s="4" t="str">
        <f t="shared" si="2"/>
        <v>] 10 ; 15 ]</v>
      </c>
      <c r="O28" s="5" t="s">
        <v>3782</v>
      </c>
      <c r="P28" s="5" t="s">
        <v>3782</v>
      </c>
      <c r="Q28" s="5">
        <v>2</v>
      </c>
      <c r="R28" s="5" t="str">
        <f t="shared" si="3"/>
        <v>Management &amp; Expertise</v>
      </c>
      <c r="S28" s="5" t="s">
        <v>3789</v>
      </c>
      <c r="T28" s="4">
        <v>26528</v>
      </c>
      <c r="U28" s="5">
        <f t="shared" si="4"/>
        <v>1972</v>
      </c>
      <c r="V28" s="5" t="s">
        <v>3793</v>
      </c>
      <c r="W28" s="9">
        <f t="shared" si="1"/>
        <v>52</v>
      </c>
      <c r="X28" s="5" t="str">
        <f t="shared" si="5"/>
        <v>[50 ans, +oo [</v>
      </c>
      <c r="Y28" s="5" t="str">
        <f t="shared" si="6"/>
        <v xml:space="preserve"> Generation X </v>
      </c>
      <c r="Z28" s="9">
        <f t="shared" si="7"/>
        <v>8</v>
      </c>
      <c r="AA28" s="5" t="str">
        <f t="shared" si="8"/>
        <v>RAS</v>
      </c>
      <c r="AB28" s="5" t="s">
        <v>3806</v>
      </c>
      <c r="AC28" s="6" t="s">
        <v>3799</v>
      </c>
      <c r="AE28" s="5" t="s">
        <v>3846</v>
      </c>
      <c r="AF28" s="5" t="s">
        <v>4481</v>
      </c>
      <c r="AG28" s="5" t="s">
        <v>4485</v>
      </c>
      <c r="AH28" s="5" t="s">
        <v>4487</v>
      </c>
      <c r="AI28" s="5" t="s">
        <v>3923</v>
      </c>
      <c r="AJ28" s="5" t="s">
        <v>3924</v>
      </c>
      <c r="AK28" s="5" t="s">
        <v>3925</v>
      </c>
      <c r="AL28" s="5" t="s">
        <v>3858</v>
      </c>
    </row>
    <row r="29" spans="1:38" x14ac:dyDescent="0.3">
      <c r="A29" s="4">
        <v>45716</v>
      </c>
      <c r="B29" s="5" t="s">
        <v>139</v>
      </c>
      <c r="C29" s="5" t="s">
        <v>140</v>
      </c>
      <c r="D29" s="5" t="s">
        <v>141</v>
      </c>
      <c r="E29" s="5" t="s">
        <v>4494</v>
      </c>
      <c r="G29" s="5" t="s">
        <v>88</v>
      </c>
      <c r="H29" s="5" t="s">
        <v>142</v>
      </c>
      <c r="I29" s="5" t="s">
        <v>879</v>
      </c>
      <c r="J29" s="5" t="s">
        <v>182</v>
      </c>
      <c r="K29" s="4">
        <v>40136</v>
      </c>
      <c r="L29" s="4">
        <v>40136</v>
      </c>
      <c r="M29" s="9">
        <f t="shared" si="0"/>
        <v>15</v>
      </c>
      <c r="N29" s="4" t="str">
        <f t="shared" si="2"/>
        <v>] 10 ; 15 ]</v>
      </c>
      <c r="O29" s="5" t="s">
        <v>3782</v>
      </c>
      <c r="P29" s="5" t="s">
        <v>3784</v>
      </c>
      <c r="Q29" s="5">
        <v>1</v>
      </c>
      <c r="R29" s="5" t="str">
        <f t="shared" si="3"/>
        <v>Management &amp; Expertise</v>
      </c>
      <c r="S29" s="5" t="s">
        <v>3789</v>
      </c>
      <c r="T29" s="4">
        <v>24218</v>
      </c>
      <c r="U29" s="5">
        <f t="shared" si="4"/>
        <v>1966</v>
      </c>
      <c r="V29" s="5" t="s">
        <v>3793</v>
      </c>
      <c r="W29" s="9">
        <f t="shared" si="1"/>
        <v>58</v>
      </c>
      <c r="X29" s="5" t="str">
        <f t="shared" si="5"/>
        <v>[50 ans, +oo [</v>
      </c>
      <c r="Y29" s="5" t="str">
        <f t="shared" si="6"/>
        <v xml:space="preserve"> Generation X </v>
      </c>
      <c r="Z29" s="9">
        <f t="shared" si="7"/>
        <v>2</v>
      </c>
      <c r="AA29" s="5" t="str">
        <f t="shared" si="8"/>
        <v>Départ à la Retraite 5ans</v>
      </c>
      <c r="AB29" s="5" t="s">
        <v>3806</v>
      </c>
      <c r="AC29" s="6" t="s">
        <v>3799</v>
      </c>
      <c r="AE29" s="5" t="s">
        <v>3845</v>
      </c>
      <c r="AF29" s="5" t="s">
        <v>4481</v>
      </c>
      <c r="AG29" s="5" t="s">
        <v>4485</v>
      </c>
      <c r="AH29" s="5" t="s">
        <v>4488</v>
      </c>
      <c r="AI29" s="5" t="s">
        <v>3926</v>
      </c>
      <c r="AJ29" s="5" t="s">
        <v>3927</v>
      </c>
      <c r="AK29" s="5" t="s">
        <v>3928</v>
      </c>
      <c r="AL29" s="5" t="s">
        <v>3854</v>
      </c>
    </row>
    <row r="30" spans="1:38" x14ac:dyDescent="0.3">
      <c r="A30" s="4">
        <v>45716</v>
      </c>
      <c r="B30" s="5" t="s">
        <v>143</v>
      </c>
      <c r="C30" s="5" t="s">
        <v>144</v>
      </c>
      <c r="D30" s="5" t="s">
        <v>145</v>
      </c>
      <c r="E30" s="5" t="s">
        <v>4494</v>
      </c>
      <c r="G30" s="5" t="s">
        <v>39</v>
      </c>
      <c r="H30" s="5" t="s">
        <v>146</v>
      </c>
      <c r="I30" s="5" t="s">
        <v>1372</v>
      </c>
      <c r="J30" s="5" t="s">
        <v>2821</v>
      </c>
      <c r="K30" s="4">
        <v>40140</v>
      </c>
      <c r="L30" s="4">
        <v>40140</v>
      </c>
      <c r="M30" s="9">
        <f t="shared" si="0"/>
        <v>15</v>
      </c>
      <c r="N30" s="4" t="str">
        <f t="shared" si="2"/>
        <v>] 10 ; 15 ]</v>
      </c>
      <c r="O30" s="5" t="s">
        <v>3786</v>
      </c>
      <c r="P30" s="5" t="s">
        <v>3783</v>
      </c>
      <c r="Q30" s="5">
        <v>1</v>
      </c>
      <c r="R30" s="5" t="str">
        <f t="shared" si="3"/>
        <v>Specialisation</v>
      </c>
      <c r="S30" s="5" t="s">
        <v>3789</v>
      </c>
      <c r="T30" s="4">
        <v>26590</v>
      </c>
      <c r="U30" s="5">
        <f t="shared" si="4"/>
        <v>1972</v>
      </c>
      <c r="V30" s="5" t="s">
        <v>3793</v>
      </c>
      <c r="W30" s="9">
        <f t="shared" si="1"/>
        <v>52</v>
      </c>
      <c r="X30" s="5" t="str">
        <f t="shared" si="5"/>
        <v>[50 ans, +oo [</v>
      </c>
      <c r="Y30" s="5" t="str">
        <f t="shared" si="6"/>
        <v xml:space="preserve"> Generation X </v>
      </c>
      <c r="Z30" s="9">
        <f t="shared" si="7"/>
        <v>8</v>
      </c>
      <c r="AA30" s="5" t="str">
        <f t="shared" si="8"/>
        <v>RAS</v>
      </c>
      <c r="AB30" s="5" t="s">
        <v>3807</v>
      </c>
      <c r="AC30" s="6" t="s">
        <v>3799</v>
      </c>
      <c r="AE30" s="5" t="s">
        <v>3844</v>
      </c>
      <c r="AF30" s="5" t="s">
        <v>4482</v>
      </c>
      <c r="AG30" s="5" t="s">
        <v>4485</v>
      </c>
      <c r="AH30" s="5" t="s">
        <v>4489</v>
      </c>
      <c r="AI30" s="5" t="s">
        <v>3920</v>
      </c>
      <c r="AJ30" s="5" t="s">
        <v>3929</v>
      </c>
      <c r="AK30" s="5">
        <v>14138</v>
      </c>
      <c r="AL30" s="5" t="s">
        <v>3858</v>
      </c>
    </row>
    <row r="31" spans="1:38" x14ac:dyDescent="0.3">
      <c r="A31" s="4">
        <v>45716</v>
      </c>
      <c r="B31" s="5" t="s">
        <v>147</v>
      </c>
      <c r="C31" s="5" t="s">
        <v>148</v>
      </c>
      <c r="D31" s="5" t="s">
        <v>149</v>
      </c>
      <c r="E31" s="5" t="s">
        <v>4494</v>
      </c>
      <c r="G31" s="5" t="s">
        <v>39</v>
      </c>
      <c r="H31" s="5" t="s">
        <v>150</v>
      </c>
      <c r="I31" s="5" t="s">
        <v>2821</v>
      </c>
      <c r="J31" s="5" t="s">
        <v>2841</v>
      </c>
      <c r="K31" s="4">
        <v>40141</v>
      </c>
      <c r="L31" s="4">
        <v>40141</v>
      </c>
      <c r="M31" s="9">
        <f t="shared" si="0"/>
        <v>15</v>
      </c>
      <c r="N31" s="4" t="str">
        <f t="shared" si="2"/>
        <v>] 10 ; 15 ]</v>
      </c>
      <c r="O31" s="5" t="s">
        <v>3779</v>
      </c>
      <c r="P31" s="5" t="s">
        <v>3779</v>
      </c>
      <c r="Q31" s="5">
        <v>1</v>
      </c>
      <c r="R31" s="5" t="str">
        <f t="shared" si="3"/>
        <v>Management &amp; Expertise</v>
      </c>
      <c r="S31" s="5" t="s">
        <v>3789</v>
      </c>
      <c r="T31" s="4">
        <v>29474</v>
      </c>
      <c r="U31" s="5">
        <f t="shared" si="4"/>
        <v>1980</v>
      </c>
      <c r="V31" s="5" t="s">
        <v>3793</v>
      </c>
      <c r="W31" s="9">
        <f t="shared" si="1"/>
        <v>44</v>
      </c>
      <c r="X31" s="5" t="str">
        <f t="shared" si="5"/>
        <v>[40 - 44 ans]</v>
      </c>
      <c r="Y31" s="5" t="str">
        <f t="shared" si="6"/>
        <v xml:space="preserve"> Generation X </v>
      </c>
      <c r="Z31" s="9">
        <f t="shared" si="7"/>
        <v>16</v>
      </c>
      <c r="AA31" s="5" t="str">
        <f t="shared" si="8"/>
        <v>RAS</v>
      </c>
      <c r="AB31" s="5" t="s">
        <v>3807</v>
      </c>
      <c r="AC31" s="6" t="s">
        <v>3799</v>
      </c>
      <c r="AE31" s="5" t="s">
        <v>3845</v>
      </c>
      <c r="AF31" s="5" t="s">
        <v>4481</v>
      </c>
      <c r="AG31" s="5" t="s">
        <v>4484</v>
      </c>
      <c r="AH31" s="5" t="s">
        <v>4489</v>
      </c>
      <c r="AI31" s="5" t="s">
        <v>3930</v>
      </c>
      <c r="AJ31" s="5" t="s">
        <v>3931</v>
      </c>
      <c r="AK31" s="5" t="s">
        <v>3873</v>
      </c>
      <c r="AL31" s="5" t="s">
        <v>3854</v>
      </c>
    </row>
    <row r="32" spans="1:38" x14ac:dyDescent="0.3">
      <c r="A32" s="4">
        <v>45716</v>
      </c>
      <c r="B32" s="5" t="s">
        <v>151</v>
      </c>
      <c r="C32" s="5" t="s">
        <v>152</v>
      </c>
      <c r="D32" s="5" t="s">
        <v>153</v>
      </c>
      <c r="E32" s="5" t="s">
        <v>4494</v>
      </c>
      <c r="G32" s="5" t="s">
        <v>39</v>
      </c>
      <c r="H32" s="5" t="s">
        <v>154</v>
      </c>
      <c r="I32" s="5" t="s">
        <v>1899</v>
      </c>
      <c r="J32" s="5" t="s">
        <v>2821</v>
      </c>
      <c r="K32" s="4">
        <v>40147</v>
      </c>
      <c r="L32" s="4">
        <v>40147</v>
      </c>
      <c r="M32" s="9">
        <f t="shared" si="0"/>
        <v>15</v>
      </c>
      <c r="N32" s="4" t="str">
        <f t="shared" si="2"/>
        <v>] 10 ; 15 ]</v>
      </c>
      <c r="O32" s="5" t="s">
        <v>3784</v>
      </c>
      <c r="P32" s="5" t="s">
        <v>3784</v>
      </c>
      <c r="Q32" s="5">
        <v>2</v>
      </c>
      <c r="R32" s="5" t="str">
        <f t="shared" si="3"/>
        <v>Management &amp; Expertise</v>
      </c>
      <c r="S32" s="5" t="s">
        <v>3789</v>
      </c>
      <c r="T32" s="4">
        <v>25010</v>
      </c>
      <c r="U32" s="5">
        <f t="shared" si="4"/>
        <v>1968</v>
      </c>
      <c r="V32" s="5" t="s">
        <v>3793</v>
      </c>
      <c r="W32" s="9">
        <f t="shared" si="1"/>
        <v>56</v>
      </c>
      <c r="X32" s="5" t="str">
        <f t="shared" si="5"/>
        <v>[50 ans, +oo [</v>
      </c>
      <c r="Y32" s="5" t="str">
        <f t="shared" si="6"/>
        <v xml:space="preserve"> Generation X </v>
      </c>
      <c r="Z32" s="9">
        <f t="shared" si="7"/>
        <v>4</v>
      </c>
      <c r="AA32" s="5" t="str">
        <f t="shared" si="8"/>
        <v>Départ à la Retraite 5ans</v>
      </c>
      <c r="AB32" s="5" t="s">
        <v>3807</v>
      </c>
      <c r="AC32" s="6" t="s">
        <v>3799</v>
      </c>
      <c r="AE32" s="5" t="s">
        <v>3845</v>
      </c>
      <c r="AF32" s="5" t="s">
        <v>4481</v>
      </c>
      <c r="AG32" s="5" t="s">
        <v>4485</v>
      </c>
      <c r="AH32" s="5" t="s">
        <v>4489</v>
      </c>
      <c r="AI32" s="5" t="s">
        <v>3932</v>
      </c>
      <c r="AJ32" s="5" t="s">
        <v>3933</v>
      </c>
      <c r="AK32" s="5" t="s">
        <v>3934</v>
      </c>
      <c r="AL32" s="5" t="s">
        <v>3854</v>
      </c>
    </row>
    <row r="33" spans="1:38" x14ac:dyDescent="0.3">
      <c r="A33" s="4">
        <v>45716</v>
      </c>
      <c r="B33" s="5" t="s">
        <v>155</v>
      </c>
      <c r="C33" s="5" t="s">
        <v>156</v>
      </c>
      <c r="D33" s="5" t="s">
        <v>157</v>
      </c>
      <c r="E33" s="5" t="s">
        <v>4494</v>
      </c>
      <c r="G33" s="5" t="s">
        <v>29</v>
      </c>
      <c r="H33" s="5" t="s">
        <v>158</v>
      </c>
      <c r="I33" s="5" t="s">
        <v>2355</v>
      </c>
      <c r="J33" s="5" t="s">
        <v>2841</v>
      </c>
      <c r="K33" s="4">
        <v>40148</v>
      </c>
      <c r="L33" s="4">
        <v>40148</v>
      </c>
      <c r="M33" s="9">
        <f t="shared" si="0"/>
        <v>15</v>
      </c>
      <c r="N33" s="4" t="str">
        <f t="shared" si="2"/>
        <v>] 10 ; 15 ]</v>
      </c>
      <c r="O33" s="5" t="s">
        <v>3784</v>
      </c>
      <c r="P33" s="5" t="s">
        <v>3784</v>
      </c>
      <c r="Q33" s="5">
        <v>1</v>
      </c>
      <c r="R33" s="5" t="str">
        <f t="shared" si="3"/>
        <v>Management &amp; Expertise</v>
      </c>
      <c r="S33" s="5" t="s">
        <v>3789</v>
      </c>
      <c r="T33" s="4">
        <v>27875</v>
      </c>
      <c r="U33" s="5">
        <f t="shared" si="4"/>
        <v>1976</v>
      </c>
      <c r="V33" s="5" t="s">
        <v>3792</v>
      </c>
      <c r="W33" s="9">
        <f t="shared" si="1"/>
        <v>48</v>
      </c>
      <c r="X33" s="5" t="str">
        <f t="shared" si="5"/>
        <v>[45 - 49 ans]</v>
      </c>
      <c r="Y33" s="5" t="str">
        <f t="shared" si="6"/>
        <v xml:space="preserve"> Generation X </v>
      </c>
      <c r="Z33" s="9">
        <f t="shared" si="7"/>
        <v>12</v>
      </c>
      <c r="AA33" s="5" t="str">
        <f t="shared" si="8"/>
        <v>RAS</v>
      </c>
      <c r="AB33" s="5" t="s">
        <v>3806</v>
      </c>
      <c r="AC33" s="6" t="s">
        <v>3799</v>
      </c>
      <c r="AE33" s="5" t="s">
        <v>3845</v>
      </c>
      <c r="AF33" s="5" t="s">
        <v>4481</v>
      </c>
      <c r="AG33" s="5" t="s">
        <v>4485</v>
      </c>
      <c r="AH33" s="5" t="s">
        <v>4487</v>
      </c>
      <c r="AI33" s="5" t="s">
        <v>3935</v>
      </c>
      <c r="AJ33" s="5" t="s">
        <v>3936</v>
      </c>
      <c r="AK33" s="5" t="s">
        <v>3937</v>
      </c>
      <c r="AL33" s="5" t="s">
        <v>3854</v>
      </c>
    </row>
    <row r="34" spans="1:38" x14ac:dyDescent="0.3">
      <c r="A34" s="4">
        <v>45716</v>
      </c>
      <c r="B34" s="5" t="s">
        <v>159</v>
      </c>
      <c r="C34" s="5" t="s">
        <v>160</v>
      </c>
      <c r="D34" s="5" t="s">
        <v>161</v>
      </c>
      <c r="E34" s="5" t="s">
        <v>4494</v>
      </c>
      <c r="G34" s="5" t="s">
        <v>137</v>
      </c>
      <c r="H34" s="5" t="s">
        <v>162</v>
      </c>
      <c r="I34" s="5" t="s">
        <v>381</v>
      </c>
      <c r="J34" s="5" t="s">
        <v>1346</v>
      </c>
      <c r="K34" s="4">
        <v>40148</v>
      </c>
      <c r="L34" s="4">
        <v>40148</v>
      </c>
      <c r="M34" s="9">
        <f t="shared" si="0"/>
        <v>15</v>
      </c>
      <c r="N34" s="4" t="str">
        <f t="shared" si="2"/>
        <v>] 10 ; 15 ]</v>
      </c>
      <c r="O34" s="5" t="s">
        <v>3782</v>
      </c>
      <c r="P34" s="5" t="s">
        <v>3782</v>
      </c>
      <c r="Q34" s="5">
        <v>2</v>
      </c>
      <c r="R34" s="5" t="str">
        <f t="shared" si="3"/>
        <v>Management &amp; Expertise</v>
      </c>
      <c r="S34" s="5" t="s">
        <v>3790</v>
      </c>
      <c r="T34" s="4">
        <v>29682</v>
      </c>
      <c r="U34" s="5">
        <f t="shared" si="4"/>
        <v>1981</v>
      </c>
      <c r="V34" s="5" t="s">
        <v>3792</v>
      </c>
      <c r="W34" s="9">
        <f t="shared" si="1"/>
        <v>43</v>
      </c>
      <c r="X34" s="5" t="str">
        <f t="shared" si="5"/>
        <v>[40 - 44 ans]</v>
      </c>
      <c r="Y34" s="5" t="str">
        <f t="shared" si="6"/>
        <v xml:space="preserve"> Mellenials </v>
      </c>
      <c r="Z34" s="9">
        <f t="shared" si="7"/>
        <v>17</v>
      </c>
      <c r="AA34" s="5" t="str">
        <f t="shared" si="8"/>
        <v>RAS</v>
      </c>
      <c r="AB34" s="5" t="s">
        <v>3806</v>
      </c>
      <c r="AC34" s="6" t="s">
        <v>3799</v>
      </c>
      <c r="AE34" s="5" t="s">
        <v>3845</v>
      </c>
      <c r="AF34" s="5" t="s">
        <v>4481</v>
      </c>
      <c r="AG34" s="5" t="s">
        <v>4485</v>
      </c>
      <c r="AH34" s="5" t="s">
        <v>4487</v>
      </c>
      <c r="AI34" s="5" t="s">
        <v>3938</v>
      </c>
      <c r="AJ34" s="5" t="s">
        <v>3939</v>
      </c>
      <c r="AK34" s="5" t="s">
        <v>3940</v>
      </c>
      <c r="AL34" s="5" t="s">
        <v>3854</v>
      </c>
    </row>
    <row r="35" spans="1:38" x14ac:dyDescent="0.3">
      <c r="A35" s="4">
        <v>45716</v>
      </c>
      <c r="B35" s="5" t="s">
        <v>163</v>
      </c>
      <c r="C35" s="5" t="s">
        <v>164</v>
      </c>
      <c r="D35" s="5" t="s">
        <v>165</v>
      </c>
      <c r="E35" s="5" t="s">
        <v>4494</v>
      </c>
      <c r="G35" s="5" t="s">
        <v>88</v>
      </c>
      <c r="H35" s="5" t="s">
        <v>166</v>
      </c>
      <c r="I35" s="5" t="s">
        <v>182</v>
      </c>
      <c r="J35" s="5" t="s">
        <v>1857</v>
      </c>
      <c r="K35" s="4">
        <v>40148</v>
      </c>
      <c r="L35" s="4">
        <v>40148</v>
      </c>
      <c r="M35" s="9">
        <f t="shared" si="0"/>
        <v>15</v>
      </c>
      <c r="N35" s="4" t="str">
        <f t="shared" si="2"/>
        <v>] 10 ; 15 ]</v>
      </c>
      <c r="O35" s="5" t="s">
        <v>3784</v>
      </c>
      <c r="P35" s="5" t="s">
        <v>3784</v>
      </c>
      <c r="Q35" s="5">
        <v>2</v>
      </c>
      <c r="R35" s="5" t="str">
        <f t="shared" si="3"/>
        <v>Management &amp; Expertise</v>
      </c>
      <c r="S35" s="5" t="s">
        <v>3789</v>
      </c>
      <c r="T35" s="4">
        <v>28788</v>
      </c>
      <c r="U35" s="5">
        <f t="shared" si="4"/>
        <v>1978</v>
      </c>
      <c r="V35" s="5" t="s">
        <v>3793</v>
      </c>
      <c r="W35" s="9">
        <f t="shared" si="1"/>
        <v>46</v>
      </c>
      <c r="X35" s="5" t="str">
        <f t="shared" si="5"/>
        <v>[45 - 49 ans]</v>
      </c>
      <c r="Y35" s="5" t="str">
        <f t="shared" si="6"/>
        <v xml:space="preserve"> Generation X </v>
      </c>
      <c r="Z35" s="9">
        <f t="shared" si="7"/>
        <v>14</v>
      </c>
      <c r="AA35" s="5" t="str">
        <f t="shared" si="8"/>
        <v>RAS</v>
      </c>
      <c r="AB35" s="5" t="s">
        <v>3806</v>
      </c>
      <c r="AC35" s="6" t="s">
        <v>3799</v>
      </c>
      <c r="AE35" s="5" t="s">
        <v>3845</v>
      </c>
      <c r="AF35" s="5" t="s">
        <v>4481</v>
      </c>
      <c r="AG35" s="5" t="s">
        <v>4485</v>
      </c>
      <c r="AH35" s="5" t="s">
        <v>4488</v>
      </c>
      <c r="AI35" s="5" t="s">
        <v>3941</v>
      </c>
      <c r="AJ35" s="5" t="s">
        <v>3942</v>
      </c>
      <c r="AK35" s="5" t="s">
        <v>3943</v>
      </c>
      <c r="AL35" s="5" t="s">
        <v>3854</v>
      </c>
    </row>
    <row r="36" spans="1:38" x14ac:dyDescent="0.3">
      <c r="A36" s="4">
        <v>45716</v>
      </c>
      <c r="B36" s="5" t="s">
        <v>167</v>
      </c>
      <c r="C36" s="5" t="s">
        <v>168</v>
      </c>
      <c r="D36" s="5" t="s">
        <v>169</v>
      </c>
      <c r="E36" s="5" t="s">
        <v>4494</v>
      </c>
      <c r="G36" s="5" t="s">
        <v>78</v>
      </c>
      <c r="H36" s="5" t="s">
        <v>170</v>
      </c>
      <c r="I36" s="5" t="s">
        <v>1357</v>
      </c>
      <c r="J36" s="5" t="s">
        <v>1857</v>
      </c>
      <c r="K36" s="4">
        <v>40148</v>
      </c>
      <c r="L36" s="4">
        <v>40148</v>
      </c>
      <c r="M36" s="9">
        <f t="shared" si="0"/>
        <v>15</v>
      </c>
      <c r="N36" s="4" t="str">
        <f t="shared" si="2"/>
        <v>] 10 ; 15 ]</v>
      </c>
      <c r="O36" s="5" t="s">
        <v>3784</v>
      </c>
      <c r="P36" s="5" t="s">
        <v>3784</v>
      </c>
      <c r="Q36" s="5">
        <v>2</v>
      </c>
      <c r="R36" s="5" t="str">
        <f t="shared" si="3"/>
        <v>Management &amp; Expertise</v>
      </c>
      <c r="S36" s="5" t="s">
        <v>3790</v>
      </c>
      <c r="T36" s="4">
        <v>29044</v>
      </c>
      <c r="U36" s="5">
        <f t="shared" si="4"/>
        <v>1979</v>
      </c>
      <c r="V36" s="5" t="s">
        <v>3793</v>
      </c>
      <c r="W36" s="9">
        <f t="shared" si="1"/>
        <v>45</v>
      </c>
      <c r="X36" s="5" t="str">
        <f t="shared" si="5"/>
        <v>[45 - 49 ans]</v>
      </c>
      <c r="Y36" s="5" t="str">
        <f t="shared" si="6"/>
        <v xml:space="preserve"> Generation X </v>
      </c>
      <c r="Z36" s="9">
        <f t="shared" si="7"/>
        <v>15</v>
      </c>
      <c r="AA36" s="5" t="str">
        <f t="shared" si="8"/>
        <v>RAS</v>
      </c>
      <c r="AB36" s="5" t="s">
        <v>3808</v>
      </c>
      <c r="AC36" s="6" t="s">
        <v>3799</v>
      </c>
      <c r="AE36" s="5" t="s">
        <v>3845</v>
      </c>
      <c r="AF36" s="5" t="s">
        <v>4481</v>
      </c>
      <c r="AG36" s="5" t="s">
        <v>4485</v>
      </c>
      <c r="AH36" s="5" t="s">
        <v>4488</v>
      </c>
      <c r="AI36" s="5" t="s">
        <v>3944</v>
      </c>
      <c r="AJ36" s="5" t="s">
        <v>3945</v>
      </c>
      <c r="AK36" s="5" t="s">
        <v>3946</v>
      </c>
      <c r="AL36" s="5" t="s">
        <v>3854</v>
      </c>
    </row>
    <row r="37" spans="1:38" x14ac:dyDescent="0.3">
      <c r="A37" s="4">
        <v>45716</v>
      </c>
      <c r="B37" s="5" t="s">
        <v>171</v>
      </c>
      <c r="C37" s="5" t="s">
        <v>172</v>
      </c>
      <c r="D37" s="5" t="s">
        <v>173</v>
      </c>
      <c r="E37" s="5" t="s">
        <v>4494</v>
      </c>
      <c r="G37" s="5" t="s">
        <v>44</v>
      </c>
      <c r="H37" s="5" t="s">
        <v>174</v>
      </c>
      <c r="I37" s="5" t="s">
        <v>92</v>
      </c>
      <c r="J37" s="5" t="s">
        <v>2337</v>
      </c>
      <c r="K37" s="4">
        <v>40148</v>
      </c>
      <c r="L37" s="4">
        <v>40148</v>
      </c>
      <c r="M37" s="9">
        <f t="shared" si="0"/>
        <v>15</v>
      </c>
      <c r="N37" s="4" t="str">
        <f t="shared" si="2"/>
        <v>] 10 ; 15 ]</v>
      </c>
      <c r="O37" s="5" t="s">
        <v>3782</v>
      </c>
      <c r="P37" s="5" t="s">
        <v>3782</v>
      </c>
      <c r="Q37" s="5">
        <v>1</v>
      </c>
      <c r="R37" s="5" t="str">
        <f t="shared" si="3"/>
        <v>Management &amp; Expertise</v>
      </c>
      <c r="S37" s="5" t="s">
        <v>3790</v>
      </c>
      <c r="T37" s="4">
        <v>29419</v>
      </c>
      <c r="U37" s="5">
        <f t="shared" si="4"/>
        <v>1980</v>
      </c>
      <c r="V37" s="5" t="s">
        <v>3793</v>
      </c>
      <c r="W37" s="9">
        <f t="shared" si="1"/>
        <v>44</v>
      </c>
      <c r="X37" s="5" t="str">
        <f t="shared" si="5"/>
        <v>[40 - 44 ans]</v>
      </c>
      <c r="Y37" s="5" t="str">
        <f t="shared" si="6"/>
        <v xml:space="preserve"> Generation X </v>
      </c>
      <c r="Z37" s="9">
        <f t="shared" si="7"/>
        <v>16</v>
      </c>
      <c r="AA37" s="5" t="str">
        <f t="shared" si="8"/>
        <v>RAS</v>
      </c>
      <c r="AB37" s="5" t="s">
        <v>3806</v>
      </c>
      <c r="AC37" s="6" t="s">
        <v>3799</v>
      </c>
      <c r="AE37" s="5" t="s">
        <v>3845</v>
      </c>
      <c r="AF37" s="5" t="s">
        <v>4481</v>
      </c>
      <c r="AG37" s="5" t="s">
        <v>4485</v>
      </c>
      <c r="AH37" s="5" t="s">
        <v>4487</v>
      </c>
      <c r="AI37" s="5" t="s">
        <v>3947</v>
      </c>
      <c r="AJ37" s="5" t="s">
        <v>3948</v>
      </c>
      <c r="AK37" s="5" t="s">
        <v>3900</v>
      </c>
      <c r="AL37" s="5" t="s">
        <v>3854</v>
      </c>
    </row>
    <row r="38" spans="1:38" x14ac:dyDescent="0.3">
      <c r="A38" s="4">
        <v>45716</v>
      </c>
      <c r="B38" s="5" t="s">
        <v>175</v>
      </c>
      <c r="C38" s="5" t="s">
        <v>176</v>
      </c>
      <c r="D38" s="5" t="s">
        <v>177</v>
      </c>
      <c r="E38" s="5" t="s">
        <v>4494</v>
      </c>
      <c r="G38" s="5" t="s">
        <v>178</v>
      </c>
      <c r="H38" s="5" t="s">
        <v>179</v>
      </c>
      <c r="I38" s="5" t="s">
        <v>1857</v>
      </c>
      <c r="J38" s="5" t="s">
        <v>2841</v>
      </c>
      <c r="K38" s="4">
        <v>40148</v>
      </c>
      <c r="L38" s="4">
        <v>40148</v>
      </c>
      <c r="M38" s="9">
        <f t="shared" si="0"/>
        <v>15</v>
      </c>
      <c r="N38" s="4" t="str">
        <f t="shared" si="2"/>
        <v>] 10 ; 15 ]</v>
      </c>
      <c r="O38" s="5" t="s">
        <v>3785</v>
      </c>
      <c r="P38" s="5" t="s">
        <v>3782</v>
      </c>
      <c r="Q38" s="5">
        <v>1</v>
      </c>
      <c r="R38" s="5" t="str">
        <f t="shared" si="3"/>
        <v>Specialisation</v>
      </c>
      <c r="S38" s="5" t="s">
        <v>3790</v>
      </c>
      <c r="T38" s="4">
        <v>27226</v>
      </c>
      <c r="U38" s="5">
        <f t="shared" si="4"/>
        <v>1974</v>
      </c>
      <c r="V38" s="5" t="s">
        <v>3792</v>
      </c>
      <c r="W38" s="9">
        <f t="shared" si="1"/>
        <v>50</v>
      </c>
      <c r="X38" s="5" t="str">
        <f t="shared" si="5"/>
        <v>[50 ans, +oo [</v>
      </c>
      <c r="Y38" s="5" t="str">
        <f t="shared" si="6"/>
        <v xml:space="preserve"> Generation X </v>
      </c>
      <c r="Z38" s="9">
        <f t="shared" si="7"/>
        <v>10</v>
      </c>
      <c r="AA38" s="5" t="str">
        <f t="shared" si="8"/>
        <v>RAS</v>
      </c>
      <c r="AB38" s="5" t="s">
        <v>3806</v>
      </c>
      <c r="AC38" s="6" t="s">
        <v>3799</v>
      </c>
      <c r="AE38" s="5" t="s">
        <v>3844</v>
      </c>
      <c r="AF38" s="5" t="s">
        <v>4481</v>
      </c>
      <c r="AG38" s="5" t="s">
        <v>4485</v>
      </c>
      <c r="AH38" s="5" t="s">
        <v>4488</v>
      </c>
      <c r="AI38" s="5" t="s">
        <v>3949</v>
      </c>
      <c r="AJ38" s="5" t="s">
        <v>3950</v>
      </c>
      <c r="AK38" s="5" t="s">
        <v>3951</v>
      </c>
      <c r="AL38" s="5" t="s">
        <v>3858</v>
      </c>
    </row>
    <row r="39" spans="1:38" x14ac:dyDescent="0.3">
      <c r="A39" s="4">
        <v>45716</v>
      </c>
      <c r="B39" s="5" t="s">
        <v>180</v>
      </c>
      <c r="C39" s="5" t="s">
        <v>181</v>
      </c>
      <c r="D39" s="5" t="s">
        <v>182</v>
      </c>
      <c r="E39" s="5" t="s">
        <v>4494</v>
      </c>
      <c r="G39" s="5" t="s">
        <v>88</v>
      </c>
      <c r="H39" s="5" t="s">
        <v>183</v>
      </c>
      <c r="I39" s="5" t="s">
        <v>1857</v>
      </c>
      <c r="J39" s="5" t="s">
        <v>2841</v>
      </c>
      <c r="K39" s="4">
        <v>40148</v>
      </c>
      <c r="L39" s="4">
        <v>40148</v>
      </c>
      <c r="M39" s="9">
        <f t="shared" si="0"/>
        <v>15</v>
      </c>
      <c r="N39" s="4" t="str">
        <f t="shared" si="2"/>
        <v>] 10 ; 15 ]</v>
      </c>
      <c r="O39" s="5" t="s">
        <v>3779</v>
      </c>
      <c r="P39" s="5" t="s">
        <v>3779</v>
      </c>
      <c r="Q39" s="5">
        <v>2</v>
      </c>
      <c r="R39" s="5" t="str">
        <f t="shared" si="3"/>
        <v>Management &amp; Expertise</v>
      </c>
      <c r="S39" s="5" t="s">
        <v>3789</v>
      </c>
      <c r="T39" s="4">
        <v>27074</v>
      </c>
      <c r="U39" s="5">
        <f t="shared" si="4"/>
        <v>1974</v>
      </c>
      <c r="V39" s="5" t="s">
        <v>3793</v>
      </c>
      <c r="W39" s="9">
        <f t="shared" si="1"/>
        <v>51</v>
      </c>
      <c r="X39" s="5" t="str">
        <f t="shared" si="5"/>
        <v>[50 ans, +oo [</v>
      </c>
      <c r="Y39" s="5" t="str">
        <f t="shared" si="6"/>
        <v xml:space="preserve"> Generation X </v>
      </c>
      <c r="Z39" s="9">
        <f t="shared" si="7"/>
        <v>9</v>
      </c>
      <c r="AA39" s="5" t="str">
        <f t="shared" si="8"/>
        <v>RAS</v>
      </c>
      <c r="AB39" s="5" t="s">
        <v>3806</v>
      </c>
      <c r="AC39" s="6" t="s">
        <v>3799</v>
      </c>
      <c r="AE39" s="5" t="s">
        <v>3845</v>
      </c>
      <c r="AF39" s="5" t="s">
        <v>4481</v>
      </c>
      <c r="AG39" s="5" t="s">
        <v>4484</v>
      </c>
      <c r="AH39" s="5" t="s">
        <v>4488</v>
      </c>
      <c r="AI39" s="5" t="s">
        <v>3952</v>
      </c>
      <c r="AJ39" s="5" t="s">
        <v>3953</v>
      </c>
      <c r="AK39" s="5" t="s">
        <v>3943</v>
      </c>
      <c r="AL39" s="5" t="s">
        <v>3854</v>
      </c>
    </row>
    <row r="40" spans="1:38" x14ac:dyDescent="0.3">
      <c r="A40" s="4">
        <v>45716</v>
      </c>
      <c r="B40" s="5" t="s">
        <v>184</v>
      </c>
      <c r="C40" s="5" t="s">
        <v>185</v>
      </c>
      <c r="D40" s="5" t="s">
        <v>186</v>
      </c>
      <c r="E40" s="5" t="s">
        <v>4494</v>
      </c>
      <c r="G40" s="5" t="s">
        <v>88</v>
      </c>
      <c r="H40" s="5" t="s">
        <v>187</v>
      </c>
      <c r="I40" s="5" t="s">
        <v>165</v>
      </c>
      <c r="J40" s="5" t="s">
        <v>182</v>
      </c>
      <c r="K40" s="4">
        <v>40148</v>
      </c>
      <c r="L40" s="4">
        <v>40148</v>
      </c>
      <c r="M40" s="9">
        <f t="shared" si="0"/>
        <v>15</v>
      </c>
      <c r="N40" s="4" t="str">
        <f t="shared" si="2"/>
        <v>] 10 ; 15 ]</v>
      </c>
      <c r="O40" s="5" t="s">
        <v>3782</v>
      </c>
      <c r="P40" s="5" t="s">
        <v>3782</v>
      </c>
      <c r="Q40" s="5">
        <v>2</v>
      </c>
      <c r="R40" s="5" t="str">
        <f t="shared" si="3"/>
        <v>Management &amp; Expertise</v>
      </c>
      <c r="S40" s="5" t="s">
        <v>3790</v>
      </c>
      <c r="T40" s="4">
        <v>26626</v>
      </c>
      <c r="U40" s="5">
        <f t="shared" si="4"/>
        <v>1972</v>
      </c>
      <c r="V40" s="5" t="s">
        <v>3793</v>
      </c>
      <c r="W40" s="9">
        <f t="shared" si="1"/>
        <v>52</v>
      </c>
      <c r="X40" s="5" t="str">
        <f t="shared" si="5"/>
        <v>[50 ans, +oo [</v>
      </c>
      <c r="Y40" s="5" t="str">
        <f t="shared" si="6"/>
        <v xml:space="preserve"> Generation X </v>
      </c>
      <c r="Z40" s="9">
        <f t="shared" si="7"/>
        <v>8</v>
      </c>
      <c r="AA40" s="5" t="str">
        <f t="shared" si="8"/>
        <v>RAS</v>
      </c>
      <c r="AB40" s="5" t="s">
        <v>3806</v>
      </c>
      <c r="AC40" s="6" t="s">
        <v>3799</v>
      </c>
      <c r="AE40" s="5" t="s">
        <v>3844</v>
      </c>
      <c r="AF40" s="5" t="s">
        <v>4481</v>
      </c>
      <c r="AG40" s="5" t="s">
        <v>4485</v>
      </c>
      <c r="AH40" s="5" t="s">
        <v>4488</v>
      </c>
      <c r="AI40" s="5" t="s">
        <v>3941</v>
      </c>
      <c r="AJ40" s="5" t="s">
        <v>3942</v>
      </c>
      <c r="AK40" s="5" t="s">
        <v>3943</v>
      </c>
      <c r="AL40" s="5" t="s">
        <v>3858</v>
      </c>
    </row>
    <row r="41" spans="1:38" x14ac:dyDescent="0.3">
      <c r="A41" s="4">
        <v>45716</v>
      </c>
      <c r="B41" s="5" t="s">
        <v>188</v>
      </c>
      <c r="C41" s="5" t="s">
        <v>189</v>
      </c>
      <c r="D41" s="5" t="s">
        <v>190</v>
      </c>
      <c r="E41" s="5" t="s">
        <v>4494</v>
      </c>
      <c r="G41" s="5" t="s">
        <v>39</v>
      </c>
      <c r="H41" s="5" t="s">
        <v>191</v>
      </c>
      <c r="I41" s="5" t="s">
        <v>205</v>
      </c>
      <c r="J41" s="5" t="s">
        <v>1372</v>
      </c>
      <c r="K41" s="4">
        <v>40148</v>
      </c>
      <c r="L41" s="4">
        <v>40148</v>
      </c>
      <c r="M41" s="9">
        <f t="shared" si="0"/>
        <v>15</v>
      </c>
      <c r="N41" s="4" t="str">
        <f t="shared" si="2"/>
        <v>] 10 ; 15 ]</v>
      </c>
      <c r="O41" s="5" t="s">
        <v>3786</v>
      </c>
      <c r="P41" s="5" t="s">
        <v>3783</v>
      </c>
      <c r="Q41" s="5">
        <v>1</v>
      </c>
      <c r="R41" s="5" t="str">
        <f t="shared" si="3"/>
        <v>Specialisation</v>
      </c>
      <c r="S41" s="5" t="s">
        <v>3789</v>
      </c>
      <c r="T41" s="4">
        <v>28748</v>
      </c>
      <c r="U41" s="5">
        <f t="shared" si="4"/>
        <v>1978</v>
      </c>
      <c r="V41" s="5" t="s">
        <v>3793</v>
      </c>
      <c r="W41" s="9">
        <f t="shared" si="1"/>
        <v>46</v>
      </c>
      <c r="X41" s="5" t="str">
        <f t="shared" si="5"/>
        <v>[45 - 49 ans]</v>
      </c>
      <c r="Y41" s="5" t="str">
        <f t="shared" si="6"/>
        <v xml:space="preserve"> Generation X </v>
      </c>
      <c r="Z41" s="9">
        <f t="shared" si="7"/>
        <v>14</v>
      </c>
      <c r="AA41" s="5" t="str">
        <f t="shared" si="8"/>
        <v>RAS</v>
      </c>
      <c r="AB41" s="5" t="s">
        <v>3805</v>
      </c>
      <c r="AC41" s="6" t="s">
        <v>3799</v>
      </c>
      <c r="AE41" s="5" t="s">
        <v>3844</v>
      </c>
      <c r="AF41" s="5" t="s">
        <v>4482</v>
      </c>
      <c r="AG41" s="5" t="s">
        <v>4485</v>
      </c>
      <c r="AH41" s="5" t="s">
        <v>4489</v>
      </c>
      <c r="AI41" s="5" t="s">
        <v>3954</v>
      </c>
      <c r="AJ41" s="5" t="s">
        <v>3955</v>
      </c>
      <c r="AK41" s="5" t="s">
        <v>3956</v>
      </c>
      <c r="AL41" s="5" t="s">
        <v>3858</v>
      </c>
    </row>
    <row r="42" spans="1:38" x14ac:dyDescent="0.3">
      <c r="A42" s="4">
        <v>45716</v>
      </c>
      <c r="B42" s="5" t="s">
        <v>192</v>
      </c>
      <c r="C42" s="5" t="s">
        <v>193</v>
      </c>
      <c r="D42" s="5" t="s">
        <v>194</v>
      </c>
      <c r="E42" s="5" t="s">
        <v>4494</v>
      </c>
      <c r="G42" s="5" t="s">
        <v>39</v>
      </c>
      <c r="H42" s="5" t="s">
        <v>195</v>
      </c>
      <c r="I42" s="5" t="s">
        <v>1451</v>
      </c>
      <c r="J42" s="5" t="s">
        <v>1372</v>
      </c>
      <c r="K42" s="4">
        <v>40148</v>
      </c>
      <c r="L42" s="4">
        <v>40148</v>
      </c>
      <c r="M42" s="9">
        <f t="shared" si="0"/>
        <v>15</v>
      </c>
      <c r="N42" s="4" t="str">
        <f t="shared" si="2"/>
        <v>] 10 ; 15 ]</v>
      </c>
      <c r="O42" s="5" t="s">
        <v>3786</v>
      </c>
      <c r="P42" s="5" t="s">
        <v>3783</v>
      </c>
      <c r="Q42" s="5">
        <v>1</v>
      </c>
      <c r="R42" s="5" t="str">
        <f t="shared" si="3"/>
        <v>Specialisation</v>
      </c>
      <c r="S42" s="5" t="s">
        <v>3789</v>
      </c>
      <c r="T42" s="4">
        <v>28226</v>
      </c>
      <c r="U42" s="5">
        <f t="shared" si="4"/>
        <v>1977</v>
      </c>
      <c r="V42" s="5" t="s">
        <v>3793</v>
      </c>
      <c r="W42" s="9">
        <f t="shared" si="1"/>
        <v>47</v>
      </c>
      <c r="X42" s="5" t="str">
        <f t="shared" si="5"/>
        <v>[45 - 49 ans]</v>
      </c>
      <c r="Y42" s="5" t="str">
        <f t="shared" si="6"/>
        <v xml:space="preserve"> Generation X </v>
      </c>
      <c r="Z42" s="9">
        <f t="shared" si="7"/>
        <v>13</v>
      </c>
      <c r="AA42" s="5" t="str">
        <f t="shared" si="8"/>
        <v>RAS</v>
      </c>
      <c r="AB42" s="5" t="s">
        <v>3805</v>
      </c>
      <c r="AC42" s="6" t="s">
        <v>3799</v>
      </c>
      <c r="AE42" s="5" t="s">
        <v>3844</v>
      </c>
      <c r="AF42" s="5" t="s">
        <v>4482</v>
      </c>
      <c r="AG42" s="5" t="s">
        <v>4485</v>
      </c>
      <c r="AH42" s="5" t="s">
        <v>4489</v>
      </c>
      <c r="AI42" s="5" t="s">
        <v>3957</v>
      </c>
      <c r="AJ42" s="5" t="s">
        <v>3958</v>
      </c>
      <c r="AK42" s="5" t="s">
        <v>3959</v>
      </c>
      <c r="AL42" s="5" t="s">
        <v>3858</v>
      </c>
    </row>
    <row r="43" spans="1:38" x14ac:dyDescent="0.3">
      <c r="A43" s="4">
        <v>45716</v>
      </c>
      <c r="B43" s="5" t="s">
        <v>196</v>
      </c>
      <c r="C43" s="5" t="s">
        <v>197</v>
      </c>
      <c r="D43" s="5" t="s">
        <v>198</v>
      </c>
      <c r="E43" s="5" t="s">
        <v>4494</v>
      </c>
      <c r="G43" s="5" t="s">
        <v>39</v>
      </c>
      <c r="H43" s="5" t="s">
        <v>146</v>
      </c>
      <c r="I43" s="5" t="s">
        <v>1372</v>
      </c>
      <c r="J43" s="5" t="s">
        <v>2821</v>
      </c>
      <c r="K43" s="4">
        <v>40148</v>
      </c>
      <c r="L43" s="4">
        <v>40148</v>
      </c>
      <c r="M43" s="9">
        <f t="shared" si="0"/>
        <v>15</v>
      </c>
      <c r="N43" s="4" t="str">
        <f t="shared" si="2"/>
        <v>] 10 ; 15 ]</v>
      </c>
      <c r="O43" s="5" t="s">
        <v>3786</v>
      </c>
      <c r="P43" s="5" t="s">
        <v>3783</v>
      </c>
      <c r="Q43" s="5">
        <v>1</v>
      </c>
      <c r="R43" s="5" t="str">
        <f t="shared" si="3"/>
        <v>Specialisation</v>
      </c>
      <c r="S43" s="5" t="s">
        <v>3789</v>
      </c>
      <c r="T43" s="4">
        <v>29179</v>
      </c>
      <c r="U43" s="5">
        <f t="shared" si="4"/>
        <v>1979</v>
      </c>
      <c r="V43" s="5" t="s">
        <v>3793</v>
      </c>
      <c r="W43" s="9">
        <f t="shared" si="1"/>
        <v>45</v>
      </c>
      <c r="X43" s="5" t="str">
        <f t="shared" si="5"/>
        <v>[45 - 49 ans]</v>
      </c>
      <c r="Y43" s="5" t="str">
        <f t="shared" si="6"/>
        <v xml:space="preserve"> Generation X </v>
      </c>
      <c r="Z43" s="9">
        <f t="shared" si="7"/>
        <v>15</v>
      </c>
      <c r="AA43" s="5" t="str">
        <f t="shared" si="8"/>
        <v>RAS</v>
      </c>
      <c r="AB43" s="5" t="s">
        <v>3807</v>
      </c>
      <c r="AC43" s="6" t="s">
        <v>3799</v>
      </c>
      <c r="AE43" s="5" t="s">
        <v>3844</v>
      </c>
      <c r="AF43" s="5" t="s">
        <v>4482</v>
      </c>
      <c r="AG43" s="5" t="s">
        <v>4485</v>
      </c>
      <c r="AH43" s="5" t="s">
        <v>4489</v>
      </c>
      <c r="AI43" s="5" t="s">
        <v>3920</v>
      </c>
      <c r="AJ43" s="5" t="s">
        <v>3929</v>
      </c>
      <c r="AK43" s="5">
        <v>14138</v>
      </c>
      <c r="AL43" s="5" t="s">
        <v>3858</v>
      </c>
    </row>
    <row r="44" spans="1:38" x14ac:dyDescent="0.3">
      <c r="A44" s="4">
        <v>45716</v>
      </c>
      <c r="B44" s="5" t="s">
        <v>199</v>
      </c>
      <c r="C44" s="5" t="s">
        <v>200</v>
      </c>
      <c r="D44" s="5" t="s">
        <v>201</v>
      </c>
      <c r="E44" s="5" t="s">
        <v>4494</v>
      </c>
      <c r="G44" s="5" t="s">
        <v>178</v>
      </c>
      <c r="H44" s="5" t="s">
        <v>202</v>
      </c>
      <c r="I44" s="5" t="s">
        <v>1368</v>
      </c>
      <c r="J44" s="5" t="s">
        <v>1857</v>
      </c>
      <c r="K44" s="4">
        <v>40149</v>
      </c>
      <c r="L44" s="4">
        <v>40149</v>
      </c>
      <c r="M44" s="9">
        <f t="shared" si="0"/>
        <v>15</v>
      </c>
      <c r="N44" s="4" t="str">
        <f t="shared" si="2"/>
        <v>] 10 ; 15 ]</v>
      </c>
      <c r="O44" s="5" t="s">
        <v>3784</v>
      </c>
      <c r="P44" s="5" t="s">
        <v>3784</v>
      </c>
      <c r="Q44" s="5">
        <v>1</v>
      </c>
      <c r="R44" s="5" t="str">
        <f t="shared" si="3"/>
        <v>Management &amp; Expertise</v>
      </c>
      <c r="S44" s="5" t="s">
        <v>3790</v>
      </c>
      <c r="T44" s="4">
        <v>30564</v>
      </c>
      <c r="U44" s="5">
        <f t="shared" si="4"/>
        <v>1983</v>
      </c>
      <c r="V44" s="5" t="s">
        <v>3793</v>
      </c>
      <c r="W44" s="9">
        <f t="shared" si="1"/>
        <v>41</v>
      </c>
      <c r="X44" s="5" t="str">
        <f t="shared" si="5"/>
        <v>[40 - 44 ans]</v>
      </c>
      <c r="Y44" s="5" t="str">
        <f t="shared" si="6"/>
        <v xml:space="preserve"> Mellenials </v>
      </c>
      <c r="Z44" s="9">
        <f t="shared" si="7"/>
        <v>19</v>
      </c>
      <c r="AA44" s="5" t="str">
        <f t="shared" si="8"/>
        <v>RAS</v>
      </c>
      <c r="AB44" s="5" t="s">
        <v>3806</v>
      </c>
      <c r="AC44" s="6" t="s">
        <v>3799</v>
      </c>
      <c r="AE44" s="5" t="s">
        <v>3845</v>
      </c>
      <c r="AF44" s="5" t="s">
        <v>4481</v>
      </c>
      <c r="AG44" s="5" t="s">
        <v>4485</v>
      </c>
      <c r="AH44" s="5" t="s">
        <v>4488</v>
      </c>
      <c r="AI44" s="5" t="s">
        <v>3960</v>
      </c>
      <c r="AJ44" s="5" t="s">
        <v>3961</v>
      </c>
      <c r="AK44" s="5" t="s">
        <v>3962</v>
      </c>
      <c r="AL44" s="5" t="s">
        <v>3854</v>
      </c>
    </row>
    <row r="45" spans="1:38" x14ac:dyDescent="0.3">
      <c r="A45" s="4">
        <v>45716</v>
      </c>
      <c r="B45" s="5" t="s">
        <v>203</v>
      </c>
      <c r="C45" s="5" t="s">
        <v>204</v>
      </c>
      <c r="D45" s="5" t="s">
        <v>205</v>
      </c>
      <c r="E45" s="5" t="s">
        <v>4494</v>
      </c>
      <c r="G45" s="5" t="s">
        <v>39</v>
      </c>
      <c r="H45" s="5" t="s">
        <v>206</v>
      </c>
      <c r="I45" s="5" t="s">
        <v>1372</v>
      </c>
      <c r="J45" s="5" t="s">
        <v>2821</v>
      </c>
      <c r="K45" s="4">
        <v>40154</v>
      </c>
      <c r="L45" s="4">
        <v>40154</v>
      </c>
      <c r="M45" s="9">
        <f t="shared" si="0"/>
        <v>15</v>
      </c>
      <c r="N45" s="4" t="str">
        <f t="shared" si="2"/>
        <v>] 10 ; 15 ]</v>
      </c>
      <c r="O45" s="5" t="s">
        <v>3782</v>
      </c>
      <c r="P45" s="5" t="s">
        <v>3784</v>
      </c>
      <c r="Q45" s="5">
        <v>1</v>
      </c>
      <c r="R45" s="5" t="str">
        <f t="shared" si="3"/>
        <v>Management &amp; Expertise</v>
      </c>
      <c r="S45" s="5" t="s">
        <v>3789</v>
      </c>
      <c r="T45" s="4">
        <v>28361</v>
      </c>
      <c r="U45" s="5">
        <f t="shared" si="4"/>
        <v>1977</v>
      </c>
      <c r="V45" s="5" t="s">
        <v>3793</v>
      </c>
      <c r="W45" s="9">
        <f t="shared" si="1"/>
        <v>47</v>
      </c>
      <c r="X45" s="5" t="str">
        <f t="shared" si="5"/>
        <v>[45 - 49 ans]</v>
      </c>
      <c r="Y45" s="5" t="str">
        <f t="shared" si="6"/>
        <v xml:space="preserve"> Generation X </v>
      </c>
      <c r="Z45" s="9">
        <f t="shared" si="7"/>
        <v>13</v>
      </c>
      <c r="AA45" s="5" t="str">
        <f t="shared" si="8"/>
        <v>RAS</v>
      </c>
      <c r="AB45" s="5" t="s">
        <v>3805</v>
      </c>
      <c r="AC45" s="6" t="s">
        <v>3799</v>
      </c>
      <c r="AE45" s="5" t="s">
        <v>3845</v>
      </c>
      <c r="AF45" s="5" t="s">
        <v>4481</v>
      </c>
      <c r="AG45" s="5" t="s">
        <v>4485</v>
      </c>
      <c r="AH45" s="5" t="s">
        <v>4489</v>
      </c>
      <c r="AI45" s="5" t="s">
        <v>3954</v>
      </c>
      <c r="AJ45" s="5" t="s">
        <v>3955</v>
      </c>
      <c r="AK45" s="5" t="s">
        <v>3956</v>
      </c>
      <c r="AL45" s="5" t="s">
        <v>3854</v>
      </c>
    </row>
    <row r="46" spans="1:38" x14ac:dyDescent="0.3">
      <c r="A46" s="4">
        <v>45716</v>
      </c>
      <c r="B46" s="5" t="s">
        <v>207</v>
      </c>
      <c r="C46" s="5" t="s">
        <v>208</v>
      </c>
      <c r="D46" s="5" t="s">
        <v>209</v>
      </c>
      <c r="E46" s="5" t="s">
        <v>4494</v>
      </c>
      <c r="G46" s="5" t="s">
        <v>39</v>
      </c>
      <c r="H46" s="5" t="s">
        <v>210</v>
      </c>
      <c r="I46" s="5" t="s">
        <v>1372</v>
      </c>
      <c r="J46" s="5" t="s">
        <v>2821</v>
      </c>
      <c r="K46" s="4">
        <v>40162</v>
      </c>
      <c r="L46" s="4">
        <v>40162</v>
      </c>
      <c r="M46" s="9">
        <f t="shared" si="0"/>
        <v>15</v>
      </c>
      <c r="N46" s="4" t="str">
        <f t="shared" si="2"/>
        <v>] 10 ; 15 ]</v>
      </c>
      <c r="O46" s="5" t="s">
        <v>3782</v>
      </c>
      <c r="P46" s="5" t="s">
        <v>3782</v>
      </c>
      <c r="Q46" s="5">
        <v>1</v>
      </c>
      <c r="R46" s="5" t="str">
        <f t="shared" si="3"/>
        <v>Management &amp; Expertise</v>
      </c>
      <c r="S46" s="5" t="s">
        <v>3789</v>
      </c>
      <c r="T46" s="4">
        <v>29378</v>
      </c>
      <c r="U46" s="5">
        <f t="shared" si="4"/>
        <v>1980</v>
      </c>
      <c r="V46" s="5" t="s">
        <v>3793</v>
      </c>
      <c r="W46" s="9">
        <f t="shared" si="1"/>
        <v>44</v>
      </c>
      <c r="X46" s="5" t="str">
        <f t="shared" si="5"/>
        <v>[40 - 44 ans]</v>
      </c>
      <c r="Y46" s="5" t="str">
        <f t="shared" si="6"/>
        <v xml:space="preserve"> Generation X </v>
      </c>
      <c r="Z46" s="9">
        <f t="shared" si="7"/>
        <v>16</v>
      </c>
      <c r="AA46" s="5" t="str">
        <f t="shared" si="8"/>
        <v>RAS</v>
      </c>
      <c r="AB46" s="5" t="s">
        <v>3805</v>
      </c>
      <c r="AC46" s="6" t="s">
        <v>3799</v>
      </c>
      <c r="AE46" s="5" t="s">
        <v>3844</v>
      </c>
      <c r="AF46" s="5" t="s">
        <v>4481</v>
      </c>
      <c r="AG46" s="5" t="s">
        <v>4485</v>
      </c>
      <c r="AH46" s="5" t="s">
        <v>4489</v>
      </c>
      <c r="AI46" s="5" t="s">
        <v>3920</v>
      </c>
      <c r="AJ46" s="5" t="s">
        <v>3921</v>
      </c>
      <c r="AK46" s="5" t="s">
        <v>3922</v>
      </c>
      <c r="AL46" s="5" t="s">
        <v>3858</v>
      </c>
    </row>
    <row r="47" spans="1:38" x14ac:dyDescent="0.3">
      <c r="A47" s="4">
        <v>45716</v>
      </c>
      <c r="B47" s="5" t="s">
        <v>211</v>
      </c>
      <c r="C47" s="5" t="s">
        <v>212</v>
      </c>
      <c r="D47" s="5" t="s">
        <v>213</v>
      </c>
      <c r="E47" s="5" t="s">
        <v>4494</v>
      </c>
      <c r="G47" s="5" t="s">
        <v>88</v>
      </c>
      <c r="H47" s="5" t="s">
        <v>214</v>
      </c>
      <c r="I47" s="5" t="s">
        <v>2739</v>
      </c>
      <c r="J47" s="5" t="s">
        <v>182</v>
      </c>
      <c r="K47" s="4">
        <v>40162</v>
      </c>
      <c r="L47" s="4">
        <v>40162</v>
      </c>
      <c r="M47" s="9">
        <f t="shared" si="0"/>
        <v>15</v>
      </c>
      <c r="N47" s="4" t="str">
        <f t="shared" si="2"/>
        <v>] 10 ; 15 ]</v>
      </c>
      <c r="O47" s="5" t="s">
        <v>3782</v>
      </c>
      <c r="P47" s="5" t="s">
        <v>3784</v>
      </c>
      <c r="Q47" s="5">
        <v>1</v>
      </c>
      <c r="R47" s="5" t="str">
        <f t="shared" si="3"/>
        <v>Management &amp; Expertise</v>
      </c>
      <c r="S47" s="5" t="s">
        <v>3789</v>
      </c>
      <c r="T47" s="4">
        <v>29272</v>
      </c>
      <c r="U47" s="5">
        <f t="shared" si="4"/>
        <v>1980</v>
      </c>
      <c r="V47" s="5" t="s">
        <v>3793</v>
      </c>
      <c r="W47" s="9">
        <f t="shared" si="1"/>
        <v>45</v>
      </c>
      <c r="X47" s="5" t="str">
        <f t="shared" si="5"/>
        <v>[45 - 49 ans]</v>
      </c>
      <c r="Y47" s="5" t="str">
        <f t="shared" si="6"/>
        <v xml:space="preserve"> Generation X </v>
      </c>
      <c r="Z47" s="9">
        <f t="shared" si="7"/>
        <v>15</v>
      </c>
      <c r="AA47" s="5" t="str">
        <f t="shared" si="8"/>
        <v>RAS</v>
      </c>
      <c r="AB47" s="5" t="s">
        <v>3806</v>
      </c>
      <c r="AC47" s="6" t="s">
        <v>3799</v>
      </c>
      <c r="AE47" s="5" t="s">
        <v>3845</v>
      </c>
      <c r="AF47" s="5" t="s">
        <v>4481</v>
      </c>
      <c r="AG47" s="5" t="s">
        <v>4485</v>
      </c>
      <c r="AH47" s="5" t="s">
        <v>4488</v>
      </c>
      <c r="AI47" s="5" t="s">
        <v>3895</v>
      </c>
      <c r="AJ47" s="5" t="s">
        <v>3896</v>
      </c>
      <c r="AK47" s="5" t="s">
        <v>3897</v>
      </c>
      <c r="AL47" s="5" t="s">
        <v>3854</v>
      </c>
    </row>
    <row r="48" spans="1:38" x14ac:dyDescent="0.3">
      <c r="A48" s="4">
        <v>45716</v>
      </c>
      <c r="B48" s="5" t="s">
        <v>215</v>
      </c>
      <c r="C48" s="5" t="s">
        <v>216</v>
      </c>
      <c r="D48" s="5" t="s">
        <v>217</v>
      </c>
      <c r="E48" s="5" t="s">
        <v>4494</v>
      </c>
      <c r="G48" s="5" t="s">
        <v>44</v>
      </c>
      <c r="H48" s="5" t="s">
        <v>218</v>
      </c>
      <c r="I48" s="5" t="s">
        <v>2337</v>
      </c>
      <c r="J48" s="5" t="s">
        <v>2841</v>
      </c>
      <c r="K48" s="4">
        <v>40168</v>
      </c>
      <c r="L48" s="4">
        <v>40168</v>
      </c>
      <c r="M48" s="9">
        <f t="shared" si="0"/>
        <v>15</v>
      </c>
      <c r="N48" s="4" t="str">
        <f t="shared" si="2"/>
        <v>] 10 ; 15 ]</v>
      </c>
      <c r="O48" s="5" t="s">
        <v>3784</v>
      </c>
      <c r="P48" s="5" t="s">
        <v>3784</v>
      </c>
      <c r="Q48" s="5">
        <v>1</v>
      </c>
      <c r="R48" s="5" t="str">
        <f t="shared" si="3"/>
        <v>Management &amp; Expertise</v>
      </c>
      <c r="S48" s="5" t="s">
        <v>3789</v>
      </c>
      <c r="T48" s="4">
        <v>26945</v>
      </c>
      <c r="U48" s="5">
        <f t="shared" si="4"/>
        <v>1973</v>
      </c>
      <c r="V48" s="5" t="s">
        <v>3793</v>
      </c>
      <c r="W48" s="9">
        <f t="shared" si="1"/>
        <v>51</v>
      </c>
      <c r="X48" s="5" t="str">
        <f t="shared" si="5"/>
        <v>[50 ans, +oo [</v>
      </c>
      <c r="Y48" s="5" t="str">
        <f t="shared" si="6"/>
        <v xml:space="preserve"> Generation X </v>
      </c>
      <c r="Z48" s="9">
        <f t="shared" si="7"/>
        <v>9</v>
      </c>
      <c r="AA48" s="5" t="str">
        <f t="shared" si="8"/>
        <v>RAS</v>
      </c>
      <c r="AB48" s="5" t="s">
        <v>3806</v>
      </c>
      <c r="AC48" s="6" t="s">
        <v>3799</v>
      </c>
      <c r="AE48" s="5" t="s">
        <v>3845</v>
      </c>
      <c r="AF48" s="5" t="s">
        <v>4481</v>
      </c>
      <c r="AG48" s="5" t="s">
        <v>4485</v>
      </c>
      <c r="AH48" s="5" t="s">
        <v>4487</v>
      </c>
      <c r="AI48" s="5" t="s">
        <v>3963</v>
      </c>
      <c r="AJ48" s="5" t="s">
        <v>3964</v>
      </c>
      <c r="AK48" s="5" t="s">
        <v>3867</v>
      </c>
      <c r="AL48" s="5" t="s">
        <v>3854</v>
      </c>
    </row>
    <row r="49" spans="1:38" x14ac:dyDescent="0.3">
      <c r="A49" s="4">
        <v>45716</v>
      </c>
      <c r="B49" s="5" t="s">
        <v>219</v>
      </c>
      <c r="C49" s="5" t="s">
        <v>220</v>
      </c>
      <c r="D49" s="5" t="s">
        <v>221</v>
      </c>
      <c r="E49" s="5" t="s">
        <v>4494</v>
      </c>
      <c r="G49" s="5" t="s">
        <v>222</v>
      </c>
      <c r="H49" s="5" t="s">
        <v>223</v>
      </c>
      <c r="I49" s="5" t="s">
        <v>2086</v>
      </c>
      <c r="J49" s="5" t="s">
        <v>2841</v>
      </c>
      <c r="K49" s="4">
        <v>40168</v>
      </c>
      <c r="L49" s="4">
        <v>40168</v>
      </c>
      <c r="M49" s="9">
        <f t="shared" si="0"/>
        <v>15</v>
      </c>
      <c r="N49" s="4" t="str">
        <f t="shared" si="2"/>
        <v>] 10 ; 15 ]</v>
      </c>
      <c r="O49" s="5" t="s">
        <v>3782</v>
      </c>
      <c r="P49" s="5" t="s">
        <v>3784</v>
      </c>
      <c r="Q49" s="5">
        <v>1</v>
      </c>
      <c r="R49" s="5" t="str">
        <f t="shared" si="3"/>
        <v>Management &amp; Expertise</v>
      </c>
      <c r="S49" s="5" t="s">
        <v>3790</v>
      </c>
      <c r="T49" s="4">
        <v>29025</v>
      </c>
      <c r="U49" s="5">
        <f t="shared" si="4"/>
        <v>1979</v>
      </c>
      <c r="V49" s="5" t="s">
        <v>3793</v>
      </c>
      <c r="W49" s="9">
        <f t="shared" si="1"/>
        <v>45</v>
      </c>
      <c r="X49" s="5" t="str">
        <f t="shared" si="5"/>
        <v>[45 - 49 ans]</v>
      </c>
      <c r="Y49" s="5" t="str">
        <f t="shared" si="6"/>
        <v xml:space="preserve"> Generation X </v>
      </c>
      <c r="Z49" s="9">
        <f t="shared" si="7"/>
        <v>15</v>
      </c>
      <c r="AA49" s="5" t="str">
        <f t="shared" si="8"/>
        <v>RAS</v>
      </c>
      <c r="AB49" s="5" t="s">
        <v>3806</v>
      </c>
      <c r="AC49" s="6" t="s">
        <v>3799</v>
      </c>
      <c r="AE49" s="5" t="s">
        <v>3844</v>
      </c>
      <c r="AF49" s="5" t="s">
        <v>4481</v>
      </c>
      <c r="AG49" s="5" t="s">
        <v>4485</v>
      </c>
      <c r="AH49" s="5" t="s">
        <v>4487</v>
      </c>
      <c r="AI49" s="5" t="s">
        <v>3965</v>
      </c>
      <c r="AJ49" s="5" t="s">
        <v>3966</v>
      </c>
      <c r="AK49" s="5" t="s">
        <v>3967</v>
      </c>
      <c r="AL49" s="5" t="s">
        <v>3858</v>
      </c>
    </row>
    <row r="50" spans="1:38" x14ac:dyDescent="0.3">
      <c r="A50" s="4">
        <v>45716</v>
      </c>
      <c r="B50" s="5" t="s">
        <v>224</v>
      </c>
      <c r="C50" s="5" t="s">
        <v>225</v>
      </c>
      <c r="D50" s="5" t="s">
        <v>226</v>
      </c>
      <c r="E50" s="5" t="s">
        <v>4494</v>
      </c>
      <c r="G50" s="5" t="s">
        <v>39</v>
      </c>
      <c r="H50" s="5" t="s">
        <v>227</v>
      </c>
      <c r="I50" s="5" t="s">
        <v>132</v>
      </c>
      <c r="J50" s="5" t="s">
        <v>1372</v>
      </c>
      <c r="K50" s="4">
        <v>40168</v>
      </c>
      <c r="L50" s="4">
        <v>40168</v>
      </c>
      <c r="M50" s="9">
        <f t="shared" si="0"/>
        <v>15</v>
      </c>
      <c r="N50" s="4" t="str">
        <f t="shared" si="2"/>
        <v>] 10 ; 15 ]</v>
      </c>
      <c r="O50" s="5" t="s">
        <v>3786</v>
      </c>
      <c r="P50" s="5" t="s">
        <v>3786</v>
      </c>
      <c r="Q50" s="5">
        <v>1</v>
      </c>
      <c r="R50" s="5" t="str">
        <f t="shared" si="3"/>
        <v>Specialisation</v>
      </c>
      <c r="S50" s="5" t="s">
        <v>3789</v>
      </c>
      <c r="T50" s="4">
        <v>28850</v>
      </c>
      <c r="U50" s="5">
        <f t="shared" si="4"/>
        <v>1978</v>
      </c>
      <c r="V50" s="5" t="s">
        <v>3793</v>
      </c>
      <c r="W50" s="9">
        <f t="shared" si="1"/>
        <v>46</v>
      </c>
      <c r="X50" s="5" t="str">
        <f t="shared" si="5"/>
        <v>[45 - 49 ans]</v>
      </c>
      <c r="Y50" s="5" t="str">
        <f t="shared" si="6"/>
        <v xml:space="preserve"> Generation X </v>
      </c>
      <c r="Z50" s="9">
        <f t="shared" si="7"/>
        <v>14</v>
      </c>
      <c r="AA50" s="5" t="str">
        <f t="shared" si="8"/>
        <v>RAS</v>
      </c>
      <c r="AB50" s="5" t="s">
        <v>3805</v>
      </c>
      <c r="AC50" s="6" t="s">
        <v>3799</v>
      </c>
      <c r="AE50" s="5" t="s">
        <v>3844</v>
      </c>
      <c r="AF50" s="5" t="s">
        <v>4482</v>
      </c>
      <c r="AG50" s="5" t="s">
        <v>4485</v>
      </c>
      <c r="AH50" s="5" t="s">
        <v>4489</v>
      </c>
      <c r="AI50" s="5" t="s">
        <v>3906</v>
      </c>
      <c r="AJ50" s="5" t="s">
        <v>3907</v>
      </c>
      <c r="AK50" s="5" t="s">
        <v>3908</v>
      </c>
      <c r="AL50" s="5" t="s">
        <v>3858</v>
      </c>
    </row>
    <row r="51" spans="1:38" x14ac:dyDescent="0.3">
      <c r="A51" s="4">
        <v>45716</v>
      </c>
      <c r="B51" s="5" t="s">
        <v>228</v>
      </c>
      <c r="C51" s="5" t="s">
        <v>229</v>
      </c>
      <c r="D51" s="5" t="s">
        <v>230</v>
      </c>
      <c r="E51" s="5" t="s">
        <v>4494</v>
      </c>
      <c r="G51" s="5" t="s">
        <v>88</v>
      </c>
      <c r="H51" s="5" t="s">
        <v>231</v>
      </c>
      <c r="I51" s="5" t="s">
        <v>2739</v>
      </c>
      <c r="J51" s="5" t="s">
        <v>182</v>
      </c>
      <c r="K51" s="4">
        <v>40170</v>
      </c>
      <c r="L51" s="4">
        <v>40170</v>
      </c>
      <c r="M51" s="9">
        <f t="shared" si="0"/>
        <v>15</v>
      </c>
      <c r="N51" s="4" t="str">
        <f t="shared" si="2"/>
        <v>] 10 ; 15 ]</v>
      </c>
      <c r="O51" s="5" t="s">
        <v>3782</v>
      </c>
      <c r="P51" s="5" t="s">
        <v>3782</v>
      </c>
      <c r="Q51" s="5">
        <v>2</v>
      </c>
      <c r="R51" s="5" t="str">
        <f t="shared" si="3"/>
        <v>Management &amp; Expertise</v>
      </c>
      <c r="S51" s="5" t="s">
        <v>3789</v>
      </c>
      <c r="T51" s="4">
        <v>28837</v>
      </c>
      <c r="U51" s="5">
        <f t="shared" si="4"/>
        <v>1978</v>
      </c>
      <c r="V51" s="5" t="s">
        <v>3793</v>
      </c>
      <c r="W51" s="9">
        <f t="shared" si="1"/>
        <v>46</v>
      </c>
      <c r="X51" s="5" t="str">
        <f t="shared" si="5"/>
        <v>[45 - 49 ans]</v>
      </c>
      <c r="Y51" s="5" t="str">
        <f t="shared" si="6"/>
        <v xml:space="preserve"> Generation X </v>
      </c>
      <c r="Z51" s="9">
        <f t="shared" si="7"/>
        <v>14</v>
      </c>
      <c r="AA51" s="5" t="str">
        <f t="shared" si="8"/>
        <v>RAS</v>
      </c>
      <c r="AB51" s="5" t="s">
        <v>3806</v>
      </c>
      <c r="AC51" s="6" t="s">
        <v>3799</v>
      </c>
      <c r="AE51" s="5" t="s">
        <v>3845</v>
      </c>
      <c r="AF51" s="5" t="s">
        <v>4481</v>
      </c>
      <c r="AG51" s="5" t="s">
        <v>4485</v>
      </c>
      <c r="AH51" s="5" t="s">
        <v>4488</v>
      </c>
      <c r="AI51" s="5" t="s">
        <v>3968</v>
      </c>
      <c r="AJ51" s="5" t="s">
        <v>3969</v>
      </c>
      <c r="AK51" s="5" t="s">
        <v>3970</v>
      </c>
      <c r="AL51" s="5" t="s">
        <v>3854</v>
      </c>
    </row>
    <row r="52" spans="1:38" x14ac:dyDescent="0.3">
      <c r="A52" s="4">
        <v>45716</v>
      </c>
      <c r="B52" s="5" t="s">
        <v>232</v>
      </c>
      <c r="C52" s="5" t="s">
        <v>233</v>
      </c>
      <c r="D52" s="5" t="s">
        <v>234</v>
      </c>
      <c r="E52" s="5" t="s">
        <v>4494</v>
      </c>
      <c r="G52" s="5" t="s">
        <v>39</v>
      </c>
      <c r="H52" s="5" t="s">
        <v>235</v>
      </c>
      <c r="I52" s="5" t="s">
        <v>2743</v>
      </c>
      <c r="J52" s="5" t="s">
        <v>149</v>
      </c>
      <c r="K52" s="4">
        <v>40168</v>
      </c>
      <c r="L52" s="4">
        <v>40168</v>
      </c>
      <c r="M52" s="9">
        <f t="shared" si="0"/>
        <v>15</v>
      </c>
      <c r="N52" s="4" t="str">
        <f t="shared" si="2"/>
        <v>] 10 ; 15 ]</v>
      </c>
      <c r="O52" s="5" t="s">
        <v>3785</v>
      </c>
      <c r="P52" s="5" t="s">
        <v>3785</v>
      </c>
      <c r="Q52" s="5">
        <v>1</v>
      </c>
      <c r="R52" s="5" t="str">
        <f t="shared" si="3"/>
        <v>Specialisation</v>
      </c>
      <c r="S52" s="5" t="s">
        <v>3789</v>
      </c>
      <c r="T52" s="4">
        <v>29048</v>
      </c>
      <c r="U52" s="5">
        <f t="shared" si="4"/>
        <v>1979</v>
      </c>
      <c r="V52" s="5" t="s">
        <v>3793</v>
      </c>
      <c r="W52" s="9">
        <f t="shared" si="1"/>
        <v>45</v>
      </c>
      <c r="X52" s="5" t="str">
        <f t="shared" si="5"/>
        <v>[45 - 49 ans]</v>
      </c>
      <c r="Y52" s="5" t="str">
        <f t="shared" si="6"/>
        <v xml:space="preserve"> Generation X </v>
      </c>
      <c r="Z52" s="9">
        <f t="shared" si="7"/>
        <v>15</v>
      </c>
      <c r="AA52" s="5" t="str">
        <f t="shared" si="8"/>
        <v>RAS</v>
      </c>
      <c r="AB52" s="5" t="s">
        <v>3807</v>
      </c>
      <c r="AC52" s="6" t="s">
        <v>3799</v>
      </c>
      <c r="AE52" s="5" t="s">
        <v>3844</v>
      </c>
      <c r="AF52" s="5" t="s">
        <v>4481</v>
      </c>
      <c r="AG52" s="5" t="s">
        <v>4485</v>
      </c>
      <c r="AH52" s="5" t="s">
        <v>4489</v>
      </c>
      <c r="AI52" s="5" t="s">
        <v>3971</v>
      </c>
      <c r="AJ52" s="5" t="s">
        <v>3972</v>
      </c>
      <c r="AK52" s="5" t="s">
        <v>3873</v>
      </c>
      <c r="AL52" s="5" t="s">
        <v>3858</v>
      </c>
    </row>
    <row r="53" spans="1:38" x14ac:dyDescent="0.3">
      <c r="A53" s="4">
        <v>45716</v>
      </c>
      <c r="B53" s="5" t="s">
        <v>236</v>
      </c>
      <c r="C53" s="5" t="s">
        <v>237</v>
      </c>
      <c r="D53" s="5" t="s">
        <v>238</v>
      </c>
      <c r="E53" s="5" t="s">
        <v>4494</v>
      </c>
      <c r="G53" s="5" t="s">
        <v>34</v>
      </c>
      <c r="H53" s="5" t="s">
        <v>239</v>
      </c>
      <c r="I53" s="5" t="s">
        <v>2841</v>
      </c>
      <c r="J53" s="5" t="s">
        <v>2841</v>
      </c>
      <c r="K53" s="4">
        <v>40182</v>
      </c>
      <c r="L53" s="4">
        <v>40182</v>
      </c>
      <c r="M53" s="9">
        <f t="shared" si="0"/>
        <v>15</v>
      </c>
      <c r="N53" s="4" t="str">
        <f t="shared" si="2"/>
        <v>] 10 ; 15 ]</v>
      </c>
      <c r="O53" s="5" t="s">
        <v>3782</v>
      </c>
      <c r="P53" s="5" t="s">
        <v>3784</v>
      </c>
      <c r="Q53" s="5">
        <v>1</v>
      </c>
      <c r="R53" s="5" t="str">
        <f t="shared" si="3"/>
        <v>Management &amp; Expertise</v>
      </c>
      <c r="S53" s="5" t="s">
        <v>3790</v>
      </c>
      <c r="T53" s="4">
        <v>26759</v>
      </c>
      <c r="U53" s="5">
        <f t="shared" si="4"/>
        <v>1973</v>
      </c>
      <c r="V53" s="5" t="s">
        <v>3793</v>
      </c>
      <c r="W53" s="9">
        <f t="shared" si="1"/>
        <v>51</v>
      </c>
      <c r="X53" s="5" t="str">
        <f t="shared" si="5"/>
        <v>[50 ans, +oo [</v>
      </c>
      <c r="Y53" s="5" t="str">
        <f t="shared" si="6"/>
        <v xml:space="preserve"> Generation X </v>
      </c>
      <c r="Z53" s="9">
        <f t="shared" si="7"/>
        <v>9</v>
      </c>
      <c r="AA53" s="5" t="str">
        <f t="shared" si="8"/>
        <v>RAS</v>
      </c>
      <c r="AB53" s="5" t="s">
        <v>3806</v>
      </c>
      <c r="AC53" s="6" t="s">
        <v>3799</v>
      </c>
      <c r="AE53" s="5" t="s">
        <v>3845</v>
      </c>
      <c r="AF53" s="5" t="s">
        <v>4481</v>
      </c>
      <c r="AG53" s="5" t="s">
        <v>4484</v>
      </c>
      <c r="AH53" s="5" t="s">
        <v>4487</v>
      </c>
      <c r="AI53" s="5" t="s">
        <v>3973</v>
      </c>
      <c r="AJ53" s="5" t="s">
        <v>3974</v>
      </c>
      <c r="AK53" s="5" t="s">
        <v>3861</v>
      </c>
      <c r="AL53" s="5" t="s">
        <v>3854</v>
      </c>
    </row>
    <row r="54" spans="1:38" x14ac:dyDescent="0.3">
      <c r="A54" s="4">
        <v>45716</v>
      </c>
      <c r="B54" s="5" t="s">
        <v>240</v>
      </c>
      <c r="C54" s="5" t="s">
        <v>241</v>
      </c>
      <c r="D54" s="5" t="s">
        <v>242</v>
      </c>
      <c r="E54" s="5" t="s">
        <v>4494</v>
      </c>
      <c r="G54" s="5" t="s">
        <v>243</v>
      </c>
      <c r="H54" s="5" t="s">
        <v>244</v>
      </c>
      <c r="I54" s="5" t="s">
        <v>1272</v>
      </c>
      <c r="J54" s="5" t="s">
        <v>1857</v>
      </c>
      <c r="K54" s="4">
        <v>40182</v>
      </c>
      <c r="L54" s="4">
        <v>40182</v>
      </c>
      <c r="M54" s="9">
        <f t="shared" si="0"/>
        <v>15</v>
      </c>
      <c r="N54" s="4" t="str">
        <f t="shared" si="2"/>
        <v>] 10 ; 15 ]</v>
      </c>
      <c r="O54" s="5" t="s">
        <v>3782</v>
      </c>
      <c r="P54" s="5" t="s">
        <v>3784</v>
      </c>
      <c r="Q54" s="5">
        <v>1</v>
      </c>
      <c r="R54" s="5" t="str">
        <f t="shared" si="3"/>
        <v>Management &amp; Expertise</v>
      </c>
      <c r="S54" s="5" t="s">
        <v>3789</v>
      </c>
      <c r="T54" s="4">
        <v>28294</v>
      </c>
      <c r="U54" s="5">
        <f t="shared" si="4"/>
        <v>1977</v>
      </c>
      <c r="V54" s="5" t="s">
        <v>3793</v>
      </c>
      <c r="W54" s="9">
        <f t="shared" si="1"/>
        <v>47</v>
      </c>
      <c r="X54" s="5" t="str">
        <f t="shared" si="5"/>
        <v>[45 - 49 ans]</v>
      </c>
      <c r="Y54" s="5" t="str">
        <f t="shared" si="6"/>
        <v xml:space="preserve"> Generation X </v>
      </c>
      <c r="Z54" s="9">
        <f t="shared" si="7"/>
        <v>13</v>
      </c>
      <c r="AA54" s="5" t="str">
        <f t="shared" si="8"/>
        <v>RAS</v>
      </c>
      <c r="AB54" s="5" t="s">
        <v>3806</v>
      </c>
      <c r="AC54" s="6" t="s">
        <v>3799</v>
      </c>
      <c r="AE54" s="5" t="s">
        <v>3845</v>
      </c>
      <c r="AF54" s="5" t="s">
        <v>4481</v>
      </c>
      <c r="AG54" s="5" t="s">
        <v>4485</v>
      </c>
      <c r="AH54" s="5" t="s">
        <v>4487</v>
      </c>
      <c r="AI54" s="5" t="s">
        <v>3975</v>
      </c>
      <c r="AJ54" s="5" t="s">
        <v>3976</v>
      </c>
      <c r="AK54" s="5" t="s">
        <v>3977</v>
      </c>
      <c r="AL54" s="5" t="s">
        <v>3854</v>
      </c>
    </row>
    <row r="55" spans="1:38" x14ac:dyDescent="0.3">
      <c r="A55" s="4">
        <v>45716</v>
      </c>
      <c r="B55" s="5" t="s">
        <v>245</v>
      </c>
      <c r="C55" s="5" t="s">
        <v>246</v>
      </c>
      <c r="D55" s="5" t="s">
        <v>247</v>
      </c>
      <c r="E55" s="5" t="s">
        <v>4494</v>
      </c>
      <c r="G55" s="5" t="s">
        <v>88</v>
      </c>
      <c r="H55" s="5" t="s">
        <v>248</v>
      </c>
      <c r="I55" s="5" t="s">
        <v>141</v>
      </c>
      <c r="J55" s="5" t="s">
        <v>879</v>
      </c>
      <c r="K55" s="4">
        <v>40182</v>
      </c>
      <c r="L55" s="4">
        <v>40182</v>
      </c>
      <c r="M55" s="9">
        <f t="shared" si="0"/>
        <v>15</v>
      </c>
      <c r="N55" s="4" t="str">
        <f t="shared" si="2"/>
        <v>] 10 ; 15 ]</v>
      </c>
      <c r="O55" s="5" t="s">
        <v>3783</v>
      </c>
      <c r="P55" s="5" t="s">
        <v>3785</v>
      </c>
      <c r="Q55" s="5">
        <v>1</v>
      </c>
      <c r="R55" s="5" t="str">
        <f t="shared" si="3"/>
        <v>Specialisation</v>
      </c>
      <c r="S55" s="5" t="s">
        <v>3789</v>
      </c>
      <c r="T55" s="4">
        <v>26199</v>
      </c>
      <c r="U55" s="5">
        <f t="shared" si="4"/>
        <v>1971</v>
      </c>
      <c r="V55" s="5" t="s">
        <v>3793</v>
      </c>
      <c r="W55" s="9">
        <f t="shared" si="1"/>
        <v>53</v>
      </c>
      <c r="X55" s="5" t="str">
        <f t="shared" si="5"/>
        <v>[50 ans, +oo [</v>
      </c>
      <c r="Y55" s="5" t="str">
        <f t="shared" si="6"/>
        <v xml:space="preserve"> Generation X </v>
      </c>
      <c r="Z55" s="9">
        <f t="shared" si="7"/>
        <v>7</v>
      </c>
      <c r="AA55" s="5" t="str">
        <f t="shared" si="8"/>
        <v>RAS</v>
      </c>
      <c r="AB55" s="5" t="s">
        <v>3806</v>
      </c>
      <c r="AC55" s="6" t="s">
        <v>3799</v>
      </c>
      <c r="AE55" s="5" t="s">
        <v>3844</v>
      </c>
      <c r="AF55" s="5" t="s">
        <v>4482</v>
      </c>
      <c r="AG55" s="5" t="s">
        <v>4485</v>
      </c>
      <c r="AH55" s="5" t="s">
        <v>4488</v>
      </c>
      <c r="AI55" s="5" t="s">
        <v>3926</v>
      </c>
      <c r="AJ55" s="5" t="s">
        <v>3927</v>
      </c>
      <c r="AK55" s="5" t="s">
        <v>3928</v>
      </c>
      <c r="AL55" s="5" t="s">
        <v>3858</v>
      </c>
    </row>
    <row r="56" spans="1:38" x14ac:dyDescent="0.3">
      <c r="A56" s="4">
        <v>45716</v>
      </c>
      <c r="B56" s="5" t="s">
        <v>249</v>
      </c>
      <c r="C56" s="5" t="s">
        <v>250</v>
      </c>
      <c r="D56" s="5" t="s">
        <v>251</v>
      </c>
      <c r="E56" s="5" t="s">
        <v>4494</v>
      </c>
      <c r="G56" s="5" t="s">
        <v>178</v>
      </c>
      <c r="H56" s="5" t="s">
        <v>252</v>
      </c>
      <c r="I56" s="5" t="s">
        <v>1393</v>
      </c>
      <c r="J56" s="5" t="s">
        <v>1368</v>
      </c>
      <c r="K56" s="4">
        <v>40182</v>
      </c>
      <c r="L56" s="4">
        <v>40182</v>
      </c>
      <c r="M56" s="9">
        <f t="shared" si="0"/>
        <v>15</v>
      </c>
      <c r="N56" s="4" t="str">
        <f t="shared" si="2"/>
        <v>] 10 ; 15 ]</v>
      </c>
      <c r="O56" s="5" t="s">
        <v>3784</v>
      </c>
      <c r="P56" s="5" t="s">
        <v>3784</v>
      </c>
      <c r="Q56" s="5">
        <v>1</v>
      </c>
      <c r="R56" s="5" t="str">
        <f t="shared" si="3"/>
        <v>Management &amp; Expertise</v>
      </c>
      <c r="S56" s="5" t="s">
        <v>3790</v>
      </c>
      <c r="T56" s="4">
        <v>29833</v>
      </c>
      <c r="U56" s="5">
        <f t="shared" si="4"/>
        <v>1981</v>
      </c>
      <c r="V56" s="5" t="s">
        <v>3793</v>
      </c>
      <c r="W56" s="9">
        <f t="shared" si="1"/>
        <v>43</v>
      </c>
      <c r="X56" s="5" t="str">
        <f t="shared" si="5"/>
        <v>[40 - 44 ans]</v>
      </c>
      <c r="Y56" s="5" t="str">
        <f t="shared" si="6"/>
        <v xml:space="preserve"> Mellenials </v>
      </c>
      <c r="Z56" s="9">
        <f t="shared" si="7"/>
        <v>17</v>
      </c>
      <c r="AA56" s="5" t="str">
        <f t="shared" si="8"/>
        <v>RAS</v>
      </c>
      <c r="AB56" s="5" t="s">
        <v>3806</v>
      </c>
      <c r="AC56" s="6" t="s">
        <v>3799</v>
      </c>
      <c r="AE56" s="5" t="s">
        <v>3845</v>
      </c>
      <c r="AF56" s="5" t="s">
        <v>4481</v>
      </c>
      <c r="AG56" s="5" t="s">
        <v>4485</v>
      </c>
      <c r="AH56" s="5" t="s">
        <v>4488</v>
      </c>
      <c r="AI56" s="5" t="s">
        <v>3978</v>
      </c>
      <c r="AJ56" s="5" t="s">
        <v>3979</v>
      </c>
      <c r="AK56" s="5" t="s">
        <v>3980</v>
      </c>
      <c r="AL56" s="5" t="s">
        <v>3854</v>
      </c>
    </row>
    <row r="57" spans="1:38" x14ac:dyDescent="0.3">
      <c r="A57" s="4">
        <v>45716</v>
      </c>
      <c r="B57" s="5" t="s">
        <v>253</v>
      </c>
      <c r="C57" s="5" t="s">
        <v>254</v>
      </c>
      <c r="D57" s="5" t="s">
        <v>255</v>
      </c>
      <c r="E57" s="5" t="s">
        <v>4494</v>
      </c>
      <c r="G57" s="5" t="s">
        <v>24</v>
      </c>
      <c r="H57" s="5" t="s">
        <v>256</v>
      </c>
      <c r="I57" s="5" t="s">
        <v>998</v>
      </c>
      <c r="J57" s="5" t="s">
        <v>23</v>
      </c>
      <c r="K57" s="4">
        <v>40182</v>
      </c>
      <c r="L57" s="4">
        <v>40182</v>
      </c>
      <c r="M57" s="9">
        <f t="shared" si="0"/>
        <v>15</v>
      </c>
      <c r="N57" s="4" t="str">
        <f t="shared" si="2"/>
        <v>] 10 ; 15 ]</v>
      </c>
      <c r="O57" s="5" t="s">
        <v>3786</v>
      </c>
      <c r="P57" s="5" t="s">
        <v>3786</v>
      </c>
      <c r="Q57" s="5">
        <v>2</v>
      </c>
      <c r="R57" s="5" t="str">
        <f t="shared" si="3"/>
        <v>Specialisation</v>
      </c>
      <c r="S57" s="5" t="s">
        <v>3789</v>
      </c>
      <c r="T57" s="4">
        <v>30030</v>
      </c>
      <c r="U57" s="5">
        <f t="shared" si="4"/>
        <v>1982</v>
      </c>
      <c r="V57" s="5" t="s">
        <v>3792</v>
      </c>
      <c r="W57" s="9">
        <f t="shared" si="1"/>
        <v>42</v>
      </c>
      <c r="X57" s="5" t="str">
        <f t="shared" si="5"/>
        <v>[40 - 44 ans]</v>
      </c>
      <c r="Y57" s="5" t="str">
        <f t="shared" si="6"/>
        <v xml:space="preserve"> Mellenials </v>
      </c>
      <c r="Z57" s="9">
        <f t="shared" si="7"/>
        <v>18</v>
      </c>
      <c r="AA57" s="5" t="str">
        <f t="shared" si="8"/>
        <v>RAS</v>
      </c>
      <c r="AB57" s="5" t="s">
        <v>3809</v>
      </c>
      <c r="AC57" s="6" t="s">
        <v>3800</v>
      </c>
      <c r="AE57" s="5" t="s">
        <v>3844</v>
      </c>
      <c r="AF57" s="5" t="s">
        <v>4482</v>
      </c>
      <c r="AG57" s="5" t="s">
        <v>4485</v>
      </c>
      <c r="AH57" s="5" t="s">
        <v>4488</v>
      </c>
      <c r="AI57" s="5" t="s">
        <v>3981</v>
      </c>
      <c r="AJ57" s="5" t="s">
        <v>3982</v>
      </c>
      <c r="AK57" s="5" t="s">
        <v>3983</v>
      </c>
      <c r="AL57" s="5" t="s">
        <v>3858</v>
      </c>
    </row>
    <row r="58" spans="1:38" x14ac:dyDescent="0.3">
      <c r="A58" s="4">
        <v>45716</v>
      </c>
      <c r="B58" s="5" t="s">
        <v>257</v>
      </c>
      <c r="C58" s="5" t="s">
        <v>258</v>
      </c>
      <c r="D58" s="5" t="s">
        <v>259</v>
      </c>
      <c r="E58" s="5" t="s">
        <v>4494</v>
      </c>
      <c r="G58" s="5" t="s">
        <v>39</v>
      </c>
      <c r="H58" s="5" t="s">
        <v>260</v>
      </c>
      <c r="I58" s="5" t="s">
        <v>205</v>
      </c>
      <c r="J58" s="5" t="s">
        <v>1372</v>
      </c>
      <c r="K58" s="4">
        <v>40182</v>
      </c>
      <c r="L58" s="4">
        <v>40182</v>
      </c>
      <c r="M58" s="9">
        <f t="shared" si="0"/>
        <v>15</v>
      </c>
      <c r="N58" s="4" t="str">
        <f t="shared" si="2"/>
        <v>] 10 ; 15 ]</v>
      </c>
      <c r="O58" s="5" t="s">
        <v>3786</v>
      </c>
      <c r="P58" s="5" t="s">
        <v>3783</v>
      </c>
      <c r="Q58" s="5">
        <v>1</v>
      </c>
      <c r="R58" s="5" t="str">
        <f t="shared" si="3"/>
        <v>Specialisation</v>
      </c>
      <c r="S58" s="5" t="s">
        <v>3789</v>
      </c>
      <c r="T58" s="4">
        <v>29091</v>
      </c>
      <c r="U58" s="5">
        <f t="shared" si="4"/>
        <v>1979</v>
      </c>
      <c r="V58" s="5" t="s">
        <v>3793</v>
      </c>
      <c r="W58" s="9">
        <f t="shared" si="1"/>
        <v>45</v>
      </c>
      <c r="X58" s="5" t="str">
        <f t="shared" si="5"/>
        <v>[45 - 49 ans]</v>
      </c>
      <c r="Y58" s="5" t="str">
        <f t="shared" si="6"/>
        <v xml:space="preserve"> Generation X </v>
      </c>
      <c r="Z58" s="9">
        <f t="shared" si="7"/>
        <v>15</v>
      </c>
      <c r="AA58" s="5" t="str">
        <f t="shared" si="8"/>
        <v>RAS</v>
      </c>
      <c r="AB58" s="5" t="s">
        <v>3805</v>
      </c>
      <c r="AC58" s="6" t="s">
        <v>3799</v>
      </c>
      <c r="AE58" s="5" t="s">
        <v>3844</v>
      </c>
      <c r="AF58" s="5" t="s">
        <v>4482</v>
      </c>
      <c r="AG58" s="5" t="s">
        <v>4485</v>
      </c>
      <c r="AH58" s="5" t="s">
        <v>4489</v>
      </c>
      <c r="AI58" s="5" t="s">
        <v>3954</v>
      </c>
      <c r="AJ58" s="5" t="s">
        <v>3955</v>
      </c>
      <c r="AK58" s="5" t="s">
        <v>3956</v>
      </c>
      <c r="AL58" s="5" t="s">
        <v>3858</v>
      </c>
    </row>
    <row r="59" spans="1:38" x14ac:dyDescent="0.3">
      <c r="A59" s="4">
        <v>45716</v>
      </c>
      <c r="B59" s="5" t="s">
        <v>261</v>
      </c>
      <c r="C59" s="5" t="s">
        <v>262</v>
      </c>
      <c r="D59" s="5" t="s">
        <v>263</v>
      </c>
      <c r="E59" s="5" t="s">
        <v>4494</v>
      </c>
      <c r="G59" s="5" t="s">
        <v>137</v>
      </c>
      <c r="H59" s="5" t="s">
        <v>264</v>
      </c>
      <c r="I59" s="5" t="s">
        <v>290</v>
      </c>
      <c r="J59" s="5" t="s">
        <v>1346</v>
      </c>
      <c r="K59" s="4">
        <v>40182</v>
      </c>
      <c r="L59" s="4">
        <v>40182</v>
      </c>
      <c r="M59" s="9">
        <f t="shared" si="0"/>
        <v>15</v>
      </c>
      <c r="N59" s="4" t="str">
        <f t="shared" si="2"/>
        <v>] 10 ; 15 ]</v>
      </c>
      <c r="O59" s="5" t="s">
        <v>3782</v>
      </c>
      <c r="P59" s="5" t="s">
        <v>3784</v>
      </c>
      <c r="Q59" s="5">
        <v>1</v>
      </c>
      <c r="R59" s="5" t="str">
        <f t="shared" si="3"/>
        <v>Management &amp; Expertise</v>
      </c>
      <c r="S59" s="5" t="s">
        <v>3789</v>
      </c>
      <c r="T59" s="4">
        <v>25307</v>
      </c>
      <c r="U59" s="5">
        <f t="shared" si="4"/>
        <v>1969</v>
      </c>
      <c r="V59" s="5" t="s">
        <v>3793</v>
      </c>
      <c r="W59" s="9">
        <f t="shared" si="1"/>
        <v>55</v>
      </c>
      <c r="X59" s="5" t="str">
        <f t="shared" si="5"/>
        <v>[50 ans, +oo [</v>
      </c>
      <c r="Y59" s="5" t="str">
        <f t="shared" si="6"/>
        <v xml:space="preserve"> Generation X </v>
      </c>
      <c r="Z59" s="9">
        <f t="shared" si="7"/>
        <v>5</v>
      </c>
      <c r="AA59" s="5" t="str">
        <f t="shared" si="8"/>
        <v>Départ à la Retraite 5ans</v>
      </c>
      <c r="AB59" s="5" t="s">
        <v>3806</v>
      </c>
      <c r="AC59" s="6" t="s">
        <v>3799</v>
      </c>
      <c r="AE59" s="5" t="s">
        <v>3845</v>
      </c>
      <c r="AF59" s="5" t="s">
        <v>4481</v>
      </c>
      <c r="AG59" s="5" t="s">
        <v>4485</v>
      </c>
      <c r="AH59" s="5" t="s">
        <v>4487</v>
      </c>
      <c r="AI59" s="5" t="s">
        <v>3984</v>
      </c>
      <c r="AJ59" s="5" t="s">
        <v>3985</v>
      </c>
      <c r="AK59" s="5" t="s">
        <v>3986</v>
      </c>
      <c r="AL59" s="5" t="s">
        <v>3854</v>
      </c>
    </row>
    <row r="60" spans="1:38" x14ac:dyDescent="0.3">
      <c r="A60" s="4">
        <v>45716</v>
      </c>
      <c r="B60" s="5" t="s">
        <v>265</v>
      </c>
      <c r="C60" s="5" t="s">
        <v>266</v>
      </c>
      <c r="D60" s="5" t="s">
        <v>267</v>
      </c>
      <c r="E60" s="5" t="s">
        <v>4494</v>
      </c>
      <c r="F60" s="5" t="s">
        <v>4495</v>
      </c>
      <c r="G60" s="5" t="s">
        <v>24</v>
      </c>
      <c r="H60" s="5" t="s">
        <v>256</v>
      </c>
      <c r="I60" s="5" t="s">
        <v>2960</v>
      </c>
      <c r="J60" s="5" t="s">
        <v>23</v>
      </c>
      <c r="K60" s="4">
        <v>40182</v>
      </c>
      <c r="L60" s="4">
        <v>39785</v>
      </c>
      <c r="M60" s="9">
        <f t="shared" si="0"/>
        <v>16</v>
      </c>
      <c r="N60" s="4" t="str">
        <f t="shared" si="2"/>
        <v>] 15 ; +oo [</v>
      </c>
      <c r="O60" s="5" t="s">
        <v>3786</v>
      </c>
      <c r="P60" s="5" t="s">
        <v>3783</v>
      </c>
      <c r="Q60" s="5">
        <v>1</v>
      </c>
      <c r="R60" s="5" t="str">
        <f t="shared" si="3"/>
        <v>Specialisation</v>
      </c>
      <c r="S60" s="5" t="s">
        <v>3790</v>
      </c>
      <c r="T60" s="4">
        <v>27832</v>
      </c>
      <c r="U60" s="5">
        <f t="shared" si="4"/>
        <v>1976</v>
      </c>
      <c r="V60" s="5" t="s">
        <v>3794</v>
      </c>
      <c r="W60" s="9">
        <f t="shared" si="1"/>
        <v>48</v>
      </c>
      <c r="X60" s="5" t="str">
        <f t="shared" si="5"/>
        <v>[45 - 49 ans]</v>
      </c>
      <c r="Y60" s="5" t="str">
        <f t="shared" si="6"/>
        <v xml:space="preserve"> Generation X </v>
      </c>
      <c r="Z60" s="9">
        <f t="shared" si="7"/>
        <v>12</v>
      </c>
      <c r="AA60" s="5" t="str">
        <f t="shared" si="8"/>
        <v>RAS</v>
      </c>
      <c r="AB60" s="5" t="s">
        <v>3805</v>
      </c>
      <c r="AC60" s="6" t="s">
        <v>3799</v>
      </c>
      <c r="AE60" s="5" t="s">
        <v>3844</v>
      </c>
      <c r="AF60" s="5" t="s">
        <v>4482</v>
      </c>
      <c r="AG60" s="5" t="s">
        <v>4485</v>
      </c>
      <c r="AH60" s="5" t="s">
        <v>4488</v>
      </c>
      <c r="AI60" s="5" t="s">
        <v>3987</v>
      </c>
      <c r="AJ60" s="5" t="s">
        <v>3988</v>
      </c>
      <c r="AK60" s="5" t="s">
        <v>3853</v>
      </c>
      <c r="AL60" s="5" t="s">
        <v>3858</v>
      </c>
    </row>
    <row r="61" spans="1:38" x14ac:dyDescent="0.3">
      <c r="A61" s="4">
        <v>45716</v>
      </c>
      <c r="B61" s="5" t="s">
        <v>268</v>
      </c>
      <c r="C61" s="5" t="s">
        <v>269</v>
      </c>
      <c r="D61" s="5" t="s">
        <v>270</v>
      </c>
      <c r="E61" s="5" t="s">
        <v>4494</v>
      </c>
      <c r="G61" s="5" t="s">
        <v>44</v>
      </c>
      <c r="H61" s="5" t="s">
        <v>271</v>
      </c>
      <c r="I61" s="5" t="s">
        <v>92</v>
      </c>
      <c r="J61" s="5" t="s">
        <v>2337</v>
      </c>
      <c r="K61" s="4">
        <v>40182</v>
      </c>
      <c r="L61" s="4">
        <v>40182</v>
      </c>
      <c r="M61" s="9">
        <f t="shared" si="0"/>
        <v>15</v>
      </c>
      <c r="N61" s="4" t="str">
        <f t="shared" si="2"/>
        <v>] 10 ; 15 ]</v>
      </c>
      <c r="O61" s="5" t="s">
        <v>3782</v>
      </c>
      <c r="P61" s="5" t="s">
        <v>3784</v>
      </c>
      <c r="Q61" s="5">
        <v>1</v>
      </c>
      <c r="R61" s="5" t="str">
        <f t="shared" si="3"/>
        <v>Management &amp; Expertise</v>
      </c>
      <c r="S61" s="5" t="s">
        <v>3790</v>
      </c>
      <c r="T61" s="4">
        <v>27220</v>
      </c>
      <c r="U61" s="5">
        <f t="shared" si="4"/>
        <v>1974</v>
      </c>
      <c r="V61" s="5" t="s">
        <v>3793</v>
      </c>
      <c r="W61" s="9">
        <f t="shared" si="1"/>
        <v>50</v>
      </c>
      <c r="X61" s="5" t="str">
        <f t="shared" si="5"/>
        <v>[50 ans, +oo [</v>
      </c>
      <c r="Y61" s="5" t="str">
        <f t="shared" si="6"/>
        <v xml:space="preserve"> Generation X </v>
      </c>
      <c r="Z61" s="9">
        <f t="shared" si="7"/>
        <v>10</v>
      </c>
      <c r="AA61" s="5" t="str">
        <f t="shared" si="8"/>
        <v>RAS</v>
      </c>
      <c r="AB61" s="5" t="s">
        <v>3806</v>
      </c>
      <c r="AC61" s="6" t="s">
        <v>3799</v>
      </c>
      <c r="AE61" s="5" t="s">
        <v>3845</v>
      </c>
      <c r="AF61" s="5" t="s">
        <v>4481</v>
      </c>
      <c r="AG61" s="5" t="s">
        <v>4485</v>
      </c>
      <c r="AH61" s="5" t="s">
        <v>4487</v>
      </c>
      <c r="AI61" s="5" t="s">
        <v>3989</v>
      </c>
      <c r="AJ61" s="5" t="s">
        <v>3990</v>
      </c>
      <c r="AK61" s="5">
        <v>31200</v>
      </c>
      <c r="AL61" s="5" t="s">
        <v>3854</v>
      </c>
    </row>
    <row r="62" spans="1:38" x14ac:dyDescent="0.3">
      <c r="A62" s="4">
        <v>45716</v>
      </c>
      <c r="B62" s="5" t="s">
        <v>272</v>
      </c>
      <c r="C62" s="5" t="s">
        <v>273</v>
      </c>
      <c r="D62" s="5" t="s">
        <v>274</v>
      </c>
      <c r="E62" s="5" t="s">
        <v>4494</v>
      </c>
      <c r="G62" s="5" t="s">
        <v>83</v>
      </c>
      <c r="H62" s="5" t="s">
        <v>275</v>
      </c>
      <c r="I62" s="5" t="s">
        <v>1799</v>
      </c>
      <c r="J62" s="5" t="s">
        <v>82</v>
      </c>
      <c r="K62" s="4">
        <v>40189</v>
      </c>
      <c r="L62" s="4">
        <v>40189</v>
      </c>
      <c r="M62" s="9">
        <f t="shared" si="0"/>
        <v>15</v>
      </c>
      <c r="N62" s="4" t="str">
        <f t="shared" si="2"/>
        <v>] 10 ; 15 ]</v>
      </c>
      <c r="O62" s="5" t="s">
        <v>3782</v>
      </c>
      <c r="P62" s="5" t="s">
        <v>3782</v>
      </c>
      <c r="Q62" s="5">
        <v>2</v>
      </c>
      <c r="R62" s="5" t="str">
        <f t="shared" si="3"/>
        <v>Management &amp; Expertise</v>
      </c>
      <c r="S62" s="5" t="s">
        <v>3789</v>
      </c>
      <c r="T62" s="4">
        <v>29707</v>
      </c>
      <c r="U62" s="5">
        <f t="shared" si="4"/>
        <v>1981</v>
      </c>
      <c r="V62" s="5" t="s">
        <v>3793</v>
      </c>
      <c r="W62" s="9">
        <f t="shared" si="1"/>
        <v>43</v>
      </c>
      <c r="X62" s="5" t="str">
        <f t="shared" si="5"/>
        <v>[40 - 44 ans]</v>
      </c>
      <c r="Y62" s="5" t="str">
        <f t="shared" si="6"/>
        <v xml:space="preserve"> Mellenials </v>
      </c>
      <c r="Z62" s="9">
        <f t="shared" si="7"/>
        <v>17</v>
      </c>
      <c r="AA62" s="5" t="str">
        <f t="shared" si="8"/>
        <v>RAS</v>
      </c>
      <c r="AB62" s="5" t="s">
        <v>3806</v>
      </c>
      <c r="AC62" s="6" t="s">
        <v>3799</v>
      </c>
      <c r="AE62" s="5" t="s">
        <v>3845</v>
      </c>
      <c r="AF62" s="5" t="s">
        <v>4481</v>
      </c>
      <c r="AG62" s="5" t="s">
        <v>4485</v>
      </c>
      <c r="AH62" s="5" t="s">
        <v>4489</v>
      </c>
      <c r="AI62" s="5" t="s">
        <v>3991</v>
      </c>
      <c r="AJ62" s="5" t="s">
        <v>3992</v>
      </c>
      <c r="AK62" s="5" t="s">
        <v>3993</v>
      </c>
      <c r="AL62" s="5" t="s">
        <v>3854</v>
      </c>
    </row>
    <row r="63" spans="1:38" x14ac:dyDescent="0.3">
      <c r="A63" s="4">
        <v>45716</v>
      </c>
      <c r="B63" s="5" t="s">
        <v>276</v>
      </c>
      <c r="C63" s="5" t="s">
        <v>277</v>
      </c>
      <c r="D63" s="5" t="s">
        <v>278</v>
      </c>
      <c r="E63" s="5" t="s">
        <v>4494</v>
      </c>
      <c r="G63" s="5" t="s">
        <v>39</v>
      </c>
      <c r="H63" s="5" t="s">
        <v>279</v>
      </c>
      <c r="I63" s="5" t="s">
        <v>1899</v>
      </c>
      <c r="J63" s="5" t="s">
        <v>2821</v>
      </c>
      <c r="K63" s="4">
        <v>40189</v>
      </c>
      <c r="L63" s="4">
        <v>40189</v>
      </c>
      <c r="M63" s="9">
        <f t="shared" si="0"/>
        <v>15</v>
      </c>
      <c r="N63" s="4" t="str">
        <f t="shared" si="2"/>
        <v>] 10 ; 15 ]</v>
      </c>
      <c r="O63" s="5" t="s">
        <v>3784</v>
      </c>
      <c r="P63" s="5" t="s">
        <v>3784</v>
      </c>
      <c r="Q63" s="5">
        <v>1</v>
      </c>
      <c r="R63" s="5" t="str">
        <f t="shared" si="3"/>
        <v>Management &amp; Expertise</v>
      </c>
      <c r="S63" s="5" t="s">
        <v>3790</v>
      </c>
      <c r="T63" s="4">
        <v>29531</v>
      </c>
      <c r="U63" s="5">
        <f t="shared" si="4"/>
        <v>1980</v>
      </c>
      <c r="V63" s="5" t="s">
        <v>3793</v>
      </c>
      <c r="W63" s="9">
        <f t="shared" si="1"/>
        <v>44</v>
      </c>
      <c r="X63" s="5" t="str">
        <f t="shared" si="5"/>
        <v>[40 - 44 ans]</v>
      </c>
      <c r="Y63" s="5" t="str">
        <f t="shared" si="6"/>
        <v xml:space="preserve"> Generation X </v>
      </c>
      <c r="Z63" s="9">
        <f t="shared" si="7"/>
        <v>16</v>
      </c>
      <c r="AA63" s="5" t="str">
        <f t="shared" si="8"/>
        <v>RAS</v>
      </c>
      <c r="AB63" s="5" t="s">
        <v>3807</v>
      </c>
      <c r="AC63" s="6" t="s">
        <v>3799</v>
      </c>
      <c r="AE63" s="5" t="s">
        <v>3845</v>
      </c>
      <c r="AF63" s="5" t="s">
        <v>4481</v>
      </c>
      <c r="AG63" s="5" t="s">
        <v>4485</v>
      </c>
      <c r="AH63" s="5" t="s">
        <v>4489</v>
      </c>
      <c r="AI63" s="5" t="s">
        <v>3994</v>
      </c>
      <c r="AJ63" s="5" t="s">
        <v>3995</v>
      </c>
      <c r="AK63" s="5" t="s">
        <v>3996</v>
      </c>
      <c r="AL63" s="5" t="s">
        <v>3854</v>
      </c>
    </row>
    <row r="64" spans="1:38" x14ac:dyDescent="0.3">
      <c r="A64" s="4">
        <v>45716</v>
      </c>
      <c r="B64" s="5" t="s">
        <v>280</v>
      </c>
      <c r="C64" s="5" t="s">
        <v>281</v>
      </c>
      <c r="D64" s="5" t="s">
        <v>282</v>
      </c>
      <c r="E64" s="5" t="s">
        <v>4494</v>
      </c>
      <c r="G64" s="5" t="s">
        <v>29</v>
      </c>
      <c r="H64" s="5" t="s">
        <v>283</v>
      </c>
      <c r="I64" s="5" t="s">
        <v>65</v>
      </c>
      <c r="J64" s="5" t="s">
        <v>69</v>
      </c>
      <c r="K64" s="4">
        <v>40192</v>
      </c>
      <c r="L64" s="4">
        <v>39645</v>
      </c>
      <c r="M64" s="9">
        <f t="shared" si="0"/>
        <v>16</v>
      </c>
      <c r="N64" s="4" t="str">
        <f t="shared" si="2"/>
        <v>] 15 ; +oo [</v>
      </c>
      <c r="O64" s="5" t="s">
        <v>3786</v>
      </c>
      <c r="P64" s="5" t="s">
        <v>3783</v>
      </c>
      <c r="Q64" s="5">
        <v>1</v>
      </c>
      <c r="R64" s="5" t="str">
        <f t="shared" si="3"/>
        <v>Specialisation</v>
      </c>
      <c r="S64" s="5" t="s">
        <v>3790</v>
      </c>
      <c r="T64" s="4">
        <v>30551</v>
      </c>
      <c r="U64" s="5">
        <f t="shared" si="4"/>
        <v>1983</v>
      </c>
      <c r="V64" s="5" t="s">
        <v>3793</v>
      </c>
      <c r="W64" s="9">
        <f t="shared" si="1"/>
        <v>41</v>
      </c>
      <c r="X64" s="5" t="str">
        <f t="shared" si="5"/>
        <v>[40 - 44 ans]</v>
      </c>
      <c r="Y64" s="5" t="str">
        <f t="shared" si="6"/>
        <v xml:space="preserve"> Mellenials </v>
      </c>
      <c r="Z64" s="9">
        <f t="shared" si="7"/>
        <v>19</v>
      </c>
      <c r="AA64" s="5" t="str">
        <f t="shared" si="8"/>
        <v>RAS</v>
      </c>
      <c r="AB64" s="5" t="s">
        <v>3806</v>
      </c>
      <c r="AC64" s="6" t="s">
        <v>3799</v>
      </c>
      <c r="AE64" s="5" t="s">
        <v>3844</v>
      </c>
      <c r="AF64" s="5" t="s">
        <v>4482</v>
      </c>
      <c r="AG64" s="5" t="s">
        <v>4485</v>
      </c>
      <c r="AH64" s="5" t="s">
        <v>4487</v>
      </c>
      <c r="AI64" s="5" t="s">
        <v>3880</v>
      </c>
      <c r="AJ64" s="5" t="s">
        <v>3881</v>
      </c>
      <c r="AK64" s="5" t="s">
        <v>3882</v>
      </c>
      <c r="AL64" s="5" t="s">
        <v>3858</v>
      </c>
    </row>
    <row r="65" spans="1:38" x14ac:dyDescent="0.3">
      <c r="A65" s="4">
        <v>45716</v>
      </c>
      <c r="B65" s="5" t="s">
        <v>284</v>
      </c>
      <c r="C65" s="5" t="s">
        <v>285</v>
      </c>
      <c r="D65" s="5" t="s">
        <v>286</v>
      </c>
      <c r="E65" s="5" t="s">
        <v>4494</v>
      </c>
      <c r="G65" s="5" t="s">
        <v>29</v>
      </c>
      <c r="H65" s="5" t="s">
        <v>287</v>
      </c>
      <c r="I65" s="5" t="s">
        <v>69</v>
      </c>
      <c r="J65" s="5" t="s">
        <v>2355</v>
      </c>
      <c r="K65" s="4">
        <v>40192</v>
      </c>
      <c r="L65" s="4">
        <v>39328</v>
      </c>
      <c r="M65" s="9">
        <f t="shared" si="0"/>
        <v>17</v>
      </c>
      <c r="N65" s="4" t="str">
        <f t="shared" si="2"/>
        <v>] 15 ; +oo [</v>
      </c>
      <c r="O65" s="5" t="s">
        <v>3786</v>
      </c>
      <c r="P65" s="5" t="s">
        <v>3783</v>
      </c>
      <c r="Q65" s="5">
        <v>1</v>
      </c>
      <c r="R65" s="5" t="str">
        <f t="shared" si="3"/>
        <v>Specialisation</v>
      </c>
      <c r="S65" s="5" t="s">
        <v>3790</v>
      </c>
      <c r="T65" s="4">
        <v>30073</v>
      </c>
      <c r="U65" s="5">
        <f t="shared" si="4"/>
        <v>1982</v>
      </c>
      <c r="V65" s="5" t="s">
        <v>3793</v>
      </c>
      <c r="W65" s="9">
        <f t="shared" si="1"/>
        <v>42</v>
      </c>
      <c r="X65" s="5" t="str">
        <f t="shared" si="5"/>
        <v>[40 - 44 ans]</v>
      </c>
      <c r="Y65" s="5" t="str">
        <f t="shared" si="6"/>
        <v xml:space="preserve"> Mellenials </v>
      </c>
      <c r="Z65" s="9">
        <f t="shared" si="7"/>
        <v>18</v>
      </c>
      <c r="AA65" s="5" t="str">
        <f t="shared" si="8"/>
        <v>RAS</v>
      </c>
      <c r="AB65" s="5" t="s">
        <v>3806</v>
      </c>
      <c r="AC65" s="6" t="s">
        <v>3799</v>
      </c>
      <c r="AE65" s="5" t="s">
        <v>3844</v>
      </c>
      <c r="AF65" s="5" t="s">
        <v>4482</v>
      </c>
      <c r="AG65" s="5" t="s">
        <v>4485</v>
      </c>
      <c r="AH65" s="5" t="s">
        <v>4487</v>
      </c>
      <c r="AI65" s="5" t="s">
        <v>3997</v>
      </c>
      <c r="AJ65" s="5" t="s">
        <v>3998</v>
      </c>
      <c r="AK65" s="5" t="s">
        <v>3885</v>
      </c>
      <c r="AL65" s="5" t="s">
        <v>3858</v>
      </c>
    </row>
    <row r="66" spans="1:38" x14ac:dyDescent="0.3">
      <c r="A66" s="4">
        <v>45716</v>
      </c>
      <c r="B66" s="5" t="s">
        <v>288</v>
      </c>
      <c r="C66" s="5" t="s">
        <v>289</v>
      </c>
      <c r="D66" s="5" t="s">
        <v>290</v>
      </c>
      <c r="E66" s="5" t="s">
        <v>4494</v>
      </c>
      <c r="G66" s="5" t="s">
        <v>137</v>
      </c>
      <c r="H66" s="5" t="s">
        <v>291</v>
      </c>
      <c r="I66" s="5" t="s">
        <v>1346</v>
      </c>
      <c r="J66" s="5" t="s">
        <v>2841</v>
      </c>
      <c r="K66" s="4">
        <v>40193</v>
      </c>
      <c r="L66" s="4">
        <v>40193</v>
      </c>
      <c r="M66" s="9">
        <f t="shared" ref="M66:M128" si="9">DATEDIF(L66,A66,"y")</f>
        <v>15</v>
      </c>
      <c r="N66" s="4" t="str">
        <f t="shared" si="2"/>
        <v>] 10 ; 15 ]</v>
      </c>
      <c r="O66" s="5" t="s">
        <v>3784</v>
      </c>
      <c r="P66" s="5" t="s">
        <v>3784</v>
      </c>
      <c r="Q66" s="5">
        <v>2</v>
      </c>
      <c r="R66" s="5" t="str">
        <f t="shared" si="3"/>
        <v>Management &amp; Expertise</v>
      </c>
      <c r="S66" s="5" t="s">
        <v>3789</v>
      </c>
      <c r="T66" s="4">
        <v>27817</v>
      </c>
      <c r="U66" s="5">
        <f t="shared" si="4"/>
        <v>1976</v>
      </c>
      <c r="V66" s="5" t="s">
        <v>3793</v>
      </c>
      <c r="W66" s="9">
        <f t="shared" ref="W66:W128" si="10">DATEDIF(T66,A66,"y")</f>
        <v>49</v>
      </c>
      <c r="X66" s="5" t="str">
        <f t="shared" si="5"/>
        <v>[45 - 49 ans]</v>
      </c>
      <c r="Y66" s="5" t="str">
        <f t="shared" si="6"/>
        <v xml:space="preserve"> Generation X </v>
      </c>
      <c r="Z66" s="9">
        <f t="shared" si="7"/>
        <v>11</v>
      </c>
      <c r="AA66" s="5" t="str">
        <f t="shared" si="8"/>
        <v>RAS</v>
      </c>
      <c r="AB66" s="5" t="s">
        <v>3806</v>
      </c>
      <c r="AC66" s="6" t="s">
        <v>3799</v>
      </c>
      <c r="AE66" s="5" t="s">
        <v>3845</v>
      </c>
      <c r="AF66" s="5" t="s">
        <v>4481</v>
      </c>
      <c r="AG66" s="5" t="s">
        <v>4485</v>
      </c>
      <c r="AH66" s="5" t="s">
        <v>4487</v>
      </c>
      <c r="AI66" s="5" t="s">
        <v>3999</v>
      </c>
      <c r="AJ66" s="5" t="s">
        <v>4000</v>
      </c>
      <c r="AK66" s="5" t="s">
        <v>4001</v>
      </c>
      <c r="AL66" s="5" t="s">
        <v>3854</v>
      </c>
    </row>
    <row r="67" spans="1:38" x14ac:dyDescent="0.3">
      <c r="A67" s="4">
        <v>45716</v>
      </c>
      <c r="B67" s="5" t="s">
        <v>292</v>
      </c>
      <c r="C67" s="5" t="s">
        <v>293</v>
      </c>
      <c r="D67" s="5" t="s">
        <v>294</v>
      </c>
      <c r="E67" s="5" t="s">
        <v>4494</v>
      </c>
      <c r="G67" s="5" t="s">
        <v>39</v>
      </c>
      <c r="H67" s="5" t="s">
        <v>295</v>
      </c>
      <c r="I67" s="5" t="s">
        <v>1451</v>
      </c>
      <c r="J67" s="5" t="s">
        <v>1372</v>
      </c>
      <c r="K67" s="4">
        <v>40196</v>
      </c>
      <c r="L67" s="4">
        <v>40196</v>
      </c>
      <c r="M67" s="9">
        <f t="shared" si="9"/>
        <v>15</v>
      </c>
      <c r="N67" s="4" t="str">
        <f t="shared" ref="N67:N129" si="11">IF(M67&lt;=2," ] 0 ; 2 ]",IF(AND(M67&gt;2,M67&lt;=5),"] 2 ; 5 ]",IF(AND(M67&gt;5,M67&lt;=8),"] 5 ; 8 ]",IF(AND(M67&gt;8,M67&lt;=10),"] 8 ; 10 ]",IF(AND(M67&gt;10,M67&lt;=15),"] 10 ; 15 ]","] 15 ; +oo [")))))</f>
        <v>] 10 ; 15 ]</v>
      </c>
      <c r="O67" s="5" t="s">
        <v>3786</v>
      </c>
      <c r="P67" s="5" t="s">
        <v>3783</v>
      </c>
      <c r="Q67" s="5">
        <v>1</v>
      </c>
      <c r="R67" s="5" t="str">
        <f t="shared" ref="R67:R129" si="12">IF(OR(O67="A",O67="B",O67="C",O67="D"),"Qualification",IF(OR(O67="E",O67="F",O67="G"),"Specialisation","Management &amp; Expertise"))</f>
        <v>Specialisation</v>
      </c>
      <c r="S67" s="5" t="s">
        <v>3789</v>
      </c>
      <c r="T67" s="4">
        <v>29356</v>
      </c>
      <c r="U67" s="5">
        <f t="shared" ref="U67:U129" si="13">YEAR(T67)</f>
        <v>1980</v>
      </c>
      <c r="V67" s="5" t="s">
        <v>3793</v>
      </c>
      <c r="W67" s="9">
        <f t="shared" si="10"/>
        <v>44</v>
      </c>
      <c r="X67" s="5" t="str">
        <f t="shared" ref="X67:X129" si="14">IF(W67&lt;30,"[20 - 29 ans[",IF(AND(W67&gt;=30,W67&lt;35),"[30 - 34 ans]",IF(AND(W67&gt;=35,W67&lt;40),"[35 - 39 ans ]",IF(AND(W67&gt;=40,W67&lt;45),"[40 - 44 ans]",IF(AND(W67&gt;=45,W67&lt;50),"[45 - 49 ans]","[50 ans, +oo [")))))</f>
        <v>[40 - 44 ans]</v>
      </c>
      <c r="Y67" s="5" t="str">
        <f t="shared" ref="Y67:Y129" si="15">IF(AND(U67&gt;1946,U67&lt;=1965)," Baby - Boomers ",IF(AND(U67&gt;1965,U67&lt;=1980)," Generation X ",IF(AND(U67&gt;1980,U67&lt;1996)," Mellenials ",IF(AND(U67&gt;1996,U67&lt;2012)," Gen Z "," Gen Alpha"))))</f>
        <v xml:space="preserve"> Generation X </v>
      </c>
      <c r="Z67" s="9">
        <f t="shared" ref="Z67:Z129" si="16">60-W67</f>
        <v>16</v>
      </c>
      <c r="AA67" s="5" t="str">
        <f t="shared" ref="AA67:AA129" si="17">IF(Z67&lt;=5,"Départ à la Retraite 5ans","RAS")</f>
        <v>RAS</v>
      </c>
      <c r="AB67" s="5" t="s">
        <v>3805</v>
      </c>
      <c r="AC67" s="6" t="s">
        <v>3799</v>
      </c>
      <c r="AE67" s="5" t="s">
        <v>3844</v>
      </c>
      <c r="AF67" s="5" t="s">
        <v>4482</v>
      </c>
      <c r="AG67" s="5" t="s">
        <v>4485</v>
      </c>
      <c r="AH67" s="5" t="s">
        <v>4489</v>
      </c>
      <c r="AI67" s="5" t="s">
        <v>3957</v>
      </c>
      <c r="AJ67" s="5" t="s">
        <v>3958</v>
      </c>
      <c r="AK67" s="5" t="s">
        <v>3922</v>
      </c>
      <c r="AL67" s="5" t="s">
        <v>3858</v>
      </c>
    </row>
    <row r="68" spans="1:38" x14ac:dyDescent="0.3">
      <c r="A68" s="4">
        <v>45716</v>
      </c>
      <c r="B68" s="5" t="s">
        <v>296</v>
      </c>
      <c r="C68" s="5" t="s">
        <v>297</v>
      </c>
      <c r="D68" s="5" t="s">
        <v>298</v>
      </c>
      <c r="E68" s="5" t="s">
        <v>4494</v>
      </c>
      <c r="G68" s="5" t="s">
        <v>78</v>
      </c>
      <c r="H68" s="5" t="s">
        <v>299</v>
      </c>
      <c r="I68" s="5" t="s">
        <v>169</v>
      </c>
      <c r="J68" s="5" t="s">
        <v>1357</v>
      </c>
      <c r="K68" s="4">
        <v>40196</v>
      </c>
      <c r="L68" s="4">
        <v>40196</v>
      </c>
      <c r="M68" s="9">
        <f t="shared" si="9"/>
        <v>15</v>
      </c>
      <c r="N68" s="4" t="str">
        <f t="shared" si="11"/>
        <v>] 10 ; 15 ]</v>
      </c>
      <c r="O68" s="5" t="s">
        <v>3782</v>
      </c>
      <c r="P68" s="5" t="s">
        <v>3784</v>
      </c>
      <c r="Q68" s="5">
        <v>1</v>
      </c>
      <c r="R68" s="5" t="str">
        <f t="shared" si="12"/>
        <v>Management &amp; Expertise</v>
      </c>
      <c r="S68" s="5" t="s">
        <v>3790</v>
      </c>
      <c r="T68" s="4">
        <v>28725</v>
      </c>
      <c r="U68" s="5">
        <f t="shared" si="13"/>
        <v>1978</v>
      </c>
      <c r="V68" s="5" t="s">
        <v>3793</v>
      </c>
      <c r="W68" s="9">
        <f t="shared" si="10"/>
        <v>46</v>
      </c>
      <c r="X68" s="5" t="str">
        <f t="shared" si="14"/>
        <v>[45 - 49 ans]</v>
      </c>
      <c r="Y68" s="5" t="str">
        <f t="shared" si="15"/>
        <v xml:space="preserve"> Generation X </v>
      </c>
      <c r="Z68" s="9">
        <f t="shared" si="16"/>
        <v>14</v>
      </c>
      <c r="AA68" s="5" t="str">
        <f t="shared" si="17"/>
        <v>RAS</v>
      </c>
      <c r="AB68" s="5" t="s">
        <v>3808</v>
      </c>
      <c r="AC68" s="6" t="s">
        <v>3799</v>
      </c>
      <c r="AE68" s="5" t="s">
        <v>3845</v>
      </c>
      <c r="AF68" s="5" t="s">
        <v>4481</v>
      </c>
      <c r="AG68" s="5" t="s">
        <v>4485</v>
      </c>
      <c r="AH68" s="5" t="s">
        <v>4488</v>
      </c>
      <c r="AI68" s="5" t="s">
        <v>4002</v>
      </c>
      <c r="AJ68" s="5" t="s">
        <v>4003</v>
      </c>
      <c r="AK68" s="5" t="s">
        <v>3946</v>
      </c>
      <c r="AL68" s="5" t="s">
        <v>3854</v>
      </c>
    </row>
    <row r="69" spans="1:38" x14ac:dyDescent="0.3">
      <c r="A69" s="4">
        <v>45716</v>
      </c>
      <c r="B69" s="5" t="s">
        <v>300</v>
      </c>
      <c r="C69" s="5" t="s">
        <v>301</v>
      </c>
      <c r="D69" s="5" t="s">
        <v>302</v>
      </c>
      <c r="E69" s="5" t="s">
        <v>4494</v>
      </c>
      <c r="G69" s="5" t="s">
        <v>44</v>
      </c>
      <c r="H69" s="5" t="s">
        <v>303</v>
      </c>
      <c r="I69" s="5" t="s">
        <v>1888</v>
      </c>
      <c r="J69" s="5" t="s">
        <v>92</v>
      </c>
      <c r="K69" s="4">
        <v>40197</v>
      </c>
      <c r="L69" s="4">
        <v>40197</v>
      </c>
      <c r="M69" s="9">
        <f t="shared" si="9"/>
        <v>15</v>
      </c>
      <c r="N69" s="4" t="str">
        <f t="shared" si="11"/>
        <v>] 10 ; 15 ]</v>
      </c>
      <c r="O69" s="5" t="s">
        <v>3782</v>
      </c>
      <c r="P69" s="5" t="s">
        <v>3782</v>
      </c>
      <c r="Q69" s="5">
        <v>1</v>
      </c>
      <c r="R69" s="5" t="str">
        <f t="shared" si="12"/>
        <v>Management &amp; Expertise</v>
      </c>
      <c r="S69" s="5" t="s">
        <v>3789</v>
      </c>
      <c r="T69" s="4">
        <v>29825</v>
      </c>
      <c r="U69" s="5">
        <f t="shared" si="13"/>
        <v>1981</v>
      </c>
      <c r="V69" s="5" t="s">
        <v>3792</v>
      </c>
      <c r="W69" s="9">
        <f t="shared" si="10"/>
        <v>43</v>
      </c>
      <c r="X69" s="5" t="str">
        <f t="shared" si="14"/>
        <v>[40 - 44 ans]</v>
      </c>
      <c r="Y69" s="5" t="str">
        <f t="shared" si="15"/>
        <v xml:space="preserve"> Mellenials </v>
      </c>
      <c r="Z69" s="9">
        <f t="shared" si="16"/>
        <v>17</v>
      </c>
      <c r="AA69" s="5" t="str">
        <f t="shared" si="17"/>
        <v>RAS</v>
      </c>
      <c r="AB69" s="5" t="s">
        <v>3806</v>
      </c>
      <c r="AC69" s="6" t="s">
        <v>3799</v>
      </c>
      <c r="AE69" s="5" t="s">
        <v>3844</v>
      </c>
      <c r="AF69" s="5" t="s">
        <v>4481</v>
      </c>
      <c r="AG69" s="5" t="s">
        <v>4485</v>
      </c>
      <c r="AH69" s="5" t="s">
        <v>4487</v>
      </c>
      <c r="AI69" s="5" t="s">
        <v>4004</v>
      </c>
      <c r="AJ69" s="5" t="s">
        <v>4005</v>
      </c>
      <c r="AK69" s="5" t="s">
        <v>3900</v>
      </c>
      <c r="AL69" s="5" t="s">
        <v>3858</v>
      </c>
    </row>
    <row r="70" spans="1:38" x14ac:dyDescent="0.3">
      <c r="A70" s="4">
        <v>45716</v>
      </c>
      <c r="B70" s="5" t="s">
        <v>304</v>
      </c>
      <c r="C70" s="5" t="s">
        <v>305</v>
      </c>
      <c r="D70" s="5" t="s">
        <v>306</v>
      </c>
      <c r="E70" s="5" t="s">
        <v>4494</v>
      </c>
      <c r="G70" s="5" t="s">
        <v>29</v>
      </c>
      <c r="H70" s="5" t="s">
        <v>307</v>
      </c>
      <c r="I70" s="5" t="s">
        <v>3366</v>
      </c>
      <c r="J70" s="5" t="s">
        <v>157</v>
      </c>
      <c r="K70" s="4">
        <v>40198</v>
      </c>
      <c r="L70" s="4">
        <v>39636</v>
      </c>
      <c r="M70" s="9">
        <f t="shared" si="9"/>
        <v>16</v>
      </c>
      <c r="N70" s="4" t="str">
        <f t="shared" si="11"/>
        <v>] 15 ; +oo [</v>
      </c>
      <c r="O70" s="5" t="s">
        <v>3786</v>
      </c>
      <c r="P70" s="5" t="s">
        <v>3783</v>
      </c>
      <c r="Q70" s="5">
        <v>1</v>
      </c>
      <c r="R70" s="5" t="str">
        <f t="shared" si="12"/>
        <v>Specialisation</v>
      </c>
      <c r="S70" s="5" t="s">
        <v>3790</v>
      </c>
      <c r="T70" s="4">
        <v>29814</v>
      </c>
      <c r="U70" s="5">
        <f t="shared" si="13"/>
        <v>1981</v>
      </c>
      <c r="V70" s="5" t="s">
        <v>3793</v>
      </c>
      <c r="W70" s="9">
        <f t="shared" si="10"/>
        <v>43</v>
      </c>
      <c r="X70" s="5" t="str">
        <f t="shared" si="14"/>
        <v>[40 - 44 ans]</v>
      </c>
      <c r="Y70" s="5" t="str">
        <f t="shared" si="15"/>
        <v xml:space="preserve"> Mellenials </v>
      </c>
      <c r="Z70" s="9">
        <f t="shared" si="16"/>
        <v>17</v>
      </c>
      <c r="AA70" s="5" t="str">
        <f t="shared" si="17"/>
        <v>RAS</v>
      </c>
      <c r="AB70" s="5" t="s">
        <v>3806</v>
      </c>
      <c r="AC70" s="6" t="s">
        <v>3799</v>
      </c>
      <c r="AE70" s="5" t="s">
        <v>3844</v>
      </c>
      <c r="AF70" s="5" t="s">
        <v>4482</v>
      </c>
      <c r="AG70" s="5" t="s">
        <v>4485</v>
      </c>
      <c r="AH70" s="5" t="s">
        <v>4487</v>
      </c>
      <c r="AI70" s="5" t="s">
        <v>4006</v>
      </c>
      <c r="AJ70" s="5" t="s">
        <v>4007</v>
      </c>
      <c r="AK70" s="5" t="s">
        <v>3937</v>
      </c>
      <c r="AL70" s="5" t="s">
        <v>3858</v>
      </c>
    </row>
    <row r="71" spans="1:38" x14ac:dyDescent="0.3">
      <c r="A71" s="4">
        <v>45716</v>
      </c>
      <c r="B71" s="5" t="s">
        <v>308</v>
      </c>
      <c r="C71" s="5" t="s">
        <v>309</v>
      </c>
      <c r="D71" s="5" t="s">
        <v>310</v>
      </c>
      <c r="E71" s="5" t="s">
        <v>4494</v>
      </c>
      <c r="G71" s="5" t="s">
        <v>29</v>
      </c>
      <c r="H71" s="5" t="s">
        <v>311</v>
      </c>
      <c r="I71" s="5" t="s">
        <v>3366</v>
      </c>
      <c r="J71" s="5" t="s">
        <v>157</v>
      </c>
      <c r="K71" s="4">
        <v>40198</v>
      </c>
      <c r="L71" s="4">
        <v>39630</v>
      </c>
      <c r="M71" s="9">
        <f t="shared" si="9"/>
        <v>16</v>
      </c>
      <c r="N71" s="4" t="str">
        <f t="shared" si="11"/>
        <v>] 15 ; +oo [</v>
      </c>
      <c r="O71" s="5" t="s">
        <v>3785</v>
      </c>
      <c r="P71" s="5" t="s">
        <v>3785</v>
      </c>
      <c r="Q71" s="5">
        <v>2</v>
      </c>
      <c r="R71" s="5" t="str">
        <f t="shared" si="12"/>
        <v>Specialisation</v>
      </c>
      <c r="S71" s="5" t="s">
        <v>3790</v>
      </c>
      <c r="T71" s="4">
        <v>29160</v>
      </c>
      <c r="U71" s="5">
        <f t="shared" si="13"/>
        <v>1979</v>
      </c>
      <c r="V71" s="5" t="s">
        <v>3793</v>
      </c>
      <c r="W71" s="9">
        <f t="shared" si="10"/>
        <v>45</v>
      </c>
      <c r="X71" s="5" t="str">
        <f t="shared" si="14"/>
        <v>[45 - 49 ans]</v>
      </c>
      <c r="Y71" s="5" t="str">
        <f t="shared" si="15"/>
        <v xml:space="preserve"> Generation X </v>
      </c>
      <c r="Z71" s="9">
        <f t="shared" si="16"/>
        <v>15</v>
      </c>
      <c r="AA71" s="5" t="str">
        <f t="shared" si="17"/>
        <v>RAS</v>
      </c>
      <c r="AB71" s="5" t="s">
        <v>3806</v>
      </c>
      <c r="AC71" s="6" t="s">
        <v>3799</v>
      </c>
      <c r="AE71" s="5" t="s">
        <v>3844</v>
      </c>
      <c r="AF71" s="5" t="s">
        <v>4481</v>
      </c>
      <c r="AG71" s="5" t="s">
        <v>4485</v>
      </c>
      <c r="AH71" s="5" t="s">
        <v>4487</v>
      </c>
      <c r="AI71" s="5" t="s">
        <v>4006</v>
      </c>
      <c r="AJ71" s="5" t="s">
        <v>4007</v>
      </c>
      <c r="AK71" s="5" t="s">
        <v>3937</v>
      </c>
      <c r="AL71" s="5" t="s">
        <v>3858</v>
      </c>
    </row>
    <row r="72" spans="1:38" x14ac:dyDescent="0.3">
      <c r="A72" s="4">
        <v>45716</v>
      </c>
      <c r="B72" s="5" t="s">
        <v>312</v>
      </c>
      <c r="C72" s="5" t="s">
        <v>313</v>
      </c>
      <c r="D72" s="5" t="s">
        <v>314</v>
      </c>
      <c r="E72" s="5" t="s">
        <v>4494</v>
      </c>
      <c r="G72" s="5" t="s">
        <v>24</v>
      </c>
      <c r="H72" s="5" t="s">
        <v>315</v>
      </c>
      <c r="I72" s="5" t="s">
        <v>23</v>
      </c>
      <c r="J72" s="5" t="s">
        <v>2841</v>
      </c>
      <c r="K72" s="4">
        <v>40183</v>
      </c>
      <c r="L72" s="4">
        <v>38565</v>
      </c>
      <c r="M72" s="9">
        <f t="shared" si="9"/>
        <v>19</v>
      </c>
      <c r="N72" s="4" t="str">
        <f t="shared" si="11"/>
        <v>] 15 ; +oo [</v>
      </c>
      <c r="O72" s="5" t="s">
        <v>3786</v>
      </c>
      <c r="P72" s="5" t="s">
        <v>3786</v>
      </c>
      <c r="Q72" s="5">
        <v>2</v>
      </c>
      <c r="R72" s="5" t="str">
        <f t="shared" si="12"/>
        <v>Specialisation</v>
      </c>
      <c r="S72" s="5" t="s">
        <v>3790</v>
      </c>
      <c r="T72" s="4">
        <v>30212</v>
      </c>
      <c r="U72" s="5">
        <f t="shared" si="13"/>
        <v>1982</v>
      </c>
      <c r="V72" s="5" t="s">
        <v>3794</v>
      </c>
      <c r="W72" s="9">
        <f t="shared" si="10"/>
        <v>42</v>
      </c>
      <c r="X72" s="5" t="str">
        <f t="shared" si="14"/>
        <v>[40 - 44 ans]</v>
      </c>
      <c r="Y72" s="5" t="str">
        <f t="shared" si="15"/>
        <v xml:space="preserve"> Mellenials </v>
      </c>
      <c r="Z72" s="9">
        <f t="shared" si="16"/>
        <v>18</v>
      </c>
      <c r="AA72" s="5" t="str">
        <f t="shared" si="17"/>
        <v>RAS</v>
      </c>
      <c r="AB72" s="5" t="s">
        <v>3805</v>
      </c>
      <c r="AC72" s="6" t="s">
        <v>3799</v>
      </c>
      <c r="AE72" s="5" t="s">
        <v>3844</v>
      </c>
      <c r="AF72" s="5" t="s">
        <v>4482</v>
      </c>
      <c r="AG72" s="5" t="s">
        <v>4485</v>
      </c>
      <c r="AH72" s="5" t="s">
        <v>4488</v>
      </c>
      <c r="AI72" s="5" t="s">
        <v>3851</v>
      </c>
      <c r="AJ72" s="5" t="s">
        <v>3852</v>
      </c>
      <c r="AK72" s="5" t="s">
        <v>3853</v>
      </c>
      <c r="AL72" s="5" t="s">
        <v>3858</v>
      </c>
    </row>
    <row r="73" spans="1:38" x14ac:dyDescent="0.3">
      <c r="A73" s="4">
        <v>45716</v>
      </c>
      <c r="B73" s="5" t="s">
        <v>316</v>
      </c>
      <c r="C73" s="5" t="s">
        <v>317</v>
      </c>
      <c r="D73" s="5" t="s">
        <v>318</v>
      </c>
      <c r="E73" s="5" t="s">
        <v>4494</v>
      </c>
      <c r="G73" s="5" t="s">
        <v>24</v>
      </c>
      <c r="H73" s="5" t="s">
        <v>319</v>
      </c>
      <c r="I73" s="5" t="s">
        <v>23</v>
      </c>
      <c r="J73" s="5" t="s">
        <v>1857</v>
      </c>
      <c r="K73" s="4">
        <v>40183</v>
      </c>
      <c r="L73" s="4">
        <v>39539</v>
      </c>
      <c r="M73" s="9">
        <f t="shared" si="9"/>
        <v>16</v>
      </c>
      <c r="N73" s="4" t="str">
        <f t="shared" si="11"/>
        <v>] 15 ; +oo [</v>
      </c>
      <c r="O73" s="5" t="s">
        <v>3782</v>
      </c>
      <c r="P73" s="5" t="s">
        <v>3784</v>
      </c>
      <c r="Q73" s="5">
        <v>1</v>
      </c>
      <c r="R73" s="5" t="str">
        <f t="shared" si="12"/>
        <v>Management &amp; Expertise</v>
      </c>
      <c r="S73" s="5" t="s">
        <v>3789</v>
      </c>
      <c r="T73" s="4">
        <v>30650</v>
      </c>
      <c r="U73" s="5">
        <f t="shared" si="13"/>
        <v>1983</v>
      </c>
      <c r="V73" s="5" t="s">
        <v>3793</v>
      </c>
      <c r="W73" s="9">
        <f t="shared" si="10"/>
        <v>41</v>
      </c>
      <c r="X73" s="5" t="str">
        <f t="shared" si="14"/>
        <v>[40 - 44 ans]</v>
      </c>
      <c r="Y73" s="5" t="str">
        <f t="shared" si="15"/>
        <v xml:space="preserve"> Mellenials </v>
      </c>
      <c r="Z73" s="9">
        <f t="shared" si="16"/>
        <v>19</v>
      </c>
      <c r="AA73" s="5" t="str">
        <f t="shared" si="17"/>
        <v>RAS</v>
      </c>
      <c r="AB73" s="5" t="s">
        <v>3810</v>
      </c>
      <c r="AC73" s="6" t="s">
        <v>3801</v>
      </c>
      <c r="AE73" s="5" t="s">
        <v>3845</v>
      </c>
      <c r="AF73" s="5" t="s">
        <v>4481</v>
      </c>
      <c r="AG73" s="5" t="s">
        <v>4485</v>
      </c>
      <c r="AH73" s="5" t="s">
        <v>4488</v>
      </c>
      <c r="AI73" s="5" t="s">
        <v>3851</v>
      </c>
      <c r="AJ73" s="5" t="s">
        <v>3852</v>
      </c>
      <c r="AK73" s="5" t="s">
        <v>3853</v>
      </c>
      <c r="AL73" s="5" t="s">
        <v>3854</v>
      </c>
    </row>
    <row r="74" spans="1:38" x14ac:dyDescent="0.3">
      <c r="A74" s="4">
        <v>45716</v>
      </c>
      <c r="B74" s="5" t="s">
        <v>320</v>
      </c>
      <c r="C74" s="5" t="s">
        <v>321</v>
      </c>
      <c r="D74" s="5" t="s">
        <v>322</v>
      </c>
      <c r="E74" s="5" t="s">
        <v>4494</v>
      </c>
      <c r="G74" s="5" t="s">
        <v>88</v>
      </c>
      <c r="H74" s="5" t="s">
        <v>323</v>
      </c>
      <c r="I74" s="5" t="s">
        <v>678</v>
      </c>
      <c r="J74" s="5" t="s">
        <v>182</v>
      </c>
      <c r="K74" s="4">
        <v>40203</v>
      </c>
      <c r="L74" s="4">
        <v>40203</v>
      </c>
      <c r="M74" s="9">
        <f t="shared" si="9"/>
        <v>15</v>
      </c>
      <c r="N74" s="4" t="str">
        <f t="shared" si="11"/>
        <v>] 10 ; 15 ]</v>
      </c>
      <c r="O74" s="5" t="s">
        <v>3782</v>
      </c>
      <c r="P74" s="5" t="s">
        <v>3784</v>
      </c>
      <c r="Q74" s="5">
        <v>1</v>
      </c>
      <c r="R74" s="5" t="str">
        <f t="shared" si="12"/>
        <v>Management &amp; Expertise</v>
      </c>
      <c r="S74" s="5" t="s">
        <v>3789</v>
      </c>
      <c r="T74" s="4">
        <v>28475</v>
      </c>
      <c r="U74" s="5">
        <f t="shared" si="13"/>
        <v>1977</v>
      </c>
      <c r="V74" s="5" t="s">
        <v>3793</v>
      </c>
      <c r="W74" s="9">
        <f t="shared" si="10"/>
        <v>47</v>
      </c>
      <c r="X74" s="5" t="str">
        <f t="shared" si="14"/>
        <v>[45 - 49 ans]</v>
      </c>
      <c r="Y74" s="5" t="str">
        <f t="shared" si="15"/>
        <v xml:space="preserve"> Generation X </v>
      </c>
      <c r="Z74" s="9">
        <f t="shared" si="16"/>
        <v>13</v>
      </c>
      <c r="AA74" s="5" t="str">
        <f t="shared" si="17"/>
        <v>RAS</v>
      </c>
      <c r="AB74" s="5" t="s">
        <v>3811</v>
      </c>
      <c r="AC74" s="6" t="s">
        <v>3801</v>
      </c>
      <c r="AE74" s="5" t="s">
        <v>3846</v>
      </c>
      <c r="AF74" s="5" t="s">
        <v>4481</v>
      </c>
      <c r="AG74" s="5" t="s">
        <v>4485</v>
      </c>
      <c r="AH74" s="5" t="s">
        <v>4488</v>
      </c>
      <c r="AI74" s="5" t="s">
        <v>4008</v>
      </c>
      <c r="AJ74" s="5" t="s">
        <v>4009</v>
      </c>
      <c r="AK74" s="5" t="s">
        <v>4010</v>
      </c>
      <c r="AL74" s="5" t="s">
        <v>3858</v>
      </c>
    </row>
    <row r="75" spans="1:38" x14ac:dyDescent="0.3">
      <c r="A75" s="4">
        <v>45716</v>
      </c>
      <c r="B75" s="5" t="s">
        <v>324</v>
      </c>
      <c r="C75" s="5" t="s">
        <v>325</v>
      </c>
      <c r="D75" s="5" t="s">
        <v>326</v>
      </c>
      <c r="E75" s="5" t="s">
        <v>4494</v>
      </c>
      <c r="G75" s="5" t="s">
        <v>39</v>
      </c>
      <c r="H75" s="5" t="s">
        <v>327</v>
      </c>
      <c r="I75" s="5" t="s">
        <v>3770</v>
      </c>
      <c r="J75" s="5" t="s">
        <v>120</v>
      </c>
      <c r="K75" s="4">
        <v>40203</v>
      </c>
      <c r="L75" s="4">
        <v>40203</v>
      </c>
      <c r="M75" s="9">
        <f t="shared" si="9"/>
        <v>15</v>
      </c>
      <c r="N75" s="4" t="str">
        <f t="shared" si="11"/>
        <v>] 10 ; 15 ]</v>
      </c>
      <c r="O75" s="5" t="s">
        <v>3785</v>
      </c>
      <c r="P75" s="5" t="s">
        <v>3785</v>
      </c>
      <c r="Q75" s="5">
        <v>1</v>
      </c>
      <c r="R75" s="5" t="str">
        <f t="shared" si="12"/>
        <v>Specialisation</v>
      </c>
      <c r="S75" s="5" t="s">
        <v>3789</v>
      </c>
      <c r="T75" s="4">
        <v>30423</v>
      </c>
      <c r="U75" s="5">
        <f t="shared" si="13"/>
        <v>1983</v>
      </c>
      <c r="V75" s="5" t="s">
        <v>3793</v>
      </c>
      <c r="W75" s="9">
        <f t="shared" si="10"/>
        <v>41</v>
      </c>
      <c r="X75" s="5" t="str">
        <f t="shared" si="14"/>
        <v>[40 - 44 ans]</v>
      </c>
      <c r="Y75" s="5" t="str">
        <f t="shared" si="15"/>
        <v xml:space="preserve"> Mellenials </v>
      </c>
      <c r="Z75" s="9">
        <f t="shared" si="16"/>
        <v>19</v>
      </c>
      <c r="AA75" s="5" t="str">
        <f t="shared" si="17"/>
        <v>RAS</v>
      </c>
      <c r="AB75" s="5" t="s">
        <v>3807</v>
      </c>
      <c r="AC75" s="6" t="s">
        <v>3799</v>
      </c>
      <c r="AE75" s="5" t="s">
        <v>3844</v>
      </c>
      <c r="AF75" s="5" t="s">
        <v>4481</v>
      </c>
      <c r="AG75" s="5" t="s">
        <v>4485</v>
      </c>
      <c r="AH75" s="5" t="s">
        <v>4489</v>
      </c>
      <c r="AI75" s="5" t="s">
        <v>4011</v>
      </c>
      <c r="AJ75" s="5" t="s">
        <v>4012</v>
      </c>
      <c r="AK75" s="5" t="s">
        <v>3959</v>
      </c>
      <c r="AL75" s="5" t="s">
        <v>3858</v>
      </c>
    </row>
    <row r="76" spans="1:38" x14ac:dyDescent="0.3">
      <c r="A76" s="4">
        <v>45716</v>
      </c>
      <c r="B76" s="5" t="s">
        <v>328</v>
      </c>
      <c r="C76" s="5" t="s">
        <v>329</v>
      </c>
      <c r="D76" s="5" t="s">
        <v>330</v>
      </c>
      <c r="E76" s="5" t="s">
        <v>4494</v>
      </c>
      <c r="G76" s="5" t="s">
        <v>39</v>
      </c>
      <c r="H76" s="5" t="s">
        <v>331</v>
      </c>
      <c r="I76" s="5" t="s">
        <v>1268</v>
      </c>
      <c r="J76" s="5" t="s">
        <v>52</v>
      </c>
      <c r="K76" s="4">
        <v>40203</v>
      </c>
      <c r="L76" s="4">
        <v>40203</v>
      </c>
      <c r="M76" s="9">
        <f t="shared" si="9"/>
        <v>15</v>
      </c>
      <c r="N76" s="4" t="str">
        <f t="shared" si="11"/>
        <v>] 10 ; 15 ]</v>
      </c>
      <c r="O76" s="5" t="s">
        <v>3786</v>
      </c>
      <c r="P76" s="5" t="s">
        <v>3786</v>
      </c>
      <c r="Q76" s="5">
        <v>1</v>
      </c>
      <c r="R76" s="5" t="str">
        <f t="shared" si="12"/>
        <v>Specialisation</v>
      </c>
      <c r="S76" s="5" t="s">
        <v>3789</v>
      </c>
      <c r="T76" s="4">
        <v>26892</v>
      </c>
      <c r="U76" s="5">
        <f t="shared" si="13"/>
        <v>1973</v>
      </c>
      <c r="V76" s="5" t="s">
        <v>3793</v>
      </c>
      <c r="W76" s="9">
        <f t="shared" si="10"/>
        <v>51</v>
      </c>
      <c r="X76" s="5" t="str">
        <f t="shared" si="14"/>
        <v>[50 ans, +oo [</v>
      </c>
      <c r="Y76" s="5" t="str">
        <f t="shared" si="15"/>
        <v xml:space="preserve"> Generation X </v>
      </c>
      <c r="Z76" s="9">
        <f t="shared" si="16"/>
        <v>9</v>
      </c>
      <c r="AA76" s="5" t="str">
        <f t="shared" si="17"/>
        <v>RAS</v>
      </c>
      <c r="AB76" s="5" t="s">
        <v>3807</v>
      </c>
      <c r="AC76" s="6" t="s">
        <v>3799</v>
      </c>
      <c r="AE76" s="5" t="s">
        <v>3844</v>
      </c>
      <c r="AF76" s="5" t="s">
        <v>4482</v>
      </c>
      <c r="AG76" s="5" t="s">
        <v>4485</v>
      </c>
      <c r="AH76" s="5" t="s">
        <v>4489</v>
      </c>
      <c r="AI76" s="5" t="s">
        <v>4013</v>
      </c>
      <c r="AJ76" s="5" t="s">
        <v>4014</v>
      </c>
      <c r="AK76" s="5" t="s">
        <v>4015</v>
      </c>
      <c r="AL76" s="5" t="s">
        <v>3858</v>
      </c>
    </row>
    <row r="77" spans="1:38" x14ac:dyDescent="0.3">
      <c r="A77" s="4">
        <v>45716</v>
      </c>
      <c r="B77" s="5" t="s">
        <v>332</v>
      </c>
      <c r="C77" s="5" t="s">
        <v>333</v>
      </c>
      <c r="D77" s="5" t="s">
        <v>334</v>
      </c>
      <c r="E77" s="5" t="s">
        <v>4494</v>
      </c>
      <c r="G77" s="5" t="s">
        <v>39</v>
      </c>
      <c r="H77" s="5" t="s">
        <v>335</v>
      </c>
      <c r="I77" s="5" t="s">
        <v>1372</v>
      </c>
      <c r="J77" s="5" t="s">
        <v>1372</v>
      </c>
      <c r="K77" s="4">
        <v>40203</v>
      </c>
      <c r="L77" s="4">
        <v>40203</v>
      </c>
      <c r="M77" s="9">
        <f t="shared" si="9"/>
        <v>15</v>
      </c>
      <c r="N77" s="4" t="str">
        <f t="shared" si="11"/>
        <v>] 10 ; 15 ]</v>
      </c>
      <c r="O77" s="5" t="s">
        <v>3782</v>
      </c>
      <c r="P77" s="5" t="s">
        <v>3782</v>
      </c>
      <c r="Q77" s="5">
        <v>2</v>
      </c>
      <c r="R77" s="5" t="str">
        <f t="shared" si="12"/>
        <v>Management &amp; Expertise</v>
      </c>
      <c r="S77" s="5" t="s">
        <v>3789</v>
      </c>
      <c r="T77" s="4">
        <v>30202</v>
      </c>
      <c r="U77" s="5">
        <f t="shared" si="13"/>
        <v>1982</v>
      </c>
      <c r="V77" s="5" t="s">
        <v>3793</v>
      </c>
      <c r="W77" s="9">
        <f t="shared" si="10"/>
        <v>42</v>
      </c>
      <c r="X77" s="5" t="str">
        <f t="shared" si="14"/>
        <v>[40 - 44 ans]</v>
      </c>
      <c r="Y77" s="5" t="str">
        <f t="shared" si="15"/>
        <v xml:space="preserve"> Mellenials </v>
      </c>
      <c r="Z77" s="9">
        <f t="shared" si="16"/>
        <v>18</v>
      </c>
      <c r="AA77" s="5" t="str">
        <f t="shared" si="17"/>
        <v>RAS</v>
      </c>
      <c r="AB77" s="5" t="s">
        <v>3805</v>
      </c>
      <c r="AC77" s="6" t="s">
        <v>3799</v>
      </c>
      <c r="AE77" s="5" t="s">
        <v>3844</v>
      </c>
      <c r="AF77" s="5" t="s">
        <v>4481</v>
      </c>
      <c r="AG77" s="5" t="s">
        <v>4485</v>
      </c>
      <c r="AH77" s="5" t="s">
        <v>4489</v>
      </c>
      <c r="AI77" s="5" t="s">
        <v>4016</v>
      </c>
      <c r="AJ77" s="5" t="s">
        <v>4017</v>
      </c>
      <c r="AK77" s="5" t="s">
        <v>4018</v>
      </c>
      <c r="AL77" s="5" t="s">
        <v>3858</v>
      </c>
    </row>
    <row r="78" spans="1:38" x14ac:dyDescent="0.3">
      <c r="A78" s="4">
        <v>45716</v>
      </c>
      <c r="B78" s="5" t="s">
        <v>336</v>
      </c>
      <c r="C78" s="5" t="s">
        <v>337</v>
      </c>
      <c r="D78" s="5" t="s">
        <v>338</v>
      </c>
      <c r="E78" s="5" t="s">
        <v>4494</v>
      </c>
      <c r="G78" s="5" t="s">
        <v>39</v>
      </c>
      <c r="H78" s="5" t="s">
        <v>339</v>
      </c>
      <c r="I78" s="5" t="s">
        <v>1268</v>
      </c>
      <c r="J78" s="5" t="s">
        <v>52</v>
      </c>
      <c r="K78" s="4">
        <v>40203</v>
      </c>
      <c r="L78" s="4">
        <v>40203</v>
      </c>
      <c r="M78" s="9">
        <f t="shared" si="9"/>
        <v>15</v>
      </c>
      <c r="N78" s="4" t="str">
        <f t="shared" si="11"/>
        <v>] 10 ; 15 ]</v>
      </c>
      <c r="O78" s="5" t="s">
        <v>3780</v>
      </c>
      <c r="P78" s="5" t="s">
        <v>3783</v>
      </c>
      <c r="Q78" s="5">
        <v>1</v>
      </c>
      <c r="R78" s="5" t="str">
        <f t="shared" si="12"/>
        <v>Qualification</v>
      </c>
      <c r="S78" s="5" t="s">
        <v>3789</v>
      </c>
      <c r="T78" s="4">
        <v>30712</v>
      </c>
      <c r="U78" s="5">
        <f t="shared" si="13"/>
        <v>1984</v>
      </c>
      <c r="V78" s="5" t="s">
        <v>3793</v>
      </c>
      <c r="W78" s="9">
        <f t="shared" si="10"/>
        <v>41</v>
      </c>
      <c r="X78" s="5" t="str">
        <f t="shared" si="14"/>
        <v>[40 - 44 ans]</v>
      </c>
      <c r="Y78" s="5" t="str">
        <f t="shared" si="15"/>
        <v xml:space="preserve"> Mellenials </v>
      </c>
      <c r="Z78" s="9">
        <f t="shared" si="16"/>
        <v>19</v>
      </c>
      <c r="AA78" s="5" t="str">
        <f t="shared" si="17"/>
        <v>RAS</v>
      </c>
      <c r="AB78" s="5" t="s">
        <v>3807</v>
      </c>
      <c r="AC78" s="6" t="s">
        <v>3799</v>
      </c>
      <c r="AE78" s="5" t="s">
        <v>3844</v>
      </c>
      <c r="AF78" s="5" t="s">
        <v>4482</v>
      </c>
      <c r="AG78" s="5" t="s">
        <v>4485</v>
      </c>
      <c r="AH78" s="5" t="s">
        <v>4489</v>
      </c>
      <c r="AI78" s="5" t="s">
        <v>4013</v>
      </c>
      <c r="AJ78" s="5" t="s">
        <v>4014</v>
      </c>
      <c r="AK78" s="5" t="s">
        <v>4015</v>
      </c>
      <c r="AL78" s="5" t="s">
        <v>3858</v>
      </c>
    </row>
    <row r="79" spans="1:38" x14ac:dyDescent="0.3">
      <c r="A79" s="4">
        <v>45716</v>
      </c>
      <c r="B79" s="5" t="s">
        <v>340</v>
      </c>
      <c r="C79" s="5" t="s">
        <v>341</v>
      </c>
      <c r="D79" s="5" t="s">
        <v>342</v>
      </c>
      <c r="E79" s="5" t="s">
        <v>4494</v>
      </c>
      <c r="G79" s="5" t="s">
        <v>44</v>
      </c>
      <c r="H79" s="5" t="s">
        <v>343</v>
      </c>
      <c r="I79" s="5" t="s">
        <v>92</v>
      </c>
      <c r="J79" s="5" t="s">
        <v>2337</v>
      </c>
      <c r="K79" s="4">
        <v>40203</v>
      </c>
      <c r="L79" s="4">
        <v>40203</v>
      </c>
      <c r="M79" s="9">
        <f t="shared" si="9"/>
        <v>15</v>
      </c>
      <c r="N79" s="4" t="str">
        <f t="shared" si="11"/>
        <v>] 10 ; 15 ]</v>
      </c>
      <c r="O79" s="5" t="s">
        <v>3782</v>
      </c>
      <c r="P79" s="5" t="s">
        <v>3782</v>
      </c>
      <c r="Q79" s="5">
        <v>2</v>
      </c>
      <c r="R79" s="5" t="str">
        <f t="shared" si="12"/>
        <v>Management &amp; Expertise</v>
      </c>
      <c r="S79" s="5" t="s">
        <v>3790</v>
      </c>
      <c r="T79" s="4">
        <v>29570</v>
      </c>
      <c r="U79" s="5">
        <f t="shared" si="13"/>
        <v>1980</v>
      </c>
      <c r="V79" s="5" t="s">
        <v>3793</v>
      </c>
      <c r="W79" s="9">
        <f t="shared" si="10"/>
        <v>44</v>
      </c>
      <c r="X79" s="5" t="str">
        <f t="shared" si="14"/>
        <v>[40 - 44 ans]</v>
      </c>
      <c r="Y79" s="5" t="str">
        <f t="shared" si="15"/>
        <v xml:space="preserve"> Generation X </v>
      </c>
      <c r="Z79" s="9">
        <f t="shared" si="16"/>
        <v>16</v>
      </c>
      <c r="AA79" s="5" t="str">
        <f t="shared" si="17"/>
        <v>RAS</v>
      </c>
      <c r="AB79" s="5" t="s">
        <v>3806</v>
      </c>
      <c r="AC79" s="6" t="s">
        <v>3799</v>
      </c>
      <c r="AE79" s="5" t="s">
        <v>3845</v>
      </c>
      <c r="AF79" s="5" t="s">
        <v>4481</v>
      </c>
      <c r="AG79" s="5" t="s">
        <v>4485</v>
      </c>
      <c r="AH79" s="5" t="s">
        <v>4487</v>
      </c>
      <c r="AI79" s="5" t="s">
        <v>4019</v>
      </c>
      <c r="AJ79" s="5" t="s">
        <v>4020</v>
      </c>
      <c r="AK79" s="5" t="s">
        <v>3900</v>
      </c>
      <c r="AL79" s="5" t="s">
        <v>3854</v>
      </c>
    </row>
    <row r="80" spans="1:38" x14ac:dyDescent="0.3">
      <c r="A80" s="4">
        <v>45716</v>
      </c>
      <c r="B80" s="5" t="s">
        <v>344</v>
      </c>
      <c r="C80" s="5" t="s">
        <v>345</v>
      </c>
      <c r="D80" s="5" t="s">
        <v>346</v>
      </c>
      <c r="E80" s="5" t="s">
        <v>4494</v>
      </c>
      <c r="G80" s="5" t="s">
        <v>83</v>
      </c>
      <c r="H80" s="5" t="s">
        <v>347</v>
      </c>
      <c r="I80" s="5" t="s">
        <v>82</v>
      </c>
      <c r="J80" s="5" t="s">
        <v>2841</v>
      </c>
      <c r="K80" s="4">
        <v>40182</v>
      </c>
      <c r="L80" s="4">
        <v>40182</v>
      </c>
      <c r="M80" s="9">
        <f t="shared" si="9"/>
        <v>15</v>
      </c>
      <c r="N80" s="4" t="str">
        <f t="shared" si="11"/>
        <v>] 10 ; 15 ]</v>
      </c>
      <c r="O80" s="5" t="s">
        <v>3784</v>
      </c>
      <c r="P80" s="5" t="s">
        <v>3784</v>
      </c>
      <c r="Q80" s="5">
        <v>1</v>
      </c>
      <c r="R80" s="5" t="str">
        <f t="shared" si="12"/>
        <v>Management &amp; Expertise</v>
      </c>
      <c r="S80" s="5" t="s">
        <v>3789</v>
      </c>
      <c r="T80" s="4">
        <v>29694</v>
      </c>
      <c r="U80" s="5">
        <f t="shared" si="13"/>
        <v>1981</v>
      </c>
      <c r="V80" s="5" t="s">
        <v>3793</v>
      </c>
      <c r="W80" s="9">
        <f t="shared" si="10"/>
        <v>43</v>
      </c>
      <c r="X80" s="5" t="str">
        <f t="shared" si="14"/>
        <v>[40 - 44 ans]</v>
      </c>
      <c r="Y80" s="5" t="str">
        <f t="shared" si="15"/>
        <v xml:space="preserve"> Mellenials </v>
      </c>
      <c r="Z80" s="9">
        <f t="shared" si="16"/>
        <v>17</v>
      </c>
      <c r="AA80" s="5" t="str">
        <f t="shared" si="17"/>
        <v>RAS</v>
      </c>
      <c r="AB80" s="5" t="s">
        <v>3807</v>
      </c>
      <c r="AC80" s="6" t="s">
        <v>3799</v>
      </c>
      <c r="AE80" s="5" t="s">
        <v>3845</v>
      </c>
      <c r="AF80" s="5" t="s">
        <v>4481</v>
      </c>
      <c r="AG80" s="5" t="s">
        <v>4485</v>
      </c>
      <c r="AH80" s="5" t="s">
        <v>4489</v>
      </c>
      <c r="AI80" s="5" t="s">
        <v>4021</v>
      </c>
      <c r="AJ80" s="5" t="s">
        <v>4022</v>
      </c>
      <c r="AK80" s="5">
        <v>13154</v>
      </c>
      <c r="AL80" s="5" t="s">
        <v>3854</v>
      </c>
    </row>
    <row r="81" spans="1:38" x14ac:dyDescent="0.3">
      <c r="A81" s="4">
        <v>45716</v>
      </c>
      <c r="B81" s="5" t="s">
        <v>348</v>
      </c>
      <c r="C81" s="5" t="s">
        <v>349</v>
      </c>
      <c r="D81" s="5" t="s">
        <v>350</v>
      </c>
      <c r="E81" s="5" t="s">
        <v>4494</v>
      </c>
      <c r="G81" s="5" t="s">
        <v>24</v>
      </c>
      <c r="H81" s="5" t="s">
        <v>351</v>
      </c>
      <c r="I81" s="5" t="s">
        <v>23</v>
      </c>
      <c r="J81" s="5" t="s">
        <v>1857</v>
      </c>
      <c r="K81" s="4">
        <v>40087</v>
      </c>
      <c r="L81" s="4">
        <v>38719</v>
      </c>
      <c r="M81" s="9">
        <f t="shared" si="9"/>
        <v>19</v>
      </c>
      <c r="N81" s="4" t="str">
        <f t="shared" si="11"/>
        <v>] 15 ; +oo [</v>
      </c>
      <c r="O81" s="5" t="s">
        <v>3782</v>
      </c>
      <c r="P81" s="5" t="s">
        <v>3782</v>
      </c>
      <c r="Q81" s="5">
        <v>2</v>
      </c>
      <c r="R81" s="5" t="str">
        <f t="shared" si="12"/>
        <v>Management &amp; Expertise</v>
      </c>
      <c r="S81" s="5" t="s">
        <v>3790</v>
      </c>
      <c r="T81" s="4">
        <v>29431</v>
      </c>
      <c r="U81" s="5">
        <f t="shared" si="13"/>
        <v>1980</v>
      </c>
      <c r="V81" s="5" t="s">
        <v>3792</v>
      </c>
      <c r="W81" s="9">
        <f t="shared" si="10"/>
        <v>44</v>
      </c>
      <c r="X81" s="5" t="str">
        <f t="shared" si="14"/>
        <v>[40 - 44 ans]</v>
      </c>
      <c r="Y81" s="5" t="str">
        <f t="shared" si="15"/>
        <v xml:space="preserve"> Generation X </v>
      </c>
      <c r="Z81" s="9">
        <f t="shared" si="16"/>
        <v>16</v>
      </c>
      <c r="AA81" s="5" t="str">
        <f t="shared" si="17"/>
        <v>RAS</v>
      </c>
      <c r="AB81" s="5" t="s">
        <v>3805</v>
      </c>
      <c r="AC81" s="6" t="s">
        <v>3799</v>
      </c>
      <c r="AE81" s="5" t="s">
        <v>3844</v>
      </c>
      <c r="AF81" s="5" t="s">
        <v>4481</v>
      </c>
      <c r="AG81" s="5" t="s">
        <v>4485</v>
      </c>
      <c r="AH81" s="5" t="s">
        <v>4488</v>
      </c>
      <c r="AI81" s="5" t="s">
        <v>3851</v>
      </c>
      <c r="AJ81" s="5" t="s">
        <v>3852</v>
      </c>
      <c r="AK81" s="5" t="s">
        <v>3853</v>
      </c>
      <c r="AL81" s="5" t="s">
        <v>3858</v>
      </c>
    </row>
    <row r="82" spans="1:38" x14ac:dyDescent="0.3">
      <c r="A82" s="4">
        <v>45716</v>
      </c>
      <c r="B82" s="5" t="s">
        <v>352</v>
      </c>
      <c r="C82" s="5" t="s">
        <v>353</v>
      </c>
      <c r="D82" s="5" t="s">
        <v>354</v>
      </c>
      <c r="E82" s="5" t="s">
        <v>4494</v>
      </c>
      <c r="G82" s="5" t="s">
        <v>39</v>
      </c>
      <c r="H82" s="5" t="s">
        <v>355</v>
      </c>
      <c r="I82" s="5" t="s">
        <v>1899</v>
      </c>
      <c r="J82" s="5" t="s">
        <v>2821</v>
      </c>
      <c r="K82" s="4">
        <v>40182</v>
      </c>
      <c r="L82" s="4">
        <v>37043</v>
      </c>
      <c r="M82" s="9">
        <f t="shared" si="9"/>
        <v>23</v>
      </c>
      <c r="N82" s="4" t="str">
        <f t="shared" si="11"/>
        <v>] 15 ; +oo [</v>
      </c>
      <c r="O82" s="5" t="s">
        <v>3784</v>
      </c>
      <c r="P82" s="5" t="s">
        <v>3784</v>
      </c>
      <c r="Q82" s="5">
        <v>2</v>
      </c>
      <c r="R82" s="5" t="str">
        <f t="shared" si="12"/>
        <v>Management &amp; Expertise</v>
      </c>
      <c r="S82" s="5" t="s">
        <v>3789</v>
      </c>
      <c r="T82" s="4">
        <v>25404</v>
      </c>
      <c r="U82" s="5">
        <f t="shared" si="13"/>
        <v>1969</v>
      </c>
      <c r="V82" s="5" t="s">
        <v>3793</v>
      </c>
      <c r="W82" s="9">
        <f t="shared" si="10"/>
        <v>55</v>
      </c>
      <c r="X82" s="5" t="str">
        <f t="shared" si="14"/>
        <v>[50 ans, +oo [</v>
      </c>
      <c r="Y82" s="5" t="str">
        <f t="shared" si="15"/>
        <v xml:space="preserve"> Generation X </v>
      </c>
      <c r="Z82" s="9">
        <f t="shared" si="16"/>
        <v>5</v>
      </c>
      <c r="AA82" s="5" t="str">
        <f t="shared" si="17"/>
        <v>Départ à la Retraite 5ans</v>
      </c>
      <c r="AB82" s="5" t="s">
        <v>3805</v>
      </c>
      <c r="AC82" s="6" t="s">
        <v>3799</v>
      </c>
      <c r="AE82" s="5" t="s">
        <v>3845</v>
      </c>
      <c r="AF82" s="5" t="s">
        <v>4481</v>
      </c>
      <c r="AG82" s="5" t="s">
        <v>4485</v>
      </c>
      <c r="AH82" s="5" t="s">
        <v>4489</v>
      </c>
      <c r="AI82" s="5" t="s">
        <v>4023</v>
      </c>
      <c r="AJ82" s="5" t="s">
        <v>4024</v>
      </c>
      <c r="AK82" s="5" t="s">
        <v>4025</v>
      </c>
      <c r="AL82" s="5" t="s">
        <v>3854</v>
      </c>
    </row>
    <row r="83" spans="1:38" x14ac:dyDescent="0.3">
      <c r="A83" s="4">
        <v>45716</v>
      </c>
      <c r="B83" s="5" t="s">
        <v>356</v>
      </c>
      <c r="C83" s="5" t="s">
        <v>357</v>
      </c>
      <c r="D83" s="5" t="s">
        <v>358</v>
      </c>
      <c r="E83" s="5" t="s">
        <v>4494</v>
      </c>
      <c r="G83" s="5" t="s">
        <v>39</v>
      </c>
      <c r="H83" s="5" t="s">
        <v>4510</v>
      </c>
      <c r="I83" s="5" t="s">
        <v>3203</v>
      </c>
      <c r="J83" s="5" t="s">
        <v>1218</v>
      </c>
      <c r="K83" s="4">
        <v>40182</v>
      </c>
      <c r="L83" s="4">
        <v>39767.041666666664</v>
      </c>
      <c r="M83" s="9">
        <f t="shared" si="9"/>
        <v>16</v>
      </c>
      <c r="N83" s="4" t="str">
        <f t="shared" si="11"/>
        <v>] 15 ; +oo [</v>
      </c>
      <c r="O83" s="5" t="s">
        <v>3782</v>
      </c>
      <c r="P83" s="5" t="s">
        <v>3782</v>
      </c>
      <c r="Q83" s="5">
        <v>2</v>
      </c>
      <c r="R83" s="5" t="str">
        <f t="shared" si="12"/>
        <v>Management &amp; Expertise</v>
      </c>
      <c r="S83" s="5" t="s">
        <v>3789</v>
      </c>
      <c r="T83" s="4">
        <v>29920</v>
      </c>
      <c r="U83" s="5">
        <f t="shared" si="13"/>
        <v>1981</v>
      </c>
      <c r="V83" s="5" t="s">
        <v>3793</v>
      </c>
      <c r="W83" s="9">
        <f t="shared" si="10"/>
        <v>43</v>
      </c>
      <c r="X83" s="5" t="str">
        <f t="shared" si="14"/>
        <v>[40 - 44 ans]</v>
      </c>
      <c r="Y83" s="5" t="str">
        <f t="shared" si="15"/>
        <v xml:space="preserve"> Mellenials </v>
      </c>
      <c r="Z83" s="9">
        <f t="shared" si="16"/>
        <v>17</v>
      </c>
      <c r="AA83" s="5" t="str">
        <f t="shared" si="17"/>
        <v>RAS</v>
      </c>
      <c r="AB83" s="5" t="s">
        <v>3807</v>
      </c>
      <c r="AC83" s="6" t="s">
        <v>3799</v>
      </c>
      <c r="AE83" s="5" t="s">
        <v>3844</v>
      </c>
      <c r="AF83" s="5" t="s">
        <v>4481</v>
      </c>
      <c r="AG83" s="5" t="s">
        <v>4485</v>
      </c>
      <c r="AH83" s="5" t="s">
        <v>4489</v>
      </c>
      <c r="AI83" s="5" t="s">
        <v>4026</v>
      </c>
      <c r="AJ83" s="5" t="s">
        <v>4027</v>
      </c>
      <c r="AK83" s="5">
        <v>14100</v>
      </c>
      <c r="AL83" s="5" t="s">
        <v>3858</v>
      </c>
    </row>
    <row r="84" spans="1:38" x14ac:dyDescent="0.3">
      <c r="A84" s="4">
        <v>45716</v>
      </c>
      <c r="B84" s="5" t="s">
        <v>359</v>
      </c>
      <c r="C84" s="5" t="s">
        <v>360</v>
      </c>
      <c r="D84" s="5" t="s">
        <v>361</v>
      </c>
      <c r="E84" s="5" t="s">
        <v>4494</v>
      </c>
      <c r="G84" s="5" t="s">
        <v>39</v>
      </c>
      <c r="H84" s="5" t="s">
        <v>362</v>
      </c>
      <c r="I84" s="5" t="s">
        <v>2944</v>
      </c>
      <c r="J84" s="5" t="s">
        <v>397</v>
      </c>
      <c r="K84" s="4">
        <v>40182</v>
      </c>
      <c r="L84" s="4">
        <v>38504</v>
      </c>
      <c r="M84" s="9">
        <f t="shared" si="9"/>
        <v>19</v>
      </c>
      <c r="N84" s="4" t="str">
        <f t="shared" si="11"/>
        <v>] 15 ; +oo [</v>
      </c>
      <c r="O84" s="5" t="s">
        <v>3786</v>
      </c>
      <c r="P84" s="5" t="s">
        <v>3783</v>
      </c>
      <c r="Q84" s="5">
        <v>1</v>
      </c>
      <c r="R84" s="5" t="str">
        <f t="shared" si="12"/>
        <v>Specialisation</v>
      </c>
      <c r="S84" s="5" t="s">
        <v>3790</v>
      </c>
      <c r="T84" s="4">
        <v>30025</v>
      </c>
      <c r="U84" s="5">
        <f t="shared" si="13"/>
        <v>1982</v>
      </c>
      <c r="V84" s="5" t="s">
        <v>3793</v>
      </c>
      <c r="W84" s="9">
        <f t="shared" si="10"/>
        <v>42</v>
      </c>
      <c r="X84" s="5" t="str">
        <f t="shared" si="14"/>
        <v>[40 - 44 ans]</v>
      </c>
      <c r="Y84" s="5" t="str">
        <f t="shared" si="15"/>
        <v xml:space="preserve"> Mellenials </v>
      </c>
      <c r="Z84" s="9">
        <f t="shared" si="16"/>
        <v>18</v>
      </c>
      <c r="AA84" s="5" t="str">
        <f t="shared" si="17"/>
        <v>RAS</v>
      </c>
      <c r="AB84" s="5" t="s">
        <v>3807</v>
      </c>
      <c r="AC84" s="6" t="s">
        <v>3799</v>
      </c>
      <c r="AE84" s="5" t="s">
        <v>3844</v>
      </c>
      <c r="AF84" s="5" t="s">
        <v>4482</v>
      </c>
      <c r="AG84" s="5" t="s">
        <v>4485</v>
      </c>
      <c r="AH84" s="5" t="s">
        <v>4489</v>
      </c>
      <c r="AI84" s="5" t="s">
        <v>4028</v>
      </c>
      <c r="AJ84" s="5" t="s">
        <v>4029</v>
      </c>
      <c r="AK84" s="5" t="s">
        <v>4030</v>
      </c>
      <c r="AL84" s="5" t="s">
        <v>3858</v>
      </c>
    </row>
    <row r="85" spans="1:38" x14ac:dyDescent="0.3">
      <c r="A85" s="4">
        <v>45716</v>
      </c>
      <c r="B85" s="5" t="s">
        <v>363</v>
      </c>
      <c r="C85" s="5" t="s">
        <v>364</v>
      </c>
      <c r="D85" s="5" t="s">
        <v>365</v>
      </c>
      <c r="E85" s="5" t="s">
        <v>4494</v>
      </c>
      <c r="G85" s="5" t="s">
        <v>44</v>
      </c>
      <c r="H85" s="5" t="s">
        <v>366</v>
      </c>
      <c r="I85" s="5" t="s">
        <v>1888</v>
      </c>
      <c r="J85" s="5" t="s">
        <v>92</v>
      </c>
      <c r="K85" s="4">
        <v>40210</v>
      </c>
      <c r="L85" s="4">
        <v>40210</v>
      </c>
      <c r="M85" s="9">
        <f t="shared" si="9"/>
        <v>15</v>
      </c>
      <c r="N85" s="4" t="str">
        <f t="shared" si="11"/>
        <v>] 10 ; 15 ]</v>
      </c>
      <c r="O85" s="5" t="s">
        <v>3785</v>
      </c>
      <c r="P85" s="5" t="s">
        <v>3785</v>
      </c>
      <c r="Q85" s="5">
        <v>2</v>
      </c>
      <c r="R85" s="5" t="str">
        <f t="shared" si="12"/>
        <v>Specialisation</v>
      </c>
      <c r="S85" s="5" t="s">
        <v>3790</v>
      </c>
      <c r="T85" s="4">
        <v>27864</v>
      </c>
      <c r="U85" s="5">
        <f t="shared" si="13"/>
        <v>1976</v>
      </c>
      <c r="V85" s="5" t="s">
        <v>3793</v>
      </c>
      <c r="W85" s="9">
        <f t="shared" si="10"/>
        <v>48</v>
      </c>
      <c r="X85" s="5" t="str">
        <f t="shared" si="14"/>
        <v>[45 - 49 ans]</v>
      </c>
      <c r="Y85" s="5" t="str">
        <f t="shared" si="15"/>
        <v xml:space="preserve"> Generation X </v>
      </c>
      <c r="Z85" s="9">
        <f t="shared" si="16"/>
        <v>12</v>
      </c>
      <c r="AA85" s="5" t="str">
        <f t="shared" si="17"/>
        <v>RAS</v>
      </c>
      <c r="AB85" s="5" t="s">
        <v>3806</v>
      </c>
      <c r="AC85" s="6" t="s">
        <v>3799</v>
      </c>
      <c r="AE85" s="5" t="s">
        <v>3845</v>
      </c>
      <c r="AF85" s="5" t="s">
        <v>4481</v>
      </c>
      <c r="AG85" s="5" t="s">
        <v>4485</v>
      </c>
      <c r="AH85" s="5" t="s">
        <v>4487</v>
      </c>
      <c r="AI85" s="5" t="s">
        <v>4004</v>
      </c>
      <c r="AJ85" s="5" t="s">
        <v>4005</v>
      </c>
      <c r="AK85" s="5" t="s">
        <v>3900</v>
      </c>
      <c r="AL85" s="5" t="s">
        <v>3854</v>
      </c>
    </row>
    <row r="86" spans="1:38" x14ac:dyDescent="0.3">
      <c r="A86" s="4">
        <v>45716</v>
      </c>
      <c r="B86" s="5" t="s">
        <v>367</v>
      </c>
      <c r="C86" s="5" t="s">
        <v>368</v>
      </c>
      <c r="D86" s="5" t="s">
        <v>369</v>
      </c>
      <c r="E86" s="5" t="s">
        <v>4494</v>
      </c>
      <c r="G86" s="5" t="s">
        <v>83</v>
      </c>
      <c r="H86" s="5" t="s">
        <v>370</v>
      </c>
      <c r="I86" s="5" t="s">
        <v>1361</v>
      </c>
      <c r="J86" s="5" t="s">
        <v>82</v>
      </c>
      <c r="K86" s="4">
        <v>40210</v>
      </c>
      <c r="L86" s="4">
        <v>40210</v>
      </c>
      <c r="M86" s="9">
        <f t="shared" si="9"/>
        <v>15</v>
      </c>
      <c r="N86" s="4" t="str">
        <f t="shared" si="11"/>
        <v>] 10 ; 15 ]</v>
      </c>
      <c r="O86" s="5" t="s">
        <v>3785</v>
      </c>
      <c r="P86" s="5" t="s">
        <v>3785</v>
      </c>
      <c r="Q86" s="5">
        <v>1</v>
      </c>
      <c r="R86" s="5" t="str">
        <f t="shared" si="12"/>
        <v>Specialisation</v>
      </c>
      <c r="S86" s="5" t="s">
        <v>3790</v>
      </c>
      <c r="T86" s="4">
        <v>29230</v>
      </c>
      <c r="U86" s="5">
        <f t="shared" si="13"/>
        <v>1980</v>
      </c>
      <c r="V86" s="5" t="s">
        <v>3792</v>
      </c>
      <c r="W86" s="9">
        <f t="shared" si="10"/>
        <v>45</v>
      </c>
      <c r="X86" s="5" t="str">
        <f t="shared" si="14"/>
        <v>[45 - 49 ans]</v>
      </c>
      <c r="Y86" s="5" t="str">
        <f t="shared" si="15"/>
        <v xml:space="preserve"> Generation X </v>
      </c>
      <c r="Z86" s="9">
        <f t="shared" si="16"/>
        <v>15</v>
      </c>
      <c r="AA86" s="5" t="str">
        <f t="shared" si="17"/>
        <v>RAS</v>
      </c>
      <c r="AB86" s="5" t="s">
        <v>3806</v>
      </c>
      <c r="AC86" s="6" t="s">
        <v>3799</v>
      </c>
      <c r="AE86" s="5" t="s">
        <v>3844</v>
      </c>
      <c r="AF86" s="5" t="s">
        <v>4481</v>
      </c>
      <c r="AG86" s="5" t="s">
        <v>4485</v>
      </c>
      <c r="AH86" s="5" t="s">
        <v>4489</v>
      </c>
      <c r="AI86" s="5" t="s">
        <v>4031</v>
      </c>
      <c r="AJ86" s="5" t="s">
        <v>4032</v>
      </c>
      <c r="AK86" s="5" t="s">
        <v>4033</v>
      </c>
      <c r="AL86" s="5" t="s">
        <v>3858</v>
      </c>
    </row>
    <row r="87" spans="1:38" x14ac:dyDescent="0.3">
      <c r="A87" s="4">
        <v>45716</v>
      </c>
      <c r="B87" s="5" t="s">
        <v>371</v>
      </c>
      <c r="C87" s="5" t="s">
        <v>372</v>
      </c>
      <c r="D87" s="5" t="s">
        <v>373</v>
      </c>
      <c r="E87" s="5" t="s">
        <v>4494</v>
      </c>
      <c r="G87" s="5" t="s">
        <v>178</v>
      </c>
      <c r="H87" s="5" t="s">
        <v>374</v>
      </c>
      <c r="I87" s="5" t="s">
        <v>3397</v>
      </c>
      <c r="J87" s="5" t="s">
        <v>435</v>
      </c>
      <c r="K87" s="4">
        <v>40210</v>
      </c>
      <c r="L87" s="4">
        <v>40210</v>
      </c>
      <c r="M87" s="9">
        <f t="shared" si="9"/>
        <v>15</v>
      </c>
      <c r="N87" s="4" t="str">
        <f t="shared" si="11"/>
        <v>] 10 ; 15 ]</v>
      </c>
      <c r="O87" s="5" t="s">
        <v>3782</v>
      </c>
      <c r="P87" s="5" t="s">
        <v>3784</v>
      </c>
      <c r="Q87" s="5">
        <v>1</v>
      </c>
      <c r="R87" s="5" t="str">
        <f t="shared" si="12"/>
        <v>Management &amp; Expertise</v>
      </c>
      <c r="S87" s="5" t="s">
        <v>3789</v>
      </c>
      <c r="T87" s="4">
        <v>28855</v>
      </c>
      <c r="U87" s="5">
        <f t="shared" si="13"/>
        <v>1978</v>
      </c>
      <c r="V87" s="5" t="s">
        <v>3793</v>
      </c>
      <c r="W87" s="9">
        <f t="shared" si="10"/>
        <v>46</v>
      </c>
      <c r="X87" s="5" t="str">
        <f t="shared" si="14"/>
        <v>[45 - 49 ans]</v>
      </c>
      <c r="Y87" s="5" t="str">
        <f t="shared" si="15"/>
        <v xml:space="preserve"> Generation X </v>
      </c>
      <c r="Z87" s="9">
        <f t="shared" si="16"/>
        <v>14</v>
      </c>
      <c r="AA87" s="5" t="str">
        <f t="shared" si="17"/>
        <v>RAS</v>
      </c>
      <c r="AB87" s="5" t="s">
        <v>3806</v>
      </c>
      <c r="AC87" s="6" t="s">
        <v>3799</v>
      </c>
      <c r="AE87" s="5" t="s">
        <v>3844</v>
      </c>
      <c r="AF87" s="5" t="s">
        <v>4481</v>
      </c>
      <c r="AG87" s="5" t="s">
        <v>4485</v>
      </c>
      <c r="AH87" s="5" t="s">
        <v>4488</v>
      </c>
      <c r="AI87" s="5" t="s">
        <v>4034</v>
      </c>
      <c r="AJ87" s="5" t="s">
        <v>4035</v>
      </c>
      <c r="AK87" s="5" t="s">
        <v>3962</v>
      </c>
      <c r="AL87" s="5" t="s">
        <v>3858</v>
      </c>
    </row>
    <row r="88" spans="1:38" x14ac:dyDescent="0.3">
      <c r="A88" s="4">
        <v>45716</v>
      </c>
      <c r="B88" s="5" t="s">
        <v>375</v>
      </c>
      <c r="C88" s="5" t="s">
        <v>376</v>
      </c>
      <c r="D88" s="5" t="s">
        <v>377</v>
      </c>
      <c r="E88" s="5" t="s">
        <v>4494</v>
      </c>
      <c r="G88" s="5" t="s">
        <v>29</v>
      </c>
      <c r="H88" s="5" t="s">
        <v>378</v>
      </c>
      <c r="I88" s="5" t="s">
        <v>69</v>
      </c>
      <c r="J88" s="5" t="s">
        <v>2355</v>
      </c>
      <c r="K88" s="4">
        <v>40210</v>
      </c>
      <c r="L88" s="4">
        <v>40210</v>
      </c>
      <c r="M88" s="9">
        <f t="shared" si="9"/>
        <v>15</v>
      </c>
      <c r="N88" s="4" t="str">
        <f t="shared" si="11"/>
        <v>] 10 ; 15 ]</v>
      </c>
      <c r="O88" s="5" t="s">
        <v>3782</v>
      </c>
      <c r="P88" s="5" t="s">
        <v>3784</v>
      </c>
      <c r="Q88" s="5">
        <v>1</v>
      </c>
      <c r="R88" s="5" t="str">
        <f t="shared" si="12"/>
        <v>Management &amp; Expertise</v>
      </c>
      <c r="S88" s="5" t="s">
        <v>3789</v>
      </c>
      <c r="T88" s="4">
        <v>25499</v>
      </c>
      <c r="U88" s="5">
        <f t="shared" si="13"/>
        <v>1969</v>
      </c>
      <c r="V88" s="5" t="s">
        <v>3793</v>
      </c>
      <c r="W88" s="9">
        <f t="shared" si="10"/>
        <v>55</v>
      </c>
      <c r="X88" s="5" t="str">
        <f t="shared" si="14"/>
        <v>[50 ans, +oo [</v>
      </c>
      <c r="Y88" s="5" t="str">
        <f t="shared" si="15"/>
        <v xml:space="preserve"> Generation X </v>
      </c>
      <c r="Z88" s="9">
        <f t="shared" si="16"/>
        <v>5</v>
      </c>
      <c r="AA88" s="5" t="str">
        <f t="shared" si="17"/>
        <v>Départ à la Retraite 5ans</v>
      </c>
      <c r="AB88" s="5" t="s">
        <v>3806</v>
      </c>
      <c r="AC88" s="6" t="s">
        <v>3799</v>
      </c>
      <c r="AE88" s="5" t="s">
        <v>3845</v>
      </c>
      <c r="AF88" s="5" t="s">
        <v>4481</v>
      </c>
      <c r="AG88" s="5" t="s">
        <v>4485</v>
      </c>
      <c r="AH88" s="5" t="s">
        <v>4488</v>
      </c>
      <c r="AI88" s="5" t="s">
        <v>3855</v>
      </c>
      <c r="AJ88" s="5" t="s">
        <v>3856</v>
      </c>
      <c r="AK88" s="5" t="s">
        <v>3857</v>
      </c>
      <c r="AL88" s="5" t="s">
        <v>3854</v>
      </c>
    </row>
    <row r="89" spans="1:38" x14ac:dyDescent="0.3">
      <c r="A89" s="4">
        <v>45716</v>
      </c>
      <c r="B89" s="5" t="s">
        <v>379</v>
      </c>
      <c r="C89" s="5" t="s">
        <v>380</v>
      </c>
      <c r="D89" s="5" t="s">
        <v>381</v>
      </c>
      <c r="E89" s="5" t="s">
        <v>4494</v>
      </c>
      <c r="G89" s="5" t="s">
        <v>137</v>
      </c>
      <c r="H89" s="5" t="s">
        <v>382</v>
      </c>
      <c r="I89" s="5" t="s">
        <v>1346</v>
      </c>
      <c r="J89" s="5" t="s">
        <v>2841</v>
      </c>
      <c r="K89" s="4">
        <v>40210</v>
      </c>
      <c r="L89" s="4">
        <v>40210</v>
      </c>
      <c r="M89" s="9">
        <f t="shared" si="9"/>
        <v>15</v>
      </c>
      <c r="N89" s="4" t="str">
        <f t="shared" si="11"/>
        <v>] 10 ; 15 ]</v>
      </c>
      <c r="O89" s="5" t="s">
        <v>3784</v>
      </c>
      <c r="P89" s="5" t="s">
        <v>3784</v>
      </c>
      <c r="Q89" s="5">
        <v>1</v>
      </c>
      <c r="R89" s="5" t="str">
        <f t="shared" si="12"/>
        <v>Management &amp; Expertise</v>
      </c>
      <c r="S89" s="5" t="s">
        <v>3790</v>
      </c>
      <c r="T89" s="4">
        <v>28201</v>
      </c>
      <c r="U89" s="5">
        <f t="shared" si="13"/>
        <v>1977</v>
      </c>
      <c r="V89" s="5" t="s">
        <v>3793</v>
      </c>
      <c r="W89" s="9">
        <f t="shared" si="10"/>
        <v>47</v>
      </c>
      <c r="X89" s="5" t="str">
        <f t="shared" si="14"/>
        <v>[45 - 49 ans]</v>
      </c>
      <c r="Y89" s="5" t="str">
        <f t="shared" si="15"/>
        <v xml:space="preserve"> Generation X </v>
      </c>
      <c r="Z89" s="9">
        <f t="shared" si="16"/>
        <v>13</v>
      </c>
      <c r="AA89" s="5" t="str">
        <f t="shared" si="17"/>
        <v>RAS</v>
      </c>
      <c r="AB89" s="5" t="s">
        <v>3806</v>
      </c>
      <c r="AC89" s="6" t="s">
        <v>3799</v>
      </c>
      <c r="AE89" s="5" t="s">
        <v>3845</v>
      </c>
      <c r="AF89" s="5" t="s">
        <v>4481</v>
      </c>
      <c r="AG89" s="5" t="s">
        <v>4485</v>
      </c>
      <c r="AH89" s="5" t="s">
        <v>4487</v>
      </c>
      <c r="AI89" s="5" t="s">
        <v>4036</v>
      </c>
      <c r="AJ89" s="5" t="s">
        <v>4037</v>
      </c>
      <c r="AK89" s="5" t="s">
        <v>4038</v>
      </c>
      <c r="AL89" s="5" t="s">
        <v>3854</v>
      </c>
    </row>
    <row r="90" spans="1:38" x14ac:dyDescent="0.3">
      <c r="A90" s="4">
        <v>45716</v>
      </c>
      <c r="B90" s="5" t="s">
        <v>383</v>
      </c>
      <c r="C90" s="5" t="s">
        <v>384</v>
      </c>
      <c r="D90" s="5" t="s">
        <v>385</v>
      </c>
      <c r="E90" s="5" t="s">
        <v>4494</v>
      </c>
      <c r="G90" s="5" t="s">
        <v>83</v>
      </c>
      <c r="H90" s="5" t="s">
        <v>386</v>
      </c>
      <c r="I90" s="5" t="s">
        <v>1241</v>
      </c>
      <c r="J90" s="5" t="s">
        <v>1903</v>
      </c>
      <c r="K90" s="4">
        <v>40210</v>
      </c>
      <c r="L90" s="4">
        <v>40210</v>
      </c>
      <c r="M90" s="9">
        <f t="shared" si="9"/>
        <v>15</v>
      </c>
      <c r="N90" s="4" t="str">
        <f t="shared" si="11"/>
        <v>] 10 ; 15 ]</v>
      </c>
      <c r="O90" s="5" t="s">
        <v>3780</v>
      </c>
      <c r="P90" s="5" t="s">
        <v>3786</v>
      </c>
      <c r="Q90" s="5">
        <v>1</v>
      </c>
      <c r="R90" s="5" t="str">
        <f t="shared" si="12"/>
        <v>Qualification</v>
      </c>
      <c r="S90" s="5" t="s">
        <v>3789</v>
      </c>
      <c r="T90" s="4">
        <v>30556</v>
      </c>
      <c r="U90" s="5">
        <f t="shared" si="13"/>
        <v>1983</v>
      </c>
      <c r="V90" s="5" t="s">
        <v>3793</v>
      </c>
      <c r="W90" s="9">
        <f t="shared" si="10"/>
        <v>41</v>
      </c>
      <c r="X90" s="5" t="str">
        <f t="shared" si="14"/>
        <v>[40 - 44 ans]</v>
      </c>
      <c r="Y90" s="5" t="str">
        <f t="shared" si="15"/>
        <v xml:space="preserve"> Mellenials </v>
      </c>
      <c r="Z90" s="9">
        <f t="shared" si="16"/>
        <v>19</v>
      </c>
      <c r="AA90" s="5" t="str">
        <f t="shared" si="17"/>
        <v>RAS</v>
      </c>
      <c r="AB90" s="5" t="s">
        <v>3807</v>
      </c>
      <c r="AC90" s="6" t="s">
        <v>3799</v>
      </c>
      <c r="AE90" s="5" t="s">
        <v>3844</v>
      </c>
      <c r="AF90" s="5" t="s">
        <v>4482</v>
      </c>
      <c r="AG90" s="5" t="s">
        <v>4485</v>
      </c>
      <c r="AH90" s="5" t="s">
        <v>4489</v>
      </c>
      <c r="AI90" s="5" t="s">
        <v>4039</v>
      </c>
      <c r="AJ90" s="5" t="s">
        <v>4040</v>
      </c>
      <c r="AK90" s="5" t="s">
        <v>4041</v>
      </c>
      <c r="AL90" s="5" t="s">
        <v>3858</v>
      </c>
    </row>
    <row r="91" spans="1:38" x14ac:dyDescent="0.3">
      <c r="A91" s="4">
        <v>45716</v>
      </c>
      <c r="B91" s="5" t="s">
        <v>387</v>
      </c>
      <c r="C91" s="5" t="s">
        <v>388</v>
      </c>
      <c r="D91" s="5" t="s">
        <v>389</v>
      </c>
      <c r="E91" s="5" t="s">
        <v>4494</v>
      </c>
      <c r="G91" s="5" t="s">
        <v>39</v>
      </c>
      <c r="H91" s="5" t="s">
        <v>390</v>
      </c>
      <c r="I91" s="5" t="s">
        <v>52</v>
      </c>
      <c r="J91" s="5" t="s">
        <v>1218</v>
      </c>
      <c r="K91" s="4">
        <v>40210</v>
      </c>
      <c r="L91" s="4">
        <v>40210</v>
      </c>
      <c r="M91" s="9">
        <f t="shared" si="9"/>
        <v>15</v>
      </c>
      <c r="N91" s="4" t="str">
        <f t="shared" si="11"/>
        <v>] 10 ; 15 ]</v>
      </c>
      <c r="O91" s="5" t="s">
        <v>3782</v>
      </c>
      <c r="P91" s="5" t="s">
        <v>3782</v>
      </c>
      <c r="Q91" s="5">
        <v>2</v>
      </c>
      <c r="R91" s="5" t="str">
        <f t="shared" si="12"/>
        <v>Management &amp; Expertise</v>
      </c>
      <c r="S91" s="5" t="s">
        <v>3789</v>
      </c>
      <c r="T91" s="4">
        <v>30200</v>
      </c>
      <c r="U91" s="5">
        <f t="shared" si="13"/>
        <v>1982</v>
      </c>
      <c r="V91" s="5" t="s">
        <v>3793</v>
      </c>
      <c r="W91" s="9">
        <f t="shared" si="10"/>
        <v>42</v>
      </c>
      <c r="X91" s="5" t="str">
        <f t="shared" si="14"/>
        <v>[40 - 44 ans]</v>
      </c>
      <c r="Y91" s="5" t="str">
        <f t="shared" si="15"/>
        <v xml:space="preserve"> Mellenials </v>
      </c>
      <c r="Z91" s="9">
        <f t="shared" si="16"/>
        <v>18</v>
      </c>
      <c r="AA91" s="5" t="str">
        <f t="shared" si="17"/>
        <v>RAS</v>
      </c>
      <c r="AB91" s="5" t="s">
        <v>3807</v>
      </c>
      <c r="AC91" s="6" t="s">
        <v>3799</v>
      </c>
      <c r="AE91" s="5" t="s">
        <v>3845</v>
      </c>
      <c r="AF91" s="5" t="s">
        <v>4481</v>
      </c>
      <c r="AG91" s="5" t="s">
        <v>4485</v>
      </c>
      <c r="AH91" s="5" t="s">
        <v>4489</v>
      </c>
      <c r="AI91" s="5" t="s">
        <v>4042</v>
      </c>
      <c r="AJ91" s="5" t="s">
        <v>4043</v>
      </c>
      <c r="AK91" s="5">
        <v>14160</v>
      </c>
      <c r="AL91" s="5" t="s">
        <v>3854</v>
      </c>
    </row>
    <row r="92" spans="1:38" x14ac:dyDescent="0.3">
      <c r="A92" s="4">
        <v>45716</v>
      </c>
      <c r="B92" s="5" t="s">
        <v>391</v>
      </c>
      <c r="C92" s="5" t="s">
        <v>392</v>
      </c>
      <c r="D92" s="5" t="s">
        <v>393</v>
      </c>
      <c r="E92" s="5" t="s">
        <v>4494</v>
      </c>
      <c r="G92" s="5" t="s">
        <v>39</v>
      </c>
      <c r="H92" s="5" t="s">
        <v>394</v>
      </c>
      <c r="I92" s="5" t="s">
        <v>153</v>
      </c>
      <c r="J92" s="5" t="s">
        <v>1899</v>
      </c>
      <c r="K92" s="4">
        <v>40210</v>
      </c>
      <c r="L92" s="4">
        <v>40210</v>
      </c>
      <c r="M92" s="9">
        <f t="shared" si="9"/>
        <v>15</v>
      </c>
      <c r="N92" s="4" t="str">
        <f t="shared" si="11"/>
        <v>] 10 ; 15 ]</v>
      </c>
      <c r="O92" s="5" t="s">
        <v>3782</v>
      </c>
      <c r="P92" s="5" t="s">
        <v>3784</v>
      </c>
      <c r="Q92" s="5">
        <v>1</v>
      </c>
      <c r="R92" s="5" t="str">
        <f t="shared" si="12"/>
        <v>Management &amp; Expertise</v>
      </c>
      <c r="S92" s="5" t="s">
        <v>3789</v>
      </c>
      <c r="T92" s="4">
        <v>30098</v>
      </c>
      <c r="U92" s="5">
        <f t="shared" si="13"/>
        <v>1982</v>
      </c>
      <c r="V92" s="5" t="s">
        <v>3793</v>
      </c>
      <c r="W92" s="9">
        <f t="shared" si="10"/>
        <v>42</v>
      </c>
      <c r="X92" s="5" t="str">
        <f t="shared" si="14"/>
        <v>[40 - 44 ans]</v>
      </c>
      <c r="Y92" s="5" t="str">
        <f t="shared" si="15"/>
        <v xml:space="preserve"> Mellenials </v>
      </c>
      <c r="Z92" s="9">
        <f t="shared" si="16"/>
        <v>18</v>
      </c>
      <c r="AA92" s="5" t="str">
        <f t="shared" si="17"/>
        <v>RAS</v>
      </c>
      <c r="AB92" s="5" t="s">
        <v>3807</v>
      </c>
      <c r="AC92" s="6" t="s">
        <v>3799</v>
      </c>
      <c r="AE92" s="5" t="s">
        <v>3845</v>
      </c>
      <c r="AF92" s="5" t="s">
        <v>4481</v>
      </c>
      <c r="AG92" s="5" t="s">
        <v>4485</v>
      </c>
      <c r="AH92" s="5" t="s">
        <v>4489</v>
      </c>
      <c r="AI92" s="5" t="s">
        <v>4044</v>
      </c>
      <c r="AJ92" s="5" t="s">
        <v>4045</v>
      </c>
      <c r="AK92" s="5" t="s">
        <v>4046</v>
      </c>
      <c r="AL92" s="5" t="s">
        <v>3854</v>
      </c>
    </row>
    <row r="93" spans="1:38" x14ac:dyDescent="0.3">
      <c r="A93" s="4">
        <v>45716</v>
      </c>
      <c r="B93" s="5" t="s">
        <v>395</v>
      </c>
      <c r="C93" s="5" t="s">
        <v>396</v>
      </c>
      <c r="D93" s="5" t="s">
        <v>397</v>
      </c>
      <c r="E93" s="5" t="s">
        <v>4494</v>
      </c>
      <c r="G93" s="5" t="s">
        <v>39</v>
      </c>
      <c r="H93" s="5" t="s">
        <v>398</v>
      </c>
      <c r="I93" s="5" t="s">
        <v>1899</v>
      </c>
      <c r="J93" s="5" t="s">
        <v>2821</v>
      </c>
      <c r="K93" s="4">
        <v>40210</v>
      </c>
      <c r="L93" s="4">
        <v>40210</v>
      </c>
      <c r="M93" s="9">
        <f t="shared" si="9"/>
        <v>15</v>
      </c>
      <c r="N93" s="4" t="str">
        <f t="shared" si="11"/>
        <v>] 10 ; 15 ]</v>
      </c>
      <c r="O93" s="5" t="s">
        <v>3784</v>
      </c>
      <c r="P93" s="5" t="s">
        <v>3784</v>
      </c>
      <c r="Q93" s="5">
        <v>1</v>
      </c>
      <c r="R93" s="5" t="str">
        <f t="shared" si="12"/>
        <v>Management &amp; Expertise</v>
      </c>
      <c r="S93" s="5" t="s">
        <v>3789</v>
      </c>
      <c r="T93" s="4">
        <v>30273</v>
      </c>
      <c r="U93" s="5">
        <f t="shared" si="13"/>
        <v>1982</v>
      </c>
      <c r="V93" s="5" t="s">
        <v>3793</v>
      </c>
      <c r="W93" s="9">
        <f t="shared" si="10"/>
        <v>42</v>
      </c>
      <c r="X93" s="5" t="str">
        <f t="shared" si="14"/>
        <v>[40 - 44 ans]</v>
      </c>
      <c r="Y93" s="5" t="str">
        <f t="shared" si="15"/>
        <v xml:space="preserve"> Mellenials </v>
      </c>
      <c r="Z93" s="9">
        <f t="shared" si="16"/>
        <v>18</v>
      </c>
      <c r="AA93" s="5" t="str">
        <f t="shared" si="17"/>
        <v>RAS</v>
      </c>
      <c r="AB93" s="5" t="s">
        <v>3807</v>
      </c>
      <c r="AC93" s="6" t="s">
        <v>3799</v>
      </c>
      <c r="AE93" s="5" t="s">
        <v>3845</v>
      </c>
      <c r="AF93" s="5" t="s">
        <v>4481</v>
      </c>
      <c r="AG93" s="5" t="s">
        <v>4485</v>
      </c>
      <c r="AH93" s="5" t="s">
        <v>4489</v>
      </c>
      <c r="AI93" s="5" t="s">
        <v>4047</v>
      </c>
      <c r="AJ93" s="5" t="s">
        <v>4048</v>
      </c>
      <c r="AK93" s="5">
        <v>14144</v>
      </c>
      <c r="AL93" s="5" t="s">
        <v>3854</v>
      </c>
    </row>
    <row r="94" spans="1:38" x14ac:dyDescent="0.3">
      <c r="A94" s="4">
        <v>45716</v>
      </c>
      <c r="B94" s="5" t="s">
        <v>399</v>
      </c>
      <c r="C94" s="5" t="s">
        <v>400</v>
      </c>
      <c r="D94" s="5" t="s">
        <v>401</v>
      </c>
      <c r="E94" s="5" t="s">
        <v>4494</v>
      </c>
      <c r="G94" s="5" t="s">
        <v>137</v>
      </c>
      <c r="H94" s="5" t="s">
        <v>402</v>
      </c>
      <c r="I94" s="5" t="s">
        <v>1346</v>
      </c>
      <c r="J94" s="5" t="s">
        <v>2841</v>
      </c>
      <c r="K94" s="4">
        <v>40212</v>
      </c>
      <c r="L94" s="4">
        <v>40212</v>
      </c>
      <c r="M94" s="9">
        <f t="shared" si="9"/>
        <v>15</v>
      </c>
      <c r="N94" s="4" t="str">
        <f t="shared" si="11"/>
        <v>] 10 ; 15 ]</v>
      </c>
      <c r="O94" s="5" t="s">
        <v>3782</v>
      </c>
      <c r="P94" s="5" t="s">
        <v>3782</v>
      </c>
      <c r="Q94" s="5">
        <v>2</v>
      </c>
      <c r="R94" s="5" t="str">
        <f t="shared" si="12"/>
        <v>Management &amp; Expertise</v>
      </c>
      <c r="S94" s="5" t="s">
        <v>3789</v>
      </c>
      <c r="T94" s="4">
        <v>29191</v>
      </c>
      <c r="U94" s="5">
        <f t="shared" si="13"/>
        <v>1979</v>
      </c>
      <c r="V94" s="5" t="s">
        <v>3793</v>
      </c>
      <c r="W94" s="9">
        <f t="shared" si="10"/>
        <v>45</v>
      </c>
      <c r="X94" s="5" t="str">
        <f t="shared" si="14"/>
        <v>[45 - 49 ans]</v>
      </c>
      <c r="Y94" s="5" t="str">
        <f t="shared" si="15"/>
        <v xml:space="preserve"> Generation X </v>
      </c>
      <c r="Z94" s="9">
        <f t="shared" si="16"/>
        <v>15</v>
      </c>
      <c r="AA94" s="5" t="str">
        <f t="shared" si="17"/>
        <v>RAS</v>
      </c>
      <c r="AB94" s="5" t="s">
        <v>3806</v>
      </c>
      <c r="AC94" s="6" t="s">
        <v>3799</v>
      </c>
      <c r="AE94" s="5" t="s">
        <v>3845</v>
      </c>
      <c r="AF94" s="5" t="s">
        <v>4481</v>
      </c>
      <c r="AG94" s="5" t="s">
        <v>4485</v>
      </c>
      <c r="AH94" s="5" t="s">
        <v>4487</v>
      </c>
      <c r="AI94" s="5" t="s">
        <v>4049</v>
      </c>
      <c r="AJ94" s="5" t="s">
        <v>4050</v>
      </c>
      <c r="AK94" s="5" t="s">
        <v>3925</v>
      </c>
      <c r="AL94" s="5" t="s">
        <v>3854</v>
      </c>
    </row>
    <row r="95" spans="1:38" x14ac:dyDescent="0.3">
      <c r="A95" s="4">
        <v>45716</v>
      </c>
      <c r="B95" s="5" t="s">
        <v>403</v>
      </c>
      <c r="C95" s="5" t="s">
        <v>404</v>
      </c>
      <c r="D95" s="5" t="s">
        <v>405</v>
      </c>
      <c r="E95" s="5" t="s">
        <v>4494</v>
      </c>
      <c r="G95" s="5" t="s">
        <v>44</v>
      </c>
      <c r="H95" s="5" t="s">
        <v>45</v>
      </c>
      <c r="I95" s="5" t="s">
        <v>217</v>
      </c>
      <c r="J95" s="5" t="s">
        <v>2337</v>
      </c>
      <c r="K95" s="4">
        <v>40217</v>
      </c>
      <c r="L95" s="4">
        <v>40217</v>
      </c>
      <c r="M95" s="9">
        <f t="shared" si="9"/>
        <v>15</v>
      </c>
      <c r="N95" s="4" t="str">
        <f t="shared" si="11"/>
        <v>] 10 ; 15 ]</v>
      </c>
      <c r="O95" s="5" t="s">
        <v>3783</v>
      </c>
      <c r="P95" s="5" t="s">
        <v>3786</v>
      </c>
      <c r="Q95" s="5">
        <v>2</v>
      </c>
      <c r="R95" s="5" t="str">
        <f t="shared" si="12"/>
        <v>Specialisation</v>
      </c>
      <c r="S95" s="5" t="s">
        <v>3790</v>
      </c>
      <c r="T95" s="4">
        <v>30193</v>
      </c>
      <c r="U95" s="5">
        <f t="shared" si="13"/>
        <v>1982</v>
      </c>
      <c r="V95" s="5" t="s">
        <v>3793</v>
      </c>
      <c r="W95" s="9">
        <f t="shared" si="10"/>
        <v>42</v>
      </c>
      <c r="X95" s="5" t="str">
        <f t="shared" si="14"/>
        <v>[40 - 44 ans]</v>
      </c>
      <c r="Y95" s="5" t="str">
        <f t="shared" si="15"/>
        <v xml:space="preserve"> Mellenials </v>
      </c>
      <c r="Z95" s="9">
        <f t="shared" si="16"/>
        <v>18</v>
      </c>
      <c r="AA95" s="5" t="str">
        <f t="shared" si="17"/>
        <v>RAS</v>
      </c>
      <c r="AB95" s="5" t="s">
        <v>3806</v>
      </c>
      <c r="AC95" s="6" t="s">
        <v>3799</v>
      </c>
      <c r="AE95" s="5" t="s">
        <v>3844</v>
      </c>
      <c r="AF95" s="5" t="s">
        <v>4482</v>
      </c>
      <c r="AG95" s="5" t="s">
        <v>4485</v>
      </c>
      <c r="AH95" s="5" t="s">
        <v>4487</v>
      </c>
      <c r="AI95" s="5" t="s">
        <v>3963</v>
      </c>
      <c r="AJ95" s="5" t="s">
        <v>3964</v>
      </c>
      <c r="AK95" s="5" t="s">
        <v>3867</v>
      </c>
      <c r="AL95" s="5" t="s">
        <v>3858</v>
      </c>
    </row>
    <row r="96" spans="1:38" x14ac:dyDescent="0.3">
      <c r="A96" s="4">
        <v>45716</v>
      </c>
      <c r="B96" s="5" t="s">
        <v>406</v>
      </c>
      <c r="C96" s="5" t="s">
        <v>407</v>
      </c>
      <c r="D96" s="5" t="s">
        <v>408</v>
      </c>
      <c r="E96" s="5" t="s">
        <v>4494</v>
      </c>
      <c r="G96" s="5" t="s">
        <v>29</v>
      </c>
      <c r="H96" s="5" t="s">
        <v>409</v>
      </c>
      <c r="I96" s="5" t="s">
        <v>974</v>
      </c>
      <c r="J96" s="5" t="s">
        <v>2355</v>
      </c>
      <c r="K96" s="4">
        <v>40217</v>
      </c>
      <c r="L96" s="4">
        <v>40217</v>
      </c>
      <c r="M96" s="9">
        <f t="shared" si="9"/>
        <v>15</v>
      </c>
      <c r="N96" s="4" t="str">
        <f t="shared" si="11"/>
        <v>] 10 ; 15 ]</v>
      </c>
      <c r="O96" s="5" t="s">
        <v>3782</v>
      </c>
      <c r="P96" s="5" t="s">
        <v>3782</v>
      </c>
      <c r="Q96" s="5">
        <v>1</v>
      </c>
      <c r="R96" s="5" t="str">
        <f t="shared" si="12"/>
        <v>Management &amp; Expertise</v>
      </c>
      <c r="S96" s="5" t="s">
        <v>3789</v>
      </c>
      <c r="T96" s="4">
        <v>27802</v>
      </c>
      <c r="U96" s="5">
        <f t="shared" si="13"/>
        <v>1976</v>
      </c>
      <c r="V96" s="5" t="s">
        <v>3793</v>
      </c>
      <c r="W96" s="9">
        <f t="shared" si="10"/>
        <v>49</v>
      </c>
      <c r="X96" s="5" t="str">
        <f t="shared" si="14"/>
        <v>[45 - 49 ans]</v>
      </c>
      <c r="Y96" s="5" t="str">
        <f t="shared" si="15"/>
        <v xml:space="preserve"> Generation X </v>
      </c>
      <c r="Z96" s="9">
        <f t="shared" si="16"/>
        <v>11</v>
      </c>
      <c r="AA96" s="5" t="str">
        <f t="shared" si="17"/>
        <v>RAS</v>
      </c>
      <c r="AB96" s="5" t="s">
        <v>3806</v>
      </c>
      <c r="AC96" s="6" t="s">
        <v>3799</v>
      </c>
      <c r="AE96" s="5" t="s">
        <v>3845</v>
      </c>
      <c r="AF96" s="5" t="s">
        <v>4481</v>
      </c>
      <c r="AG96" s="5" t="s">
        <v>4485</v>
      </c>
      <c r="AH96" s="5" t="s">
        <v>4487</v>
      </c>
      <c r="AI96" s="5" t="s">
        <v>4051</v>
      </c>
      <c r="AJ96" s="5" t="s">
        <v>4052</v>
      </c>
      <c r="AK96" s="5" t="s">
        <v>4053</v>
      </c>
      <c r="AL96" s="5" t="s">
        <v>3854</v>
      </c>
    </row>
    <row r="97" spans="1:38" x14ac:dyDescent="0.3">
      <c r="A97" s="4">
        <v>45716</v>
      </c>
      <c r="B97" s="5" t="s">
        <v>410</v>
      </c>
      <c r="C97" s="5" t="s">
        <v>411</v>
      </c>
      <c r="D97" s="5" t="s">
        <v>412</v>
      </c>
      <c r="E97" s="5" t="s">
        <v>4494</v>
      </c>
      <c r="G97" s="5" t="s">
        <v>57</v>
      </c>
      <c r="H97" s="5" t="s">
        <v>413</v>
      </c>
      <c r="I97" s="5" t="s">
        <v>443</v>
      </c>
      <c r="J97" s="5" t="s">
        <v>56</v>
      </c>
      <c r="K97" s="4">
        <v>40217</v>
      </c>
      <c r="L97" s="4">
        <v>40217</v>
      </c>
      <c r="M97" s="9">
        <f t="shared" si="9"/>
        <v>15</v>
      </c>
      <c r="N97" s="4" t="str">
        <f t="shared" si="11"/>
        <v>] 10 ; 15 ]</v>
      </c>
      <c r="O97" s="5" t="s">
        <v>3782</v>
      </c>
      <c r="P97" s="5" t="s">
        <v>3784</v>
      </c>
      <c r="Q97" s="5">
        <v>1</v>
      </c>
      <c r="R97" s="5" t="str">
        <f t="shared" si="12"/>
        <v>Management &amp; Expertise</v>
      </c>
      <c r="S97" s="5" t="s">
        <v>3789</v>
      </c>
      <c r="T97" s="4">
        <v>27567</v>
      </c>
      <c r="U97" s="5">
        <f t="shared" si="13"/>
        <v>1975</v>
      </c>
      <c r="V97" s="5" t="s">
        <v>3793</v>
      </c>
      <c r="W97" s="9">
        <f t="shared" si="10"/>
        <v>49</v>
      </c>
      <c r="X97" s="5" t="str">
        <f t="shared" si="14"/>
        <v>[45 - 49 ans]</v>
      </c>
      <c r="Y97" s="5" t="str">
        <f t="shared" si="15"/>
        <v xml:space="preserve"> Generation X </v>
      </c>
      <c r="Z97" s="9">
        <f t="shared" si="16"/>
        <v>11</v>
      </c>
      <c r="AA97" s="5" t="str">
        <f t="shared" si="17"/>
        <v>RAS</v>
      </c>
      <c r="AB97" s="5" t="s">
        <v>3806</v>
      </c>
      <c r="AC97" s="6" t="s">
        <v>3799</v>
      </c>
      <c r="AE97" s="5" t="s">
        <v>3844</v>
      </c>
      <c r="AF97" s="5" t="s">
        <v>4481</v>
      </c>
      <c r="AG97" s="5" t="s">
        <v>4485</v>
      </c>
      <c r="AH97" s="5" t="s">
        <v>4487</v>
      </c>
      <c r="AI97" s="5" t="s">
        <v>4054</v>
      </c>
      <c r="AJ97" s="5" t="s">
        <v>4055</v>
      </c>
      <c r="AK97" s="5" t="s">
        <v>4056</v>
      </c>
      <c r="AL97" s="5" t="s">
        <v>3858</v>
      </c>
    </row>
    <row r="98" spans="1:38" x14ac:dyDescent="0.3">
      <c r="A98" s="4">
        <v>45716</v>
      </c>
      <c r="B98" s="5" t="s">
        <v>414</v>
      </c>
      <c r="C98" s="5" t="s">
        <v>415</v>
      </c>
      <c r="D98" s="5" t="s">
        <v>416</v>
      </c>
      <c r="E98" s="5" t="s">
        <v>4494</v>
      </c>
      <c r="G98" s="5" t="s">
        <v>29</v>
      </c>
      <c r="H98" s="5" t="s">
        <v>311</v>
      </c>
      <c r="I98" s="5" t="s">
        <v>3366</v>
      </c>
      <c r="J98" s="5" t="s">
        <v>157</v>
      </c>
      <c r="K98" s="4">
        <v>40219</v>
      </c>
      <c r="L98" s="4">
        <v>40219</v>
      </c>
      <c r="M98" s="9">
        <f t="shared" si="9"/>
        <v>15</v>
      </c>
      <c r="N98" s="4" t="str">
        <f t="shared" si="11"/>
        <v>] 10 ; 15 ]</v>
      </c>
      <c r="O98" s="5" t="s">
        <v>3785</v>
      </c>
      <c r="P98" s="5" t="s">
        <v>3785</v>
      </c>
      <c r="Q98" s="5">
        <v>2</v>
      </c>
      <c r="R98" s="5" t="str">
        <f t="shared" si="12"/>
        <v>Specialisation</v>
      </c>
      <c r="S98" s="5" t="s">
        <v>3790</v>
      </c>
      <c r="T98" s="4">
        <v>28029</v>
      </c>
      <c r="U98" s="5">
        <f t="shared" si="13"/>
        <v>1976</v>
      </c>
      <c r="V98" s="5" t="s">
        <v>3792</v>
      </c>
      <c r="W98" s="9">
        <f t="shared" si="10"/>
        <v>48</v>
      </c>
      <c r="X98" s="5" t="str">
        <f t="shared" si="14"/>
        <v>[45 - 49 ans]</v>
      </c>
      <c r="Y98" s="5" t="str">
        <f t="shared" si="15"/>
        <v xml:space="preserve"> Generation X </v>
      </c>
      <c r="Z98" s="9">
        <f t="shared" si="16"/>
        <v>12</v>
      </c>
      <c r="AA98" s="5" t="str">
        <f t="shared" si="17"/>
        <v>RAS</v>
      </c>
      <c r="AB98" s="5" t="s">
        <v>3806</v>
      </c>
      <c r="AC98" s="6" t="s">
        <v>3799</v>
      </c>
      <c r="AE98" s="5" t="s">
        <v>3844</v>
      </c>
      <c r="AF98" s="5" t="s">
        <v>4481</v>
      </c>
      <c r="AG98" s="5" t="s">
        <v>4485</v>
      </c>
      <c r="AH98" s="5" t="s">
        <v>4487</v>
      </c>
      <c r="AI98" s="5" t="s">
        <v>4006</v>
      </c>
      <c r="AJ98" s="5" t="s">
        <v>4007</v>
      </c>
      <c r="AK98" s="5" t="s">
        <v>3937</v>
      </c>
      <c r="AL98" s="5" t="s">
        <v>3858</v>
      </c>
    </row>
    <row r="99" spans="1:38" x14ac:dyDescent="0.3">
      <c r="A99" s="4">
        <v>45716</v>
      </c>
      <c r="B99" s="5" t="s">
        <v>417</v>
      </c>
      <c r="C99" s="5" t="s">
        <v>418</v>
      </c>
      <c r="D99" s="5" t="s">
        <v>419</v>
      </c>
      <c r="E99" s="5" t="s">
        <v>4494</v>
      </c>
      <c r="G99" s="5" t="s">
        <v>39</v>
      </c>
      <c r="H99" s="5" t="s">
        <v>420</v>
      </c>
      <c r="I99" s="5" t="s">
        <v>2981</v>
      </c>
      <c r="J99" s="5" t="s">
        <v>1264</v>
      </c>
      <c r="K99" s="4">
        <v>40219</v>
      </c>
      <c r="L99" s="4">
        <v>40219</v>
      </c>
      <c r="M99" s="9">
        <f t="shared" si="9"/>
        <v>15</v>
      </c>
      <c r="N99" s="4" t="str">
        <f t="shared" si="11"/>
        <v>] 10 ; 15 ]</v>
      </c>
      <c r="O99" s="5" t="s">
        <v>3785</v>
      </c>
      <c r="P99" s="5" t="s">
        <v>3785</v>
      </c>
      <c r="Q99" s="5">
        <v>1</v>
      </c>
      <c r="R99" s="5" t="str">
        <f t="shared" si="12"/>
        <v>Specialisation</v>
      </c>
      <c r="S99" s="5" t="s">
        <v>3789</v>
      </c>
      <c r="T99" s="4">
        <v>31206</v>
      </c>
      <c r="U99" s="5">
        <f t="shared" si="13"/>
        <v>1985</v>
      </c>
      <c r="V99" s="5" t="s">
        <v>3793</v>
      </c>
      <c r="W99" s="9">
        <f t="shared" si="10"/>
        <v>39</v>
      </c>
      <c r="X99" s="5" t="str">
        <f t="shared" si="14"/>
        <v>[35 - 39 ans ]</v>
      </c>
      <c r="Y99" s="5" t="str">
        <f t="shared" si="15"/>
        <v xml:space="preserve"> Mellenials </v>
      </c>
      <c r="Z99" s="9">
        <f t="shared" si="16"/>
        <v>21</v>
      </c>
      <c r="AA99" s="5" t="str">
        <f t="shared" si="17"/>
        <v>RAS</v>
      </c>
      <c r="AB99" s="5" t="s">
        <v>3807</v>
      </c>
      <c r="AC99" s="6" t="s">
        <v>3799</v>
      </c>
      <c r="AE99" s="5" t="s">
        <v>3844</v>
      </c>
      <c r="AF99" s="5" t="s">
        <v>4481</v>
      </c>
      <c r="AG99" s="5" t="s">
        <v>4485</v>
      </c>
      <c r="AH99" s="5" t="s">
        <v>4489</v>
      </c>
      <c r="AI99" s="5" t="s">
        <v>4057</v>
      </c>
      <c r="AJ99" s="5" t="s">
        <v>4058</v>
      </c>
      <c r="AK99" s="5" t="s">
        <v>4059</v>
      </c>
      <c r="AL99" s="5" t="s">
        <v>3858</v>
      </c>
    </row>
    <row r="100" spans="1:38" x14ac:dyDescent="0.3">
      <c r="A100" s="4">
        <v>45716</v>
      </c>
      <c r="B100" s="5" t="s">
        <v>421</v>
      </c>
      <c r="C100" s="5" t="s">
        <v>422</v>
      </c>
      <c r="D100" s="5" t="s">
        <v>423</v>
      </c>
      <c r="E100" s="5" t="s">
        <v>4494</v>
      </c>
      <c r="G100" s="5" t="s">
        <v>39</v>
      </c>
      <c r="H100" s="5" t="s">
        <v>424</v>
      </c>
      <c r="I100" s="5" t="s">
        <v>1451</v>
      </c>
      <c r="J100" s="5" t="s">
        <v>1372</v>
      </c>
      <c r="K100" s="4">
        <v>40219</v>
      </c>
      <c r="L100" s="4">
        <v>40219</v>
      </c>
      <c r="M100" s="9">
        <f t="shared" si="9"/>
        <v>15</v>
      </c>
      <c r="N100" s="4" t="str">
        <f t="shared" si="11"/>
        <v>] 10 ; 15 ]</v>
      </c>
      <c r="O100" s="5" t="s">
        <v>3786</v>
      </c>
      <c r="P100" s="5" t="s">
        <v>3786</v>
      </c>
      <c r="Q100" s="5">
        <v>2</v>
      </c>
      <c r="R100" s="5" t="str">
        <f t="shared" si="12"/>
        <v>Specialisation</v>
      </c>
      <c r="S100" s="5" t="s">
        <v>3789</v>
      </c>
      <c r="T100" s="4">
        <v>31289</v>
      </c>
      <c r="U100" s="5">
        <f t="shared" si="13"/>
        <v>1985</v>
      </c>
      <c r="V100" s="5" t="s">
        <v>3793</v>
      </c>
      <c r="W100" s="9">
        <f t="shared" si="10"/>
        <v>39</v>
      </c>
      <c r="X100" s="5" t="str">
        <f t="shared" si="14"/>
        <v>[35 - 39 ans ]</v>
      </c>
      <c r="Y100" s="5" t="str">
        <f t="shared" si="15"/>
        <v xml:space="preserve"> Mellenials </v>
      </c>
      <c r="Z100" s="9">
        <f t="shared" si="16"/>
        <v>21</v>
      </c>
      <c r="AA100" s="5" t="str">
        <f t="shared" si="17"/>
        <v>RAS</v>
      </c>
      <c r="AB100" s="5" t="s">
        <v>3805</v>
      </c>
      <c r="AC100" s="6" t="s">
        <v>3799</v>
      </c>
      <c r="AE100" s="5" t="s">
        <v>3844</v>
      </c>
      <c r="AF100" s="5" t="s">
        <v>4482</v>
      </c>
      <c r="AG100" s="5" t="s">
        <v>4485</v>
      </c>
      <c r="AH100" s="5" t="s">
        <v>4489</v>
      </c>
      <c r="AI100" s="5" t="s">
        <v>3957</v>
      </c>
      <c r="AJ100" s="5" t="s">
        <v>3958</v>
      </c>
      <c r="AK100" s="5" t="s">
        <v>3959</v>
      </c>
      <c r="AL100" s="5" t="s">
        <v>3858</v>
      </c>
    </row>
    <row r="101" spans="1:38" x14ac:dyDescent="0.3">
      <c r="A101" s="4">
        <v>45716</v>
      </c>
      <c r="B101" s="5" t="s">
        <v>425</v>
      </c>
      <c r="C101" s="5" t="s">
        <v>426</v>
      </c>
      <c r="D101" s="5" t="s">
        <v>427</v>
      </c>
      <c r="E101" s="5" t="s">
        <v>4494</v>
      </c>
      <c r="G101" s="5" t="s">
        <v>178</v>
      </c>
      <c r="H101" s="5" t="s">
        <v>428</v>
      </c>
      <c r="I101" s="5" t="s">
        <v>3312</v>
      </c>
      <c r="J101" s="5" t="s">
        <v>1393</v>
      </c>
      <c r="K101" s="4">
        <v>40185</v>
      </c>
      <c r="L101" s="4">
        <v>38677.041666666664</v>
      </c>
      <c r="M101" s="9">
        <f t="shared" si="9"/>
        <v>19</v>
      </c>
      <c r="N101" s="4" t="str">
        <f t="shared" si="11"/>
        <v>] 15 ; +oo [</v>
      </c>
      <c r="O101" s="5" t="s">
        <v>3782</v>
      </c>
      <c r="P101" s="5" t="s">
        <v>3784</v>
      </c>
      <c r="Q101" s="5">
        <v>1</v>
      </c>
      <c r="R101" s="5" t="str">
        <f t="shared" si="12"/>
        <v>Management &amp; Expertise</v>
      </c>
      <c r="S101" s="5" t="s">
        <v>3789</v>
      </c>
      <c r="T101" s="4">
        <v>29158</v>
      </c>
      <c r="U101" s="5">
        <f t="shared" si="13"/>
        <v>1979</v>
      </c>
      <c r="V101" s="5" t="s">
        <v>3793</v>
      </c>
      <c r="W101" s="9">
        <f t="shared" si="10"/>
        <v>45</v>
      </c>
      <c r="X101" s="5" t="str">
        <f t="shared" si="14"/>
        <v>[45 - 49 ans]</v>
      </c>
      <c r="Y101" s="5" t="str">
        <f t="shared" si="15"/>
        <v xml:space="preserve"> Generation X </v>
      </c>
      <c r="Z101" s="9">
        <f t="shared" si="16"/>
        <v>15</v>
      </c>
      <c r="AA101" s="5" t="str">
        <f t="shared" si="17"/>
        <v>RAS</v>
      </c>
      <c r="AB101" s="5" t="s">
        <v>3806</v>
      </c>
      <c r="AC101" s="6" t="s">
        <v>3799</v>
      </c>
      <c r="AE101" s="5" t="s">
        <v>3845</v>
      </c>
      <c r="AF101" s="5" t="s">
        <v>4481</v>
      </c>
      <c r="AG101" s="5" t="s">
        <v>4485</v>
      </c>
      <c r="AH101" s="5" t="s">
        <v>4488</v>
      </c>
      <c r="AI101" s="5" t="s">
        <v>4060</v>
      </c>
      <c r="AJ101" s="5" t="s">
        <v>4061</v>
      </c>
      <c r="AK101" s="5" t="s">
        <v>3980</v>
      </c>
      <c r="AL101" s="5" t="s">
        <v>3854</v>
      </c>
    </row>
    <row r="102" spans="1:38" x14ac:dyDescent="0.3">
      <c r="A102" s="4">
        <v>45716</v>
      </c>
      <c r="B102" s="5" t="s">
        <v>429</v>
      </c>
      <c r="C102" s="5" t="s">
        <v>430</v>
      </c>
      <c r="D102" s="5" t="s">
        <v>431</v>
      </c>
      <c r="E102" s="5" t="s">
        <v>4494</v>
      </c>
      <c r="F102" s="5" t="s">
        <v>4496</v>
      </c>
      <c r="G102" s="5" t="s">
        <v>29</v>
      </c>
      <c r="H102" s="5" t="s">
        <v>432</v>
      </c>
      <c r="I102" s="5" t="s">
        <v>69</v>
      </c>
      <c r="J102" s="5" t="s">
        <v>2355</v>
      </c>
      <c r="K102" s="4">
        <v>40224</v>
      </c>
      <c r="L102" s="4">
        <v>40224</v>
      </c>
      <c r="M102" s="9">
        <f t="shared" si="9"/>
        <v>15</v>
      </c>
      <c r="N102" s="4" t="str">
        <f t="shared" si="11"/>
        <v>] 10 ; 15 ]</v>
      </c>
      <c r="O102" s="5" t="s">
        <v>3786</v>
      </c>
      <c r="P102" s="5" t="s">
        <v>3786</v>
      </c>
      <c r="Q102" s="5">
        <v>2</v>
      </c>
      <c r="R102" s="5" t="str">
        <f t="shared" si="12"/>
        <v>Specialisation</v>
      </c>
      <c r="S102" s="5" t="s">
        <v>3790</v>
      </c>
      <c r="T102" s="4">
        <v>27736</v>
      </c>
      <c r="U102" s="5">
        <f t="shared" si="13"/>
        <v>1975</v>
      </c>
      <c r="V102" s="5" t="s">
        <v>3793</v>
      </c>
      <c r="W102" s="9">
        <f t="shared" si="10"/>
        <v>49</v>
      </c>
      <c r="X102" s="5" t="str">
        <f t="shared" si="14"/>
        <v>[45 - 49 ans]</v>
      </c>
      <c r="Y102" s="5" t="str">
        <f t="shared" si="15"/>
        <v xml:space="preserve"> Generation X </v>
      </c>
      <c r="Z102" s="9">
        <f t="shared" si="16"/>
        <v>11</v>
      </c>
      <c r="AA102" s="5" t="str">
        <f t="shared" si="17"/>
        <v>RAS</v>
      </c>
      <c r="AB102" s="5" t="s">
        <v>3806</v>
      </c>
      <c r="AC102" s="6" t="s">
        <v>3799</v>
      </c>
      <c r="AE102" s="5" t="s">
        <v>3844</v>
      </c>
      <c r="AF102" s="5" t="s">
        <v>4482</v>
      </c>
      <c r="AG102" s="5" t="s">
        <v>4485</v>
      </c>
      <c r="AH102" s="5" t="s">
        <v>4487</v>
      </c>
      <c r="AI102" s="5" t="s">
        <v>3997</v>
      </c>
      <c r="AJ102" s="5" t="s">
        <v>3998</v>
      </c>
      <c r="AK102" s="5" t="s">
        <v>3885</v>
      </c>
      <c r="AL102" s="5" t="s">
        <v>3858</v>
      </c>
    </row>
    <row r="103" spans="1:38" x14ac:dyDescent="0.3">
      <c r="A103" s="4">
        <v>45716</v>
      </c>
      <c r="B103" s="5" t="s">
        <v>433</v>
      </c>
      <c r="C103" s="5" t="s">
        <v>434</v>
      </c>
      <c r="D103" s="5" t="s">
        <v>435</v>
      </c>
      <c r="E103" s="5" t="s">
        <v>4494</v>
      </c>
      <c r="G103" s="5" t="s">
        <v>178</v>
      </c>
      <c r="H103" s="5" t="s">
        <v>436</v>
      </c>
      <c r="I103" s="5" t="s">
        <v>1368</v>
      </c>
      <c r="J103" s="5" t="s">
        <v>1857</v>
      </c>
      <c r="K103" s="4">
        <v>40224</v>
      </c>
      <c r="L103" s="4">
        <v>40224</v>
      </c>
      <c r="M103" s="9">
        <f t="shared" si="9"/>
        <v>15</v>
      </c>
      <c r="N103" s="4" t="str">
        <f t="shared" si="11"/>
        <v>] 10 ; 15 ]</v>
      </c>
      <c r="O103" s="5" t="s">
        <v>3784</v>
      </c>
      <c r="P103" s="5" t="s">
        <v>3784</v>
      </c>
      <c r="Q103" s="5">
        <v>2</v>
      </c>
      <c r="R103" s="5" t="str">
        <f t="shared" si="12"/>
        <v>Management &amp; Expertise</v>
      </c>
      <c r="S103" s="5" t="s">
        <v>3790</v>
      </c>
      <c r="T103" s="4">
        <v>28777</v>
      </c>
      <c r="U103" s="5">
        <f t="shared" si="13"/>
        <v>1978</v>
      </c>
      <c r="V103" s="5" t="s">
        <v>3793</v>
      </c>
      <c r="W103" s="9">
        <f t="shared" si="10"/>
        <v>46</v>
      </c>
      <c r="X103" s="5" t="str">
        <f t="shared" si="14"/>
        <v>[45 - 49 ans]</v>
      </c>
      <c r="Y103" s="5" t="str">
        <f t="shared" si="15"/>
        <v xml:space="preserve"> Generation X </v>
      </c>
      <c r="Z103" s="9">
        <f t="shared" si="16"/>
        <v>14</v>
      </c>
      <c r="AA103" s="5" t="str">
        <f t="shared" si="17"/>
        <v>RAS</v>
      </c>
      <c r="AB103" s="5" t="s">
        <v>3806</v>
      </c>
      <c r="AC103" s="6" t="s">
        <v>3799</v>
      </c>
      <c r="AE103" s="5" t="s">
        <v>3845</v>
      </c>
      <c r="AF103" s="5" t="s">
        <v>4481</v>
      </c>
      <c r="AG103" s="5" t="s">
        <v>4485</v>
      </c>
      <c r="AH103" s="5" t="s">
        <v>4488</v>
      </c>
      <c r="AI103" s="5" t="s">
        <v>4062</v>
      </c>
      <c r="AJ103" s="5" t="s">
        <v>4063</v>
      </c>
      <c r="AK103" s="5" t="s">
        <v>3962</v>
      </c>
      <c r="AL103" s="5" t="s">
        <v>3854</v>
      </c>
    </row>
    <row r="104" spans="1:38" x14ac:dyDescent="0.3">
      <c r="A104" s="4">
        <v>45716</v>
      </c>
      <c r="B104" s="5" t="s">
        <v>437</v>
      </c>
      <c r="C104" s="5" t="s">
        <v>438</v>
      </c>
      <c r="D104" s="5" t="s">
        <v>439</v>
      </c>
      <c r="E104" s="5" t="s">
        <v>4494</v>
      </c>
      <c r="G104" s="5" t="s">
        <v>137</v>
      </c>
      <c r="H104" s="5" t="s">
        <v>440</v>
      </c>
      <c r="I104" s="5" t="s">
        <v>290</v>
      </c>
      <c r="J104" s="5" t="s">
        <v>1346</v>
      </c>
      <c r="K104" s="4">
        <v>40224</v>
      </c>
      <c r="L104" s="4">
        <v>40224</v>
      </c>
      <c r="M104" s="9">
        <f t="shared" si="9"/>
        <v>15</v>
      </c>
      <c r="N104" s="4" t="str">
        <f t="shared" si="11"/>
        <v>] 10 ; 15 ]</v>
      </c>
      <c r="O104" s="5" t="s">
        <v>3787</v>
      </c>
      <c r="P104" s="5" t="s">
        <v>3788</v>
      </c>
      <c r="Q104" s="5">
        <v>1</v>
      </c>
      <c r="R104" s="5" t="str">
        <f t="shared" si="12"/>
        <v>Qualification</v>
      </c>
      <c r="S104" s="5" t="s">
        <v>3789</v>
      </c>
      <c r="T104" s="4">
        <v>26853</v>
      </c>
      <c r="U104" s="5">
        <f t="shared" si="13"/>
        <v>1973</v>
      </c>
      <c r="V104" s="5" t="s">
        <v>3793</v>
      </c>
      <c r="W104" s="9">
        <f t="shared" si="10"/>
        <v>51</v>
      </c>
      <c r="X104" s="5" t="str">
        <f t="shared" si="14"/>
        <v>[50 ans, +oo [</v>
      </c>
      <c r="Y104" s="5" t="str">
        <f t="shared" si="15"/>
        <v xml:space="preserve"> Generation X </v>
      </c>
      <c r="Z104" s="9">
        <f t="shared" si="16"/>
        <v>9</v>
      </c>
      <c r="AA104" s="5" t="str">
        <f t="shared" si="17"/>
        <v>RAS</v>
      </c>
      <c r="AB104" s="5" t="s">
        <v>3812</v>
      </c>
      <c r="AC104" s="6" t="s">
        <v>3799</v>
      </c>
      <c r="AE104" s="5" t="s">
        <v>3844</v>
      </c>
      <c r="AF104" s="5" t="s">
        <v>4482</v>
      </c>
      <c r="AG104" s="5" t="s">
        <v>4485</v>
      </c>
      <c r="AH104" s="5" t="s">
        <v>4487</v>
      </c>
      <c r="AI104" s="5" t="s">
        <v>4064</v>
      </c>
      <c r="AJ104" s="5" t="s">
        <v>4065</v>
      </c>
      <c r="AK104" s="5" t="s">
        <v>4066</v>
      </c>
      <c r="AL104" s="5" t="s">
        <v>3858</v>
      </c>
    </row>
    <row r="105" spans="1:38" x14ac:dyDescent="0.3">
      <c r="A105" s="4">
        <v>45716</v>
      </c>
      <c r="B105" s="5" t="s">
        <v>441</v>
      </c>
      <c r="C105" s="5" t="s">
        <v>442</v>
      </c>
      <c r="D105" s="5" t="s">
        <v>443</v>
      </c>
      <c r="E105" s="5" t="s">
        <v>4494</v>
      </c>
      <c r="G105" s="5" t="s">
        <v>57</v>
      </c>
      <c r="H105" s="5" t="s">
        <v>444</v>
      </c>
      <c r="I105" s="5" t="s">
        <v>56</v>
      </c>
      <c r="J105" s="5" t="s">
        <v>2841</v>
      </c>
      <c r="K105" s="4">
        <v>40224</v>
      </c>
      <c r="L105" s="4">
        <v>40224</v>
      </c>
      <c r="M105" s="9">
        <f t="shared" si="9"/>
        <v>15</v>
      </c>
      <c r="N105" s="4" t="str">
        <f t="shared" si="11"/>
        <v>] 10 ; 15 ]</v>
      </c>
      <c r="O105" s="5" t="s">
        <v>3784</v>
      </c>
      <c r="P105" s="5" t="s">
        <v>3784</v>
      </c>
      <c r="Q105" s="5">
        <v>2</v>
      </c>
      <c r="R105" s="5" t="str">
        <f t="shared" si="12"/>
        <v>Management &amp; Expertise</v>
      </c>
      <c r="S105" s="5" t="s">
        <v>3790</v>
      </c>
      <c r="T105" s="4">
        <v>27446</v>
      </c>
      <c r="U105" s="5">
        <f t="shared" si="13"/>
        <v>1975</v>
      </c>
      <c r="V105" s="5" t="s">
        <v>3792</v>
      </c>
      <c r="W105" s="9">
        <f t="shared" si="10"/>
        <v>50</v>
      </c>
      <c r="X105" s="5" t="str">
        <f t="shared" si="14"/>
        <v>[50 ans, +oo [</v>
      </c>
      <c r="Y105" s="5" t="str">
        <f t="shared" si="15"/>
        <v xml:space="preserve"> Generation X </v>
      </c>
      <c r="Z105" s="9">
        <f t="shared" si="16"/>
        <v>10</v>
      </c>
      <c r="AA105" s="5" t="str">
        <f t="shared" si="17"/>
        <v>RAS</v>
      </c>
      <c r="AB105" s="5" t="s">
        <v>3806</v>
      </c>
      <c r="AC105" s="6" t="s">
        <v>3799</v>
      </c>
      <c r="AE105" s="5" t="s">
        <v>3845</v>
      </c>
      <c r="AF105" s="5" t="s">
        <v>4481</v>
      </c>
      <c r="AG105" s="5" t="s">
        <v>4485</v>
      </c>
      <c r="AH105" s="5" t="s">
        <v>4487</v>
      </c>
      <c r="AI105" s="5" t="s">
        <v>4054</v>
      </c>
      <c r="AJ105" s="5" t="s">
        <v>4055</v>
      </c>
      <c r="AK105" s="5" t="s">
        <v>3876</v>
      </c>
      <c r="AL105" s="5" t="s">
        <v>3854</v>
      </c>
    </row>
    <row r="106" spans="1:38" x14ac:dyDescent="0.3">
      <c r="A106" s="4">
        <v>45716</v>
      </c>
      <c r="B106" s="5" t="s">
        <v>445</v>
      </c>
      <c r="C106" s="5" t="s">
        <v>446</v>
      </c>
      <c r="D106" s="5" t="s">
        <v>447</v>
      </c>
      <c r="E106" s="5" t="s">
        <v>4494</v>
      </c>
      <c r="G106" s="5" t="s">
        <v>57</v>
      </c>
      <c r="H106" s="5" t="s">
        <v>448</v>
      </c>
      <c r="I106" s="5" t="s">
        <v>810</v>
      </c>
      <c r="J106" s="5" t="s">
        <v>56</v>
      </c>
      <c r="K106" s="4">
        <v>40224</v>
      </c>
      <c r="L106" s="4">
        <v>40224</v>
      </c>
      <c r="M106" s="9">
        <f t="shared" si="9"/>
        <v>15</v>
      </c>
      <c r="N106" s="4" t="str">
        <f t="shared" si="11"/>
        <v>] 10 ; 15 ]</v>
      </c>
      <c r="O106" s="5" t="s">
        <v>3786</v>
      </c>
      <c r="P106" s="5" t="s">
        <v>3786</v>
      </c>
      <c r="Q106" s="5">
        <v>1</v>
      </c>
      <c r="R106" s="5" t="str">
        <f t="shared" si="12"/>
        <v>Specialisation</v>
      </c>
      <c r="S106" s="5" t="s">
        <v>3790</v>
      </c>
      <c r="T106" s="4">
        <v>30624</v>
      </c>
      <c r="U106" s="5">
        <f t="shared" si="13"/>
        <v>1983</v>
      </c>
      <c r="V106" s="5" t="s">
        <v>3793</v>
      </c>
      <c r="W106" s="9">
        <f t="shared" si="10"/>
        <v>41</v>
      </c>
      <c r="X106" s="5" t="str">
        <f t="shared" si="14"/>
        <v>[40 - 44 ans]</v>
      </c>
      <c r="Y106" s="5" t="str">
        <f t="shared" si="15"/>
        <v xml:space="preserve"> Mellenials </v>
      </c>
      <c r="Z106" s="9">
        <f t="shared" si="16"/>
        <v>19</v>
      </c>
      <c r="AA106" s="5" t="str">
        <f t="shared" si="17"/>
        <v>RAS</v>
      </c>
      <c r="AB106" s="5" t="s">
        <v>3813</v>
      </c>
      <c r="AC106" s="6" t="s">
        <v>3799</v>
      </c>
      <c r="AE106" s="5" t="s">
        <v>3844</v>
      </c>
      <c r="AF106" s="5" t="s">
        <v>4482</v>
      </c>
      <c r="AG106" s="5" t="s">
        <v>4485</v>
      </c>
      <c r="AH106" s="5" t="s">
        <v>4487</v>
      </c>
      <c r="AI106" s="5" t="s">
        <v>4067</v>
      </c>
      <c r="AJ106" s="5" t="s">
        <v>4068</v>
      </c>
      <c r="AK106" s="5" t="s">
        <v>4069</v>
      </c>
      <c r="AL106" s="5" t="s">
        <v>3858</v>
      </c>
    </row>
    <row r="107" spans="1:38" x14ac:dyDescent="0.3">
      <c r="A107" s="4">
        <v>45716</v>
      </c>
      <c r="B107" s="5" t="s">
        <v>449</v>
      </c>
      <c r="C107" s="5" t="s">
        <v>450</v>
      </c>
      <c r="D107" s="5" t="s">
        <v>451</v>
      </c>
      <c r="E107" s="5" t="s">
        <v>4494</v>
      </c>
      <c r="G107" s="5" t="s">
        <v>178</v>
      </c>
      <c r="H107" s="5" t="s">
        <v>452</v>
      </c>
      <c r="I107" s="5" t="s">
        <v>3450</v>
      </c>
      <c r="J107" s="5" t="s">
        <v>201</v>
      </c>
      <c r="K107" s="4">
        <v>40224</v>
      </c>
      <c r="L107" s="4">
        <v>40224</v>
      </c>
      <c r="M107" s="9">
        <f t="shared" si="9"/>
        <v>15</v>
      </c>
      <c r="N107" s="4" t="str">
        <f t="shared" si="11"/>
        <v>] 10 ; 15 ]</v>
      </c>
      <c r="O107" s="5" t="s">
        <v>3783</v>
      </c>
      <c r="P107" s="5" t="s">
        <v>3783</v>
      </c>
      <c r="Q107" s="5">
        <v>1</v>
      </c>
      <c r="R107" s="5" t="str">
        <f t="shared" si="12"/>
        <v>Specialisation</v>
      </c>
      <c r="S107" s="5" t="s">
        <v>3790</v>
      </c>
      <c r="T107" s="4">
        <v>31130</v>
      </c>
      <c r="U107" s="5">
        <f t="shared" si="13"/>
        <v>1985</v>
      </c>
      <c r="V107" s="5" t="s">
        <v>3793</v>
      </c>
      <c r="W107" s="9">
        <f t="shared" si="10"/>
        <v>39</v>
      </c>
      <c r="X107" s="5" t="str">
        <f t="shared" si="14"/>
        <v>[35 - 39 ans ]</v>
      </c>
      <c r="Y107" s="5" t="str">
        <f t="shared" si="15"/>
        <v xml:space="preserve"> Mellenials </v>
      </c>
      <c r="Z107" s="9">
        <f t="shared" si="16"/>
        <v>21</v>
      </c>
      <c r="AA107" s="5" t="str">
        <f t="shared" si="17"/>
        <v>RAS</v>
      </c>
      <c r="AB107" s="5" t="s">
        <v>3806</v>
      </c>
      <c r="AC107" s="6" t="s">
        <v>3799</v>
      </c>
      <c r="AE107" s="5" t="s">
        <v>3844</v>
      </c>
      <c r="AF107" s="5" t="s">
        <v>4482</v>
      </c>
      <c r="AG107" s="5" t="s">
        <v>4485</v>
      </c>
      <c r="AH107" s="5" t="s">
        <v>4488</v>
      </c>
      <c r="AI107" s="5" t="s">
        <v>4070</v>
      </c>
      <c r="AJ107" s="5" t="s">
        <v>4071</v>
      </c>
      <c r="AK107" s="5" t="s">
        <v>3962</v>
      </c>
      <c r="AL107" s="5" t="s">
        <v>3858</v>
      </c>
    </row>
    <row r="108" spans="1:38" x14ac:dyDescent="0.3">
      <c r="A108" s="4">
        <v>45716</v>
      </c>
      <c r="B108" s="5" t="s">
        <v>453</v>
      </c>
      <c r="C108" s="5" t="s">
        <v>454</v>
      </c>
      <c r="D108" s="5" t="s">
        <v>455</v>
      </c>
      <c r="E108" s="5" t="s">
        <v>4494</v>
      </c>
      <c r="G108" s="5" t="s">
        <v>88</v>
      </c>
      <c r="H108" s="5" t="s">
        <v>456</v>
      </c>
      <c r="I108" s="5" t="s">
        <v>2020</v>
      </c>
      <c r="J108" s="5" t="s">
        <v>883</v>
      </c>
      <c r="K108" s="4">
        <v>40224</v>
      </c>
      <c r="L108" s="4">
        <v>40224</v>
      </c>
      <c r="M108" s="9">
        <f t="shared" si="9"/>
        <v>15</v>
      </c>
      <c r="N108" s="4" t="str">
        <f t="shared" si="11"/>
        <v>] 10 ; 15 ]</v>
      </c>
      <c r="O108" s="5" t="s">
        <v>3780</v>
      </c>
      <c r="P108" s="5" t="s">
        <v>3786</v>
      </c>
      <c r="Q108" s="5">
        <v>1</v>
      </c>
      <c r="R108" s="5" t="str">
        <f t="shared" si="12"/>
        <v>Qualification</v>
      </c>
      <c r="S108" s="5" t="s">
        <v>3790</v>
      </c>
      <c r="T108" s="4">
        <v>31114</v>
      </c>
      <c r="U108" s="5">
        <f t="shared" si="13"/>
        <v>1985</v>
      </c>
      <c r="V108" s="5" t="s">
        <v>3793</v>
      </c>
      <c r="W108" s="9">
        <f t="shared" si="10"/>
        <v>39</v>
      </c>
      <c r="X108" s="5" t="str">
        <f t="shared" si="14"/>
        <v>[35 - 39 ans ]</v>
      </c>
      <c r="Y108" s="5" t="str">
        <f t="shared" si="15"/>
        <v xml:space="preserve"> Mellenials </v>
      </c>
      <c r="Z108" s="9">
        <f t="shared" si="16"/>
        <v>21</v>
      </c>
      <c r="AA108" s="5" t="str">
        <f t="shared" si="17"/>
        <v>RAS</v>
      </c>
      <c r="AB108" s="5" t="s">
        <v>3811</v>
      </c>
      <c r="AC108" s="6" t="s">
        <v>3801</v>
      </c>
      <c r="AE108" s="5" t="s">
        <v>3844</v>
      </c>
      <c r="AF108" s="5" t="s">
        <v>4482</v>
      </c>
      <c r="AG108" s="5" t="s">
        <v>4485</v>
      </c>
      <c r="AH108" s="5" t="s">
        <v>4488</v>
      </c>
      <c r="AI108" s="5" t="s">
        <v>4072</v>
      </c>
      <c r="AJ108" s="5" t="s">
        <v>4073</v>
      </c>
      <c r="AK108" s="5" t="s">
        <v>4074</v>
      </c>
      <c r="AL108" s="5" t="s">
        <v>3858</v>
      </c>
    </row>
    <row r="109" spans="1:38" x14ac:dyDescent="0.3">
      <c r="A109" s="4">
        <v>45716</v>
      </c>
      <c r="B109" s="5" t="s">
        <v>457</v>
      </c>
      <c r="C109" s="5" t="s">
        <v>458</v>
      </c>
      <c r="D109" s="5" t="s">
        <v>459</v>
      </c>
      <c r="E109" s="5" t="s">
        <v>4494</v>
      </c>
      <c r="G109" s="5" t="s">
        <v>88</v>
      </c>
      <c r="H109" s="5" t="s">
        <v>456</v>
      </c>
      <c r="I109" s="5" t="s">
        <v>770</v>
      </c>
      <c r="J109" s="5" t="s">
        <v>883</v>
      </c>
      <c r="K109" s="4">
        <v>40224</v>
      </c>
      <c r="L109" s="4">
        <v>40224</v>
      </c>
      <c r="M109" s="9">
        <f t="shared" si="9"/>
        <v>15</v>
      </c>
      <c r="N109" s="4" t="str">
        <f t="shared" si="11"/>
        <v>] 10 ; 15 ]</v>
      </c>
      <c r="O109" s="5" t="s">
        <v>3780</v>
      </c>
      <c r="P109" s="5" t="s">
        <v>3786</v>
      </c>
      <c r="Q109" s="5">
        <v>1</v>
      </c>
      <c r="R109" s="5" t="str">
        <f t="shared" si="12"/>
        <v>Qualification</v>
      </c>
      <c r="S109" s="5" t="s">
        <v>3790</v>
      </c>
      <c r="T109" s="4">
        <v>31266</v>
      </c>
      <c r="U109" s="5">
        <f t="shared" si="13"/>
        <v>1985</v>
      </c>
      <c r="V109" s="5" t="s">
        <v>3792</v>
      </c>
      <c r="W109" s="9">
        <f t="shared" si="10"/>
        <v>39</v>
      </c>
      <c r="X109" s="5" t="str">
        <f t="shared" si="14"/>
        <v>[35 - 39 ans ]</v>
      </c>
      <c r="Y109" s="5" t="str">
        <f t="shared" si="15"/>
        <v xml:space="preserve"> Mellenials </v>
      </c>
      <c r="Z109" s="9">
        <f t="shared" si="16"/>
        <v>21</v>
      </c>
      <c r="AA109" s="5" t="str">
        <f t="shared" si="17"/>
        <v>RAS</v>
      </c>
      <c r="AB109" s="5" t="s">
        <v>3814</v>
      </c>
      <c r="AC109" s="6" t="s">
        <v>3799</v>
      </c>
      <c r="AE109" s="5" t="s">
        <v>3844</v>
      </c>
      <c r="AF109" s="5" t="s">
        <v>4482</v>
      </c>
      <c r="AG109" s="5" t="s">
        <v>4485</v>
      </c>
      <c r="AH109" s="5" t="s">
        <v>4488</v>
      </c>
      <c r="AI109" s="5" t="s">
        <v>4075</v>
      </c>
      <c r="AJ109" s="5" t="s">
        <v>4076</v>
      </c>
      <c r="AK109" s="5" t="s">
        <v>4077</v>
      </c>
      <c r="AL109" s="5" t="s">
        <v>3858</v>
      </c>
    </row>
    <row r="110" spans="1:38" x14ac:dyDescent="0.3">
      <c r="A110" s="4">
        <v>45716</v>
      </c>
      <c r="B110" s="5" t="s">
        <v>460</v>
      </c>
      <c r="C110" s="5" t="s">
        <v>461</v>
      </c>
      <c r="D110" s="5" t="s">
        <v>462</v>
      </c>
      <c r="E110" s="5" t="s">
        <v>4494</v>
      </c>
      <c r="G110" s="5" t="s">
        <v>39</v>
      </c>
      <c r="H110" s="5" t="s">
        <v>463</v>
      </c>
      <c r="I110" s="5" t="s">
        <v>1268</v>
      </c>
      <c r="J110" s="5" t="s">
        <v>52</v>
      </c>
      <c r="K110" s="4">
        <v>40224</v>
      </c>
      <c r="L110" s="4">
        <v>39706</v>
      </c>
      <c r="M110" s="9">
        <f t="shared" si="9"/>
        <v>16</v>
      </c>
      <c r="N110" s="4" t="str">
        <f t="shared" si="11"/>
        <v>] 15 ; +oo [</v>
      </c>
      <c r="O110" s="5" t="s">
        <v>3786</v>
      </c>
      <c r="P110" s="5" t="s">
        <v>3786</v>
      </c>
      <c r="Q110" s="5">
        <v>1</v>
      </c>
      <c r="R110" s="5" t="str">
        <f t="shared" si="12"/>
        <v>Specialisation</v>
      </c>
      <c r="S110" s="5" t="s">
        <v>3789</v>
      </c>
      <c r="T110" s="4">
        <v>29256</v>
      </c>
      <c r="U110" s="5">
        <f t="shared" si="13"/>
        <v>1980</v>
      </c>
      <c r="V110" s="5" t="s">
        <v>3793</v>
      </c>
      <c r="W110" s="9">
        <f t="shared" si="10"/>
        <v>45</v>
      </c>
      <c r="X110" s="5" t="str">
        <f t="shared" si="14"/>
        <v>[45 - 49 ans]</v>
      </c>
      <c r="Y110" s="5" t="str">
        <f t="shared" si="15"/>
        <v xml:space="preserve"> Generation X </v>
      </c>
      <c r="Z110" s="9">
        <f t="shared" si="16"/>
        <v>15</v>
      </c>
      <c r="AA110" s="5" t="str">
        <f t="shared" si="17"/>
        <v>RAS</v>
      </c>
      <c r="AB110" s="5" t="s">
        <v>3807</v>
      </c>
      <c r="AC110" s="6" t="s">
        <v>3799</v>
      </c>
      <c r="AE110" s="5" t="s">
        <v>3844</v>
      </c>
      <c r="AF110" s="5" t="s">
        <v>4482</v>
      </c>
      <c r="AG110" s="5" t="s">
        <v>4485</v>
      </c>
      <c r="AH110" s="5" t="s">
        <v>4489</v>
      </c>
      <c r="AI110" s="5" t="s">
        <v>4013</v>
      </c>
      <c r="AJ110" s="5" t="s">
        <v>4014</v>
      </c>
      <c r="AK110" s="5" t="s">
        <v>4015</v>
      </c>
      <c r="AL110" s="5" t="s">
        <v>3858</v>
      </c>
    </row>
    <row r="111" spans="1:38" x14ac:dyDescent="0.3">
      <c r="A111" s="4">
        <v>45716</v>
      </c>
      <c r="B111" s="5" t="s">
        <v>464</v>
      </c>
      <c r="C111" s="5" t="s">
        <v>465</v>
      </c>
      <c r="D111" s="5" t="s">
        <v>466</v>
      </c>
      <c r="E111" s="5" t="s">
        <v>4494</v>
      </c>
      <c r="G111" s="5" t="s">
        <v>88</v>
      </c>
      <c r="H111" s="5" t="s">
        <v>467</v>
      </c>
      <c r="I111" s="5" t="s">
        <v>230</v>
      </c>
      <c r="J111" s="5" t="s">
        <v>2739</v>
      </c>
      <c r="K111" s="4">
        <v>40224</v>
      </c>
      <c r="L111" s="4">
        <v>40224</v>
      </c>
      <c r="M111" s="9">
        <f t="shared" si="9"/>
        <v>15</v>
      </c>
      <c r="N111" s="4" t="str">
        <f t="shared" si="11"/>
        <v>] 10 ; 15 ]</v>
      </c>
      <c r="O111" s="5" t="s">
        <v>3786</v>
      </c>
      <c r="P111" s="5" t="s">
        <v>3786</v>
      </c>
      <c r="Q111" s="5">
        <v>1</v>
      </c>
      <c r="R111" s="5" t="str">
        <f t="shared" si="12"/>
        <v>Specialisation</v>
      </c>
      <c r="S111" s="5" t="s">
        <v>3789</v>
      </c>
      <c r="T111" s="4">
        <v>30995</v>
      </c>
      <c r="U111" s="5">
        <f t="shared" si="13"/>
        <v>1984</v>
      </c>
      <c r="V111" s="5" t="s">
        <v>3793</v>
      </c>
      <c r="W111" s="9">
        <f t="shared" si="10"/>
        <v>40</v>
      </c>
      <c r="X111" s="5" t="str">
        <f t="shared" si="14"/>
        <v>[40 - 44 ans]</v>
      </c>
      <c r="Y111" s="5" t="str">
        <f t="shared" si="15"/>
        <v xml:space="preserve"> Mellenials </v>
      </c>
      <c r="Z111" s="9">
        <f t="shared" si="16"/>
        <v>20</v>
      </c>
      <c r="AA111" s="5" t="str">
        <f t="shared" si="17"/>
        <v>RAS</v>
      </c>
      <c r="AB111" s="5" t="s">
        <v>3815</v>
      </c>
      <c r="AC111" s="6" t="s">
        <v>3799</v>
      </c>
      <c r="AE111" s="5" t="s">
        <v>3844</v>
      </c>
      <c r="AF111" s="5" t="s">
        <v>4482</v>
      </c>
      <c r="AG111" s="5" t="s">
        <v>4485</v>
      </c>
      <c r="AH111" s="5" t="s">
        <v>4488</v>
      </c>
      <c r="AI111" s="5" t="s">
        <v>3968</v>
      </c>
      <c r="AJ111" s="5" t="s">
        <v>3969</v>
      </c>
      <c r="AK111" s="5" t="s">
        <v>3970</v>
      </c>
      <c r="AL111" s="5" t="s">
        <v>3858</v>
      </c>
    </row>
    <row r="112" spans="1:38" x14ac:dyDescent="0.3">
      <c r="A112" s="4">
        <v>45716</v>
      </c>
      <c r="B112" s="5" t="s">
        <v>468</v>
      </c>
      <c r="C112" s="5" t="s">
        <v>469</v>
      </c>
      <c r="D112" s="5" t="s">
        <v>470</v>
      </c>
      <c r="E112" s="5" t="s">
        <v>4494</v>
      </c>
      <c r="G112" s="5" t="s">
        <v>39</v>
      </c>
      <c r="H112" s="5" t="s">
        <v>471</v>
      </c>
      <c r="I112" s="5" t="s">
        <v>1835</v>
      </c>
      <c r="J112" s="5" t="s">
        <v>48</v>
      </c>
      <c r="K112" s="4">
        <v>40224</v>
      </c>
      <c r="L112" s="4">
        <v>39580</v>
      </c>
      <c r="M112" s="9">
        <f t="shared" si="9"/>
        <v>16</v>
      </c>
      <c r="N112" s="4" t="str">
        <f t="shared" si="11"/>
        <v>] 15 ; +oo [</v>
      </c>
      <c r="O112" s="5" t="s">
        <v>3786</v>
      </c>
      <c r="P112" s="5" t="s">
        <v>3786</v>
      </c>
      <c r="Q112" s="5">
        <v>1</v>
      </c>
      <c r="R112" s="5" t="str">
        <f t="shared" si="12"/>
        <v>Specialisation</v>
      </c>
      <c r="S112" s="5" t="s">
        <v>3789</v>
      </c>
      <c r="T112" s="4">
        <v>30974</v>
      </c>
      <c r="U112" s="5">
        <f t="shared" si="13"/>
        <v>1984</v>
      </c>
      <c r="V112" s="5" t="s">
        <v>3793</v>
      </c>
      <c r="W112" s="9">
        <f t="shared" si="10"/>
        <v>40</v>
      </c>
      <c r="X112" s="5" t="str">
        <f t="shared" si="14"/>
        <v>[40 - 44 ans]</v>
      </c>
      <c r="Y112" s="5" t="str">
        <f t="shared" si="15"/>
        <v xml:space="preserve"> Mellenials </v>
      </c>
      <c r="Z112" s="9">
        <f t="shared" si="16"/>
        <v>20</v>
      </c>
      <c r="AA112" s="5" t="str">
        <f t="shared" si="17"/>
        <v>RAS</v>
      </c>
      <c r="AB112" s="5" t="s">
        <v>3807</v>
      </c>
      <c r="AC112" s="6" t="s">
        <v>3799</v>
      </c>
      <c r="AE112" s="5" t="s">
        <v>3844</v>
      </c>
      <c r="AF112" s="5" t="s">
        <v>4482</v>
      </c>
      <c r="AG112" s="5" t="s">
        <v>4485</v>
      </c>
      <c r="AH112" s="5" t="s">
        <v>4489</v>
      </c>
      <c r="AI112" s="5" t="s">
        <v>4078</v>
      </c>
      <c r="AJ112" s="5" t="s">
        <v>4079</v>
      </c>
      <c r="AK112" s="5" t="s">
        <v>4080</v>
      </c>
      <c r="AL112" s="5" t="s">
        <v>3858</v>
      </c>
    </row>
    <row r="113" spans="1:38" x14ac:dyDescent="0.3">
      <c r="A113" s="4">
        <v>45716</v>
      </c>
      <c r="B113" s="5" t="s">
        <v>472</v>
      </c>
      <c r="C113" s="5" t="s">
        <v>473</v>
      </c>
      <c r="D113" s="5" t="s">
        <v>474</v>
      </c>
      <c r="E113" s="5" t="s">
        <v>4494</v>
      </c>
      <c r="G113" s="5" t="s">
        <v>83</v>
      </c>
      <c r="H113" s="5" t="s">
        <v>475</v>
      </c>
      <c r="I113" s="5" t="s">
        <v>1903</v>
      </c>
      <c r="J113" s="5" t="s">
        <v>82</v>
      </c>
      <c r="K113" s="4">
        <v>40234</v>
      </c>
      <c r="L113" s="4">
        <v>40234</v>
      </c>
      <c r="M113" s="9">
        <f t="shared" si="9"/>
        <v>15</v>
      </c>
      <c r="N113" s="4" t="str">
        <f t="shared" si="11"/>
        <v>] 10 ; 15 ]</v>
      </c>
      <c r="O113" s="5" t="s">
        <v>3782</v>
      </c>
      <c r="P113" s="5" t="s">
        <v>3784</v>
      </c>
      <c r="Q113" s="5">
        <v>1</v>
      </c>
      <c r="R113" s="5" t="str">
        <f t="shared" si="12"/>
        <v>Management &amp; Expertise</v>
      </c>
      <c r="S113" s="5" t="s">
        <v>3789</v>
      </c>
      <c r="T113" s="4">
        <v>27925</v>
      </c>
      <c r="U113" s="5">
        <f t="shared" si="13"/>
        <v>1976</v>
      </c>
      <c r="V113" s="5" t="s">
        <v>3793</v>
      </c>
      <c r="W113" s="9">
        <f t="shared" si="10"/>
        <v>48</v>
      </c>
      <c r="X113" s="5" t="str">
        <f t="shared" si="14"/>
        <v>[45 - 49 ans]</v>
      </c>
      <c r="Y113" s="5" t="str">
        <f t="shared" si="15"/>
        <v xml:space="preserve"> Generation X </v>
      </c>
      <c r="Z113" s="9">
        <f t="shared" si="16"/>
        <v>12</v>
      </c>
      <c r="AA113" s="5" t="str">
        <f t="shared" si="17"/>
        <v>RAS</v>
      </c>
      <c r="AB113" s="5" t="s">
        <v>3806</v>
      </c>
      <c r="AC113" s="6" t="s">
        <v>3799</v>
      </c>
      <c r="AE113" s="5" t="s">
        <v>3845</v>
      </c>
      <c r="AF113" s="5" t="s">
        <v>4481</v>
      </c>
      <c r="AG113" s="5" t="s">
        <v>4485</v>
      </c>
      <c r="AH113" s="5" t="s">
        <v>4489</v>
      </c>
      <c r="AI113" s="5" t="s">
        <v>4081</v>
      </c>
      <c r="AJ113" s="5" t="s">
        <v>4082</v>
      </c>
      <c r="AK113" s="5" t="s">
        <v>4033</v>
      </c>
      <c r="AL113" s="5" t="s">
        <v>3854</v>
      </c>
    </row>
    <row r="114" spans="1:38" x14ac:dyDescent="0.3">
      <c r="A114" s="4">
        <v>45716</v>
      </c>
      <c r="B114" s="5" t="s">
        <v>477</v>
      </c>
      <c r="C114" s="5" t="s">
        <v>478</v>
      </c>
      <c r="D114" s="5" t="s">
        <v>479</v>
      </c>
      <c r="E114" s="5" t="s">
        <v>4494</v>
      </c>
      <c r="G114" s="5" t="s">
        <v>137</v>
      </c>
      <c r="H114" s="5" t="s">
        <v>480</v>
      </c>
      <c r="I114" s="5" t="s">
        <v>263</v>
      </c>
      <c r="J114" s="5" t="s">
        <v>290</v>
      </c>
      <c r="K114" s="4">
        <v>40231</v>
      </c>
      <c r="L114" s="4">
        <v>40231</v>
      </c>
      <c r="M114" s="9">
        <f t="shared" si="9"/>
        <v>15</v>
      </c>
      <c r="N114" s="4" t="str">
        <f t="shared" si="11"/>
        <v>] 10 ; 15 ]</v>
      </c>
      <c r="O114" s="5" t="s">
        <v>3783</v>
      </c>
      <c r="P114" s="5" t="s">
        <v>3783</v>
      </c>
      <c r="Q114" s="5">
        <v>1</v>
      </c>
      <c r="R114" s="5" t="str">
        <f t="shared" si="12"/>
        <v>Specialisation</v>
      </c>
      <c r="S114" s="5" t="s">
        <v>3789</v>
      </c>
      <c r="T114" s="4">
        <v>28707</v>
      </c>
      <c r="U114" s="5">
        <f t="shared" si="13"/>
        <v>1978</v>
      </c>
      <c r="V114" s="5" t="s">
        <v>3793</v>
      </c>
      <c r="W114" s="9">
        <f t="shared" si="10"/>
        <v>46</v>
      </c>
      <c r="X114" s="5" t="str">
        <f t="shared" si="14"/>
        <v>[45 - 49 ans]</v>
      </c>
      <c r="Y114" s="5" t="str">
        <f t="shared" si="15"/>
        <v xml:space="preserve"> Generation X </v>
      </c>
      <c r="Z114" s="9">
        <f t="shared" si="16"/>
        <v>14</v>
      </c>
      <c r="AA114" s="5" t="str">
        <f t="shared" si="17"/>
        <v>RAS</v>
      </c>
      <c r="AB114" s="5" t="s">
        <v>3806</v>
      </c>
      <c r="AC114" s="6" t="s">
        <v>3799</v>
      </c>
      <c r="AE114" s="5" t="s">
        <v>3844</v>
      </c>
      <c r="AF114" s="5" t="s">
        <v>4482</v>
      </c>
      <c r="AG114" s="5" t="s">
        <v>4485</v>
      </c>
      <c r="AH114" s="5" t="s">
        <v>4487</v>
      </c>
      <c r="AI114" s="5" t="s">
        <v>3984</v>
      </c>
      <c r="AJ114" s="5" t="s">
        <v>3985</v>
      </c>
      <c r="AK114" s="5" t="s">
        <v>3986</v>
      </c>
      <c r="AL114" s="5" t="s">
        <v>3858</v>
      </c>
    </row>
    <row r="115" spans="1:38" x14ac:dyDescent="0.3">
      <c r="A115" s="4">
        <v>45716</v>
      </c>
      <c r="B115" s="5" t="s">
        <v>481</v>
      </c>
      <c r="C115" s="5" t="s">
        <v>482</v>
      </c>
      <c r="D115" s="5" t="s">
        <v>483</v>
      </c>
      <c r="E115" s="5" t="s">
        <v>4494</v>
      </c>
      <c r="G115" s="5" t="s">
        <v>243</v>
      </c>
      <c r="H115" s="5" t="s">
        <v>484</v>
      </c>
      <c r="I115" s="5" t="s">
        <v>1350</v>
      </c>
      <c r="J115" s="5" t="s">
        <v>1272</v>
      </c>
      <c r="K115" s="4">
        <v>40231</v>
      </c>
      <c r="L115" s="4">
        <v>40231</v>
      </c>
      <c r="M115" s="9">
        <f t="shared" si="9"/>
        <v>15</v>
      </c>
      <c r="N115" s="4" t="str">
        <f t="shared" si="11"/>
        <v>] 10 ; 15 ]</v>
      </c>
      <c r="O115" s="5" t="s">
        <v>3785</v>
      </c>
      <c r="P115" s="5" t="s">
        <v>3785</v>
      </c>
      <c r="Q115" s="5">
        <v>1</v>
      </c>
      <c r="R115" s="5" t="str">
        <f t="shared" si="12"/>
        <v>Specialisation</v>
      </c>
      <c r="S115" s="5" t="s">
        <v>3790</v>
      </c>
      <c r="T115" s="4">
        <v>28937</v>
      </c>
      <c r="U115" s="5">
        <f t="shared" si="13"/>
        <v>1979</v>
      </c>
      <c r="V115" s="5" t="s">
        <v>3793</v>
      </c>
      <c r="W115" s="9">
        <f t="shared" si="10"/>
        <v>45</v>
      </c>
      <c r="X115" s="5" t="str">
        <f t="shared" si="14"/>
        <v>[45 - 49 ans]</v>
      </c>
      <c r="Y115" s="5" t="str">
        <f t="shared" si="15"/>
        <v xml:space="preserve"> Generation X </v>
      </c>
      <c r="Z115" s="9">
        <f t="shared" si="16"/>
        <v>15</v>
      </c>
      <c r="AA115" s="5" t="str">
        <f t="shared" si="17"/>
        <v>RAS</v>
      </c>
      <c r="AB115" s="5" t="s">
        <v>3806</v>
      </c>
      <c r="AC115" s="6" t="s">
        <v>3799</v>
      </c>
      <c r="AE115" s="5" t="s">
        <v>3844</v>
      </c>
      <c r="AF115" s="5" t="s">
        <v>4481</v>
      </c>
      <c r="AG115" s="5" t="s">
        <v>4485</v>
      </c>
      <c r="AH115" s="5" t="s">
        <v>4487</v>
      </c>
      <c r="AI115" s="5" t="s">
        <v>4086</v>
      </c>
      <c r="AJ115" s="5" t="s">
        <v>4087</v>
      </c>
      <c r="AK115" s="5" t="s">
        <v>3977</v>
      </c>
      <c r="AL115" s="5" t="s">
        <v>3858</v>
      </c>
    </row>
    <row r="116" spans="1:38" x14ac:dyDescent="0.3">
      <c r="A116" s="4">
        <v>45716</v>
      </c>
      <c r="B116" s="5" t="s">
        <v>485</v>
      </c>
      <c r="C116" s="5" t="s">
        <v>486</v>
      </c>
      <c r="D116" s="5" t="s">
        <v>487</v>
      </c>
      <c r="E116" s="5" t="s">
        <v>4494</v>
      </c>
      <c r="G116" s="5" t="s">
        <v>222</v>
      </c>
      <c r="H116" s="5" t="s">
        <v>488</v>
      </c>
      <c r="I116" s="5" t="s">
        <v>1287</v>
      </c>
      <c r="J116" s="5" t="s">
        <v>2086</v>
      </c>
      <c r="K116" s="4">
        <v>40231</v>
      </c>
      <c r="L116" s="4">
        <v>40231</v>
      </c>
      <c r="M116" s="9">
        <f t="shared" si="9"/>
        <v>15</v>
      </c>
      <c r="N116" s="4" t="str">
        <f t="shared" si="11"/>
        <v>] 10 ; 15 ]</v>
      </c>
      <c r="O116" s="5" t="s">
        <v>3783</v>
      </c>
      <c r="P116" s="5" t="s">
        <v>3785</v>
      </c>
      <c r="Q116" s="5">
        <v>1</v>
      </c>
      <c r="R116" s="5" t="str">
        <f t="shared" si="12"/>
        <v>Specialisation</v>
      </c>
      <c r="S116" s="5" t="s">
        <v>3789</v>
      </c>
      <c r="T116" s="4">
        <v>28215</v>
      </c>
      <c r="U116" s="5">
        <f t="shared" si="13"/>
        <v>1977</v>
      </c>
      <c r="V116" s="5" t="s">
        <v>3793</v>
      </c>
      <c r="W116" s="9">
        <f t="shared" si="10"/>
        <v>47</v>
      </c>
      <c r="X116" s="5" t="str">
        <f t="shared" si="14"/>
        <v>[45 - 49 ans]</v>
      </c>
      <c r="Y116" s="5" t="str">
        <f t="shared" si="15"/>
        <v xml:space="preserve"> Generation X </v>
      </c>
      <c r="Z116" s="9">
        <f t="shared" si="16"/>
        <v>13</v>
      </c>
      <c r="AA116" s="5" t="str">
        <f t="shared" si="17"/>
        <v>RAS</v>
      </c>
      <c r="AB116" s="5" t="s">
        <v>3806</v>
      </c>
      <c r="AC116" s="6" t="s">
        <v>3799</v>
      </c>
      <c r="AE116" s="5" t="s">
        <v>3844</v>
      </c>
      <c r="AF116" s="5" t="s">
        <v>4482</v>
      </c>
      <c r="AG116" s="5" t="s">
        <v>4485</v>
      </c>
      <c r="AH116" s="5" t="s">
        <v>4487</v>
      </c>
      <c r="AI116" s="5" t="s">
        <v>4088</v>
      </c>
      <c r="AJ116" s="5" t="s">
        <v>4089</v>
      </c>
      <c r="AK116" s="5" t="s">
        <v>4090</v>
      </c>
      <c r="AL116" s="5" t="s">
        <v>3858</v>
      </c>
    </row>
    <row r="117" spans="1:38" x14ac:dyDescent="0.3">
      <c r="A117" s="4">
        <v>45716</v>
      </c>
      <c r="B117" s="5" t="s">
        <v>489</v>
      </c>
      <c r="C117" s="5" t="s">
        <v>490</v>
      </c>
      <c r="D117" s="5" t="s">
        <v>491</v>
      </c>
      <c r="E117" s="5" t="s">
        <v>4494</v>
      </c>
      <c r="G117" s="5" t="s">
        <v>78</v>
      </c>
      <c r="H117" s="5" t="s">
        <v>492</v>
      </c>
      <c r="I117" s="5" t="s">
        <v>1823</v>
      </c>
      <c r="J117" s="5" t="s">
        <v>1357</v>
      </c>
      <c r="K117" s="4">
        <v>40231</v>
      </c>
      <c r="L117" s="4">
        <v>40231</v>
      </c>
      <c r="M117" s="9">
        <f t="shared" si="9"/>
        <v>15</v>
      </c>
      <c r="N117" s="4" t="str">
        <f t="shared" si="11"/>
        <v>] 10 ; 15 ]</v>
      </c>
      <c r="O117" s="5" t="s">
        <v>3782</v>
      </c>
      <c r="P117" s="5" t="s">
        <v>3782</v>
      </c>
      <c r="Q117" s="5">
        <v>2</v>
      </c>
      <c r="R117" s="5" t="str">
        <f t="shared" si="12"/>
        <v>Management &amp; Expertise</v>
      </c>
      <c r="S117" s="5" t="s">
        <v>3789</v>
      </c>
      <c r="T117" s="4">
        <v>27618</v>
      </c>
      <c r="U117" s="5">
        <f t="shared" si="13"/>
        <v>1975</v>
      </c>
      <c r="V117" s="5" t="s">
        <v>3793</v>
      </c>
      <c r="W117" s="9">
        <f t="shared" si="10"/>
        <v>49</v>
      </c>
      <c r="X117" s="5" t="str">
        <f t="shared" si="14"/>
        <v>[45 - 49 ans]</v>
      </c>
      <c r="Y117" s="5" t="str">
        <f t="shared" si="15"/>
        <v xml:space="preserve"> Generation X </v>
      </c>
      <c r="Z117" s="9">
        <f t="shared" si="16"/>
        <v>11</v>
      </c>
      <c r="AA117" s="5" t="str">
        <f t="shared" si="17"/>
        <v>RAS</v>
      </c>
      <c r="AB117" s="5" t="s">
        <v>3808</v>
      </c>
      <c r="AC117" s="6" t="s">
        <v>3799</v>
      </c>
      <c r="AE117" s="5" t="s">
        <v>3845</v>
      </c>
      <c r="AF117" s="5" t="s">
        <v>4481</v>
      </c>
      <c r="AG117" s="5" t="s">
        <v>4485</v>
      </c>
      <c r="AH117" s="5" t="s">
        <v>4488</v>
      </c>
      <c r="AI117" s="5" t="s">
        <v>4091</v>
      </c>
      <c r="AJ117" s="5" t="s">
        <v>4092</v>
      </c>
      <c r="AK117" s="5" t="s">
        <v>3946</v>
      </c>
      <c r="AL117" s="5" t="s">
        <v>3854</v>
      </c>
    </row>
    <row r="118" spans="1:38" x14ac:dyDescent="0.3">
      <c r="A118" s="4">
        <v>45716</v>
      </c>
      <c r="B118" s="5" t="s">
        <v>493</v>
      </c>
      <c r="C118" s="5" t="s">
        <v>494</v>
      </c>
      <c r="D118" s="5" t="s">
        <v>495</v>
      </c>
      <c r="E118" s="5" t="s">
        <v>4494</v>
      </c>
      <c r="G118" s="5" t="s">
        <v>88</v>
      </c>
      <c r="H118" s="5" t="s">
        <v>496</v>
      </c>
      <c r="I118" s="5" t="s">
        <v>165</v>
      </c>
      <c r="J118" s="5" t="s">
        <v>182</v>
      </c>
      <c r="K118" s="4">
        <v>40231</v>
      </c>
      <c r="L118" s="4">
        <v>40231</v>
      </c>
      <c r="M118" s="9">
        <f t="shared" si="9"/>
        <v>15</v>
      </c>
      <c r="N118" s="4" t="str">
        <f t="shared" si="11"/>
        <v>] 10 ; 15 ]</v>
      </c>
      <c r="O118" s="5" t="s">
        <v>3786</v>
      </c>
      <c r="P118" s="5" t="s">
        <v>3783</v>
      </c>
      <c r="Q118" s="5">
        <v>1</v>
      </c>
      <c r="R118" s="5" t="str">
        <f t="shared" si="12"/>
        <v>Specialisation</v>
      </c>
      <c r="S118" s="5" t="s">
        <v>3790</v>
      </c>
      <c r="T118" s="4">
        <v>29860</v>
      </c>
      <c r="U118" s="5">
        <f t="shared" si="13"/>
        <v>1981</v>
      </c>
      <c r="V118" s="5" t="s">
        <v>3793</v>
      </c>
      <c r="W118" s="9">
        <f t="shared" si="10"/>
        <v>43</v>
      </c>
      <c r="X118" s="5" t="str">
        <f t="shared" si="14"/>
        <v>[40 - 44 ans]</v>
      </c>
      <c r="Y118" s="5" t="str">
        <f t="shared" si="15"/>
        <v xml:space="preserve"> Mellenials </v>
      </c>
      <c r="Z118" s="9">
        <f t="shared" si="16"/>
        <v>17</v>
      </c>
      <c r="AA118" s="5" t="str">
        <f t="shared" si="17"/>
        <v>RAS</v>
      </c>
      <c r="AB118" s="5" t="s">
        <v>3806</v>
      </c>
      <c r="AC118" s="6" t="s">
        <v>3799</v>
      </c>
      <c r="AE118" s="5" t="s">
        <v>3844</v>
      </c>
      <c r="AF118" s="5" t="s">
        <v>4482</v>
      </c>
      <c r="AG118" s="5" t="s">
        <v>4485</v>
      </c>
      <c r="AH118" s="5" t="s">
        <v>4488</v>
      </c>
      <c r="AI118" s="5" t="s">
        <v>3941</v>
      </c>
      <c r="AJ118" s="5" t="s">
        <v>3942</v>
      </c>
      <c r="AK118" s="5" t="s">
        <v>3943</v>
      </c>
      <c r="AL118" s="5" t="s">
        <v>3858</v>
      </c>
    </row>
    <row r="119" spans="1:38" x14ac:dyDescent="0.3">
      <c r="A119" s="4">
        <v>45716</v>
      </c>
      <c r="B119" s="5" t="s">
        <v>497</v>
      </c>
      <c r="C119" s="5" t="s">
        <v>498</v>
      </c>
      <c r="D119" s="5" t="s">
        <v>499</v>
      </c>
      <c r="E119" s="5" t="s">
        <v>4494</v>
      </c>
      <c r="G119" s="5" t="s">
        <v>24</v>
      </c>
      <c r="H119" s="5" t="s">
        <v>500</v>
      </c>
      <c r="I119" s="5" t="s">
        <v>23</v>
      </c>
      <c r="J119" s="5" t="s">
        <v>1857</v>
      </c>
      <c r="K119" s="4">
        <v>40231</v>
      </c>
      <c r="L119" s="4">
        <v>40231</v>
      </c>
      <c r="M119" s="9">
        <f t="shared" si="9"/>
        <v>15</v>
      </c>
      <c r="N119" s="4" t="str">
        <f t="shared" si="11"/>
        <v>] 10 ; 15 ]</v>
      </c>
      <c r="O119" s="5" t="s">
        <v>3783</v>
      </c>
      <c r="P119" s="5" t="s">
        <v>3783</v>
      </c>
      <c r="Q119" s="5">
        <v>2</v>
      </c>
      <c r="R119" s="5" t="str">
        <f t="shared" si="12"/>
        <v>Specialisation</v>
      </c>
      <c r="S119" s="5" t="s">
        <v>3789</v>
      </c>
      <c r="T119" s="4">
        <v>30506</v>
      </c>
      <c r="U119" s="5">
        <f t="shared" si="13"/>
        <v>1983</v>
      </c>
      <c r="V119" s="5" t="s">
        <v>3793</v>
      </c>
      <c r="W119" s="9">
        <f t="shared" si="10"/>
        <v>41</v>
      </c>
      <c r="X119" s="5" t="str">
        <f t="shared" si="14"/>
        <v>[40 - 44 ans]</v>
      </c>
      <c r="Y119" s="5" t="str">
        <f t="shared" si="15"/>
        <v xml:space="preserve"> Mellenials </v>
      </c>
      <c r="Z119" s="9">
        <f t="shared" si="16"/>
        <v>19</v>
      </c>
      <c r="AA119" s="5" t="str">
        <f t="shared" si="17"/>
        <v>RAS</v>
      </c>
      <c r="AB119" s="5" t="s">
        <v>3805</v>
      </c>
      <c r="AC119" s="6" t="s">
        <v>3799</v>
      </c>
      <c r="AE119" s="5" t="s">
        <v>3844</v>
      </c>
      <c r="AF119" s="5" t="s">
        <v>4482</v>
      </c>
      <c r="AG119" s="5" t="s">
        <v>4485</v>
      </c>
      <c r="AH119" s="5" t="s">
        <v>4488</v>
      </c>
      <c r="AI119" s="5" t="s">
        <v>3851</v>
      </c>
      <c r="AJ119" s="5" t="s">
        <v>3852</v>
      </c>
      <c r="AK119" s="5" t="s">
        <v>3853</v>
      </c>
      <c r="AL119" s="5" t="s">
        <v>3858</v>
      </c>
    </row>
    <row r="120" spans="1:38" x14ac:dyDescent="0.3">
      <c r="A120" s="4">
        <v>45716</v>
      </c>
      <c r="B120" s="5" t="s">
        <v>501</v>
      </c>
      <c r="C120" s="5" t="s">
        <v>502</v>
      </c>
      <c r="D120" s="5" t="s">
        <v>503</v>
      </c>
      <c r="E120" s="5" t="s">
        <v>4494</v>
      </c>
      <c r="G120" s="5" t="s">
        <v>137</v>
      </c>
      <c r="H120" s="5" t="s">
        <v>504</v>
      </c>
      <c r="I120" s="5" t="s">
        <v>290</v>
      </c>
      <c r="J120" s="5" t="s">
        <v>290</v>
      </c>
      <c r="K120" s="4">
        <v>40231</v>
      </c>
      <c r="L120" s="4">
        <v>40000</v>
      </c>
      <c r="M120" s="9">
        <f t="shared" si="9"/>
        <v>15</v>
      </c>
      <c r="N120" s="4" t="str">
        <f t="shared" si="11"/>
        <v>] 10 ; 15 ]</v>
      </c>
      <c r="O120" s="5" t="s">
        <v>3780</v>
      </c>
      <c r="P120" s="5" t="s">
        <v>3780</v>
      </c>
      <c r="Q120" s="5">
        <v>3</v>
      </c>
      <c r="R120" s="5" t="str">
        <f t="shared" si="12"/>
        <v>Qualification</v>
      </c>
      <c r="S120" s="5" t="s">
        <v>3790</v>
      </c>
      <c r="T120" s="4">
        <v>30111</v>
      </c>
      <c r="U120" s="5">
        <f t="shared" si="13"/>
        <v>1982</v>
      </c>
      <c r="V120" s="5" t="s">
        <v>3793</v>
      </c>
      <c r="W120" s="9">
        <f t="shared" si="10"/>
        <v>42</v>
      </c>
      <c r="X120" s="5" t="str">
        <f t="shared" si="14"/>
        <v>[40 - 44 ans]</v>
      </c>
      <c r="Y120" s="5" t="str">
        <f t="shared" si="15"/>
        <v xml:space="preserve"> Mellenials </v>
      </c>
      <c r="Z120" s="9">
        <f t="shared" si="16"/>
        <v>18</v>
      </c>
      <c r="AA120" s="5" t="str">
        <f t="shared" si="17"/>
        <v>RAS</v>
      </c>
      <c r="AB120" s="5" t="s">
        <v>3812</v>
      </c>
      <c r="AC120" s="6" t="s">
        <v>3799</v>
      </c>
      <c r="AE120" s="5" t="s">
        <v>3844</v>
      </c>
      <c r="AF120" s="5" t="s">
        <v>4482</v>
      </c>
      <c r="AG120" s="5" t="s">
        <v>4485</v>
      </c>
      <c r="AH120" s="5" t="s">
        <v>4487</v>
      </c>
      <c r="AI120" s="5" t="s">
        <v>4093</v>
      </c>
      <c r="AJ120" s="5" t="s">
        <v>4094</v>
      </c>
      <c r="AK120" s="5">
        <v>71300</v>
      </c>
      <c r="AL120" s="5" t="s">
        <v>3858</v>
      </c>
    </row>
    <row r="121" spans="1:38" x14ac:dyDescent="0.3">
      <c r="A121" s="4">
        <v>45716</v>
      </c>
      <c r="B121" s="5" t="s">
        <v>505</v>
      </c>
      <c r="C121" s="5" t="s">
        <v>506</v>
      </c>
      <c r="D121" s="5" t="s">
        <v>507</v>
      </c>
      <c r="E121" s="5" t="s">
        <v>4494</v>
      </c>
      <c r="G121" s="5" t="s">
        <v>78</v>
      </c>
      <c r="H121" s="5" t="s">
        <v>508</v>
      </c>
      <c r="I121" s="5" t="s">
        <v>1126</v>
      </c>
      <c r="J121" s="5" t="s">
        <v>298</v>
      </c>
      <c r="K121" s="4">
        <v>40231</v>
      </c>
      <c r="L121" s="4">
        <v>38888</v>
      </c>
      <c r="M121" s="9">
        <f t="shared" si="9"/>
        <v>18</v>
      </c>
      <c r="N121" s="4" t="str">
        <f t="shared" si="11"/>
        <v>] 15 ; +oo [</v>
      </c>
      <c r="O121" s="5" t="s">
        <v>3788</v>
      </c>
      <c r="P121" s="5" t="s">
        <v>3788</v>
      </c>
      <c r="Q121" s="5">
        <v>2</v>
      </c>
      <c r="R121" s="5" t="str">
        <f t="shared" si="12"/>
        <v>Qualification</v>
      </c>
      <c r="S121" s="5" t="s">
        <v>3790</v>
      </c>
      <c r="T121" s="4">
        <v>28399</v>
      </c>
      <c r="U121" s="5">
        <f t="shared" si="13"/>
        <v>1977</v>
      </c>
      <c r="V121" s="5" t="s">
        <v>3793</v>
      </c>
      <c r="W121" s="9">
        <f t="shared" si="10"/>
        <v>47</v>
      </c>
      <c r="X121" s="5" t="str">
        <f t="shared" si="14"/>
        <v>[45 - 49 ans]</v>
      </c>
      <c r="Y121" s="5" t="str">
        <f t="shared" si="15"/>
        <v xml:space="preserve"> Generation X </v>
      </c>
      <c r="Z121" s="9">
        <f t="shared" si="16"/>
        <v>13</v>
      </c>
      <c r="AA121" s="5" t="str">
        <f t="shared" si="17"/>
        <v>RAS</v>
      </c>
      <c r="AB121" s="5" t="s">
        <v>3808</v>
      </c>
      <c r="AC121" s="6" t="s">
        <v>3799</v>
      </c>
      <c r="AE121" s="5" t="s">
        <v>3844</v>
      </c>
      <c r="AF121" s="5" t="s">
        <v>4482</v>
      </c>
      <c r="AG121" s="5" t="s">
        <v>4485</v>
      </c>
      <c r="AH121" s="5" t="s">
        <v>4488</v>
      </c>
      <c r="AI121" s="5" t="s">
        <v>4095</v>
      </c>
      <c r="AJ121" s="5" t="s">
        <v>4096</v>
      </c>
      <c r="AK121" s="5" t="s">
        <v>4097</v>
      </c>
      <c r="AL121" s="5" t="s">
        <v>3858</v>
      </c>
    </row>
    <row r="122" spans="1:38" x14ac:dyDescent="0.3">
      <c r="A122" s="4">
        <v>45716</v>
      </c>
      <c r="B122" s="5" t="s">
        <v>509</v>
      </c>
      <c r="C122" s="5" t="s">
        <v>510</v>
      </c>
      <c r="D122" s="5" t="s">
        <v>511</v>
      </c>
      <c r="E122" s="5" t="s">
        <v>4494</v>
      </c>
      <c r="G122" s="5" t="s">
        <v>88</v>
      </c>
      <c r="H122" s="5" t="s">
        <v>512</v>
      </c>
      <c r="I122" s="5" t="s">
        <v>1389</v>
      </c>
      <c r="J122" s="5" t="s">
        <v>182</v>
      </c>
      <c r="K122" s="4">
        <v>40231</v>
      </c>
      <c r="L122" s="4">
        <v>40231</v>
      </c>
      <c r="M122" s="9">
        <f t="shared" si="9"/>
        <v>15</v>
      </c>
      <c r="N122" s="4" t="str">
        <f t="shared" si="11"/>
        <v>] 10 ; 15 ]</v>
      </c>
      <c r="O122" s="5" t="s">
        <v>3786</v>
      </c>
      <c r="P122" s="5" t="s">
        <v>3785</v>
      </c>
      <c r="Q122" s="5">
        <v>1</v>
      </c>
      <c r="R122" s="5" t="str">
        <f t="shared" si="12"/>
        <v>Specialisation</v>
      </c>
      <c r="S122" s="5" t="s">
        <v>3790</v>
      </c>
      <c r="T122" s="4">
        <v>27689</v>
      </c>
      <c r="U122" s="5">
        <f t="shared" si="13"/>
        <v>1975</v>
      </c>
      <c r="V122" s="5" t="s">
        <v>3793</v>
      </c>
      <c r="W122" s="9">
        <f t="shared" si="10"/>
        <v>49</v>
      </c>
      <c r="X122" s="5" t="str">
        <f t="shared" si="14"/>
        <v>[45 - 49 ans]</v>
      </c>
      <c r="Y122" s="5" t="str">
        <f t="shared" si="15"/>
        <v xml:space="preserve"> Generation X </v>
      </c>
      <c r="Z122" s="9">
        <f t="shared" si="16"/>
        <v>11</v>
      </c>
      <c r="AA122" s="5" t="str">
        <f t="shared" si="17"/>
        <v>RAS</v>
      </c>
      <c r="AB122" s="5" t="s">
        <v>3806</v>
      </c>
      <c r="AC122" s="6" t="s">
        <v>3799</v>
      </c>
      <c r="AE122" s="5" t="s">
        <v>3844</v>
      </c>
      <c r="AF122" s="5" t="s">
        <v>4482</v>
      </c>
      <c r="AG122" s="5" t="s">
        <v>4485</v>
      </c>
      <c r="AH122" s="5" t="s">
        <v>4488</v>
      </c>
      <c r="AI122" s="5" t="s">
        <v>4098</v>
      </c>
      <c r="AJ122" s="5" t="s">
        <v>4099</v>
      </c>
      <c r="AK122" s="5" t="s">
        <v>4100</v>
      </c>
      <c r="AL122" s="5" t="s">
        <v>3854</v>
      </c>
    </row>
    <row r="123" spans="1:38" x14ac:dyDescent="0.3">
      <c r="A123" s="4">
        <v>45716</v>
      </c>
      <c r="B123" s="5" t="s">
        <v>513</v>
      </c>
      <c r="C123" s="5" t="s">
        <v>514</v>
      </c>
      <c r="D123" s="5" t="s">
        <v>515</v>
      </c>
      <c r="E123" s="5" t="s">
        <v>4494</v>
      </c>
      <c r="G123" s="5" t="s">
        <v>88</v>
      </c>
      <c r="H123" s="5" t="s">
        <v>456</v>
      </c>
      <c r="I123" s="5" t="s">
        <v>2265</v>
      </c>
      <c r="J123" s="5" t="s">
        <v>883</v>
      </c>
      <c r="K123" s="4">
        <v>40231</v>
      </c>
      <c r="L123" s="4">
        <v>39931.041666666664</v>
      </c>
      <c r="M123" s="9">
        <f t="shared" si="9"/>
        <v>15</v>
      </c>
      <c r="N123" s="4" t="str">
        <f t="shared" si="11"/>
        <v>] 10 ; 15 ]</v>
      </c>
      <c r="O123" s="5" t="s">
        <v>3780</v>
      </c>
      <c r="P123" s="5" t="s">
        <v>3780</v>
      </c>
      <c r="Q123" s="5">
        <v>3</v>
      </c>
      <c r="R123" s="5" t="str">
        <f t="shared" si="12"/>
        <v>Qualification</v>
      </c>
      <c r="S123" s="5" t="s">
        <v>3789</v>
      </c>
      <c r="T123" s="4">
        <v>30958</v>
      </c>
      <c r="U123" s="5">
        <f t="shared" si="13"/>
        <v>1984</v>
      </c>
      <c r="V123" s="5" t="s">
        <v>3793</v>
      </c>
      <c r="W123" s="9">
        <f t="shared" si="10"/>
        <v>40</v>
      </c>
      <c r="X123" s="5" t="str">
        <f t="shared" si="14"/>
        <v>[40 - 44 ans]</v>
      </c>
      <c r="Y123" s="5" t="str">
        <f t="shared" si="15"/>
        <v xml:space="preserve"> Mellenials </v>
      </c>
      <c r="Z123" s="9">
        <f t="shared" si="16"/>
        <v>20</v>
      </c>
      <c r="AA123" s="5" t="str">
        <f t="shared" si="17"/>
        <v>RAS</v>
      </c>
      <c r="AB123" s="5" t="s">
        <v>3816</v>
      </c>
      <c r="AC123" s="6" t="s">
        <v>3802</v>
      </c>
      <c r="AE123" s="5" t="s">
        <v>3844</v>
      </c>
      <c r="AF123" s="5" t="s">
        <v>4482</v>
      </c>
      <c r="AG123" s="5" t="s">
        <v>4485</v>
      </c>
      <c r="AH123" s="5" t="s">
        <v>4488</v>
      </c>
      <c r="AI123" s="5" t="s">
        <v>4101</v>
      </c>
      <c r="AJ123" s="5" t="s">
        <v>4102</v>
      </c>
      <c r="AK123" s="5" t="s">
        <v>4103</v>
      </c>
      <c r="AL123" s="5" t="s">
        <v>3858</v>
      </c>
    </row>
    <row r="124" spans="1:38" x14ac:dyDescent="0.3">
      <c r="A124" s="4">
        <v>45716</v>
      </c>
      <c r="B124" s="5" t="s">
        <v>516</v>
      </c>
      <c r="C124" s="5" t="s">
        <v>517</v>
      </c>
      <c r="D124" s="5" t="s">
        <v>518</v>
      </c>
      <c r="E124" s="5" t="s">
        <v>4494</v>
      </c>
      <c r="G124" s="5" t="s">
        <v>57</v>
      </c>
      <c r="H124" s="5" t="s">
        <v>519</v>
      </c>
      <c r="I124" s="5" t="s">
        <v>443</v>
      </c>
      <c r="J124" s="5" t="s">
        <v>56</v>
      </c>
      <c r="K124" s="4">
        <v>40231</v>
      </c>
      <c r="L124" s="4">
        <v>39845</v>
      </c>
      <c r="M124" s="9">
        <f t="shared" si="9"/>
        <v>16</v>
      </c>
      <c r="N124" s="4" t="str">
        <f t="shared" si="11"/>
        <v>] 15 ; +oo [</v>
      </c>
      <c r="O124" s="5" t="s">
        <v>3785</v>
      </c>
      <c r="P124" s="5" t="s">
        <v>3785</v>
      </c>
      <c r="Q124" s="5">
        <v>2</v>
      </c>
      <c r="R124" s="5" t="str">
        <f t="shared" si="12"/>
        <v>Specialisation</v>
      </c>
      <c r="S124" s="5" t="s">
        <v>3790</v>
      </c>
      <c r="T124" s="4">
        <v>31238</v>
      </c>
      <c r="U124" s="5">
        <f t="shared" si="13"/>
        <v>1985</v>
      </c>
      <c r="V124" s="5" t="s">
        <v>3793</v>
      </c>
      <c r="W124" s="9">
        <f t="shared" si="10"/>
        <v>39</v>
      </c>
      <c r="X124" s="5" t="str">
        <f t="shared" si="14"/>
        <v>[35 - 39 ans ]</v>
      </c>
      <c r="Y124" s="5" t="str">
        <f t="shared" si="15"/>
        <v xml:space="preserve"> Mellenials </v>
      </c>
      <c r="Z124" s="9">
        <f t="shared" si="16"/>
        <v>21</v>
      </c>
      <c r="AA124" s="5" t="str">
        <f t="shared" si="17"/>
        <v>RAS</v>
      </c>
      <c r="AB124" s="5" t="s">
        <v>3806</v>
      </c>
      <c r="AC124" s="6" t="s">
        <v>3799</v>
      </c>
      <c r="AE124" s="5" t="s">
        <v>3844</v>
      </c>
      <c r="AF124" s="5" t="s">
        <v>4481</v>
      </c>
      <c r="AG124" s="5" t="s">
        <v>4485</v>
      </c>
      <c r="AH124" s="5" t="s">
        <v>4487</v>
      </c>
      <c r="AI124" s="5" t="s">
        <v>4054</v>
      </c>
      <c r="AJ124" s="5" t="s">
        <v>4055</v>
      </c>
      <c r="AK124" s="5" t="s">
        <v>3876</v>
      </c>
      <c r="AL124" s="5" t="s">
        <v>3858</v>
      </c>
    </row>
    <row r="125" spans="1:38" x14ac:dyDescent="0.3">
      <c r="A125" s="4">
        <v>45716</v>
      </c>
      <c r="B125" s="5" t="s">
        <v>520</v>
      </c>
      <c r="C125" s="5" t="s">
        <v>521</v>
      </c>
      <c r="D125" s="5" t="s">
        <v>522</v>
      </c>
      <c r="E125" s="5" t="s">
        <v>4494</v>
      </c>
      <c r="G125" s="5" t="s">
        <v>78</v>
      </c>
      <c r="H125" s="5" t="s">
        <v>523</v>
      </c>
      <c r="I125" s="5" t="s">
        <v>2069</v>
      </c>
      <c r="J125" s="5" t="s">
        <v>1518</v>
      </c>
      <c r="K125" s="4">
        <v>40231</v>
      </c>
      <c r="L125" s="4">
        <v>39825</v>
      </c>
      <c r="M125" s="9">
        <f t="shared" si="9"/>
        <v>16</v>
      </c>
      <c r="N125" s="4" t="str">
        <f t="shared" si="11"/>
        <v>] 15 ; +oo [</v>
      </c>
      <c r="O125" s="5" t="s">
        <v>3788</v>
      </c>
      <c r="P125" s="5" t="s">
        <v>3780</v>
      </c>
      <c r="Q125" s="5">
        <v>1</v>
      </c>
      <c r="R125" s="5" t="str">
        <f t="shared" si="12"/>
        <v>Qualification</v>
      </c>
      <c r="S125" s="5" t="s">
        <v>3790</v>
      </c>
      <c r="T125" s="4">
        <v>30084</v>
      </c>
      <c r="U125" s="5">
        <f t="shared" si="13"/>
        <v>1982</v>
      </c>
      <c r="V125" s="5" t="s">
        <v>3793</v>
      </c>
      <c r="W125" s="9">
        <f t="shared" si="10"/>
        <v>42</v>
      </c>
      <c r="X125" s="5" t="str">
        <f t="shared" si="14"/>
        <v>[40 - 44 ans]</v>
      </c>
      <c r="Y125" s="5" t="str">
        <f t="shared" si="15"/>
        <v xml:space="preserve"> Mellenials </v>
      </c>
      <c r="Z125" s="9">
        <f t="shared" si="16"/>
        <v>18</v>
      </c>
      <c r="AA125" s="5" t="str">
        <f t="shared" si="17"/>
        <v>RAS</v>
      </c>
      <c r="AB125" s="5" t="s">
        <v>3808</v>
      </c>
      <c r="AC125" s="6" t="s">
        <v>3799</v>
      </c>
      <c r="AE125" s="5" t="s">
        <v>3844</v>
      </c>
      <c r="AF125" s="5" t="s">
        <v>4482</v>
      </c>
      <c r="AG125" s="5" t="s">
        <v>4485</v>
      </c>
      <c r="AH125" s="5" t="s">
        <v>4488</v>
      </c>
      <c r="AI125" s="5" t="s">
        <v>4104</v>
      </c>
      <c r="AJ125" s="5" t="s">
        <v>4105</v>
      </c>
      <c r="AK125" s="5" t="s">
        <v>4090</v>
      </c>
      <c r="AL125" s="5" t="s">
        <v>3858</v>
      </c>
    </row>
    <row r="126" spans="1:38" x14ac:dyDescent="0.3">
      <c r="A126" s="4">
        <v>45716</v>
      </c>
      <c r="B126" s="5" t="s">
        <v>524</v>
      </c>
      <c r="C126" s="5" t="s">
        <v>525</v>
      </c>
      <c r="D126" s="5" t="s">
        <v>526</v>
      </c>
      <c r="E126" s="5" t="s">
        <v>4494</v>
      </c>
      <c r="G126" s="5" t="s">
        <v>78</v>
      </c>
      <c r="H126" s="5" t="s">
        <v>527</v>
      </c>
      <c r="I126" s="5" t="s">
        <v>1633</v>
      </c>
      <c r="J126" s="5" t="s">
        <v>1518</v>
      </c>
      <c r="K126" s="4">
        <v>40231</v>
      </c>
      <c r="L126" s="4">
        <v>40231</v>
      </c>
      <c r="M126" s="9">
        <f t="shared" si="9"/>
        <v>15</v>
      </c>
      <c r="N126" s="4" t="str">
        <f t="shared" si="11"/>
        <v>] 10 ; 15 ]</v>
      </c>
      <c r="O126" s="5" t="s">
        <v>3780</v>
      </c>
      <c r="P126" s="5" t="s">
        <v>3780</v>
      </c>
      <c r="Q126" s="5">
        <v>2</v>
      </c>
      <c r="R126" s="5" t="str">
        <f t="shared" si="12"/>
        <v>Qualification</v>
      </c>
      <c r="S126" s="5" t="s">
        <v>3790</v>
      </c>
      <c r="T126" s="4">
        <v>29219</v>
      </c>
      <c r="U126" s="5">
        <f t="shared" si="13"/>
        <v>1979</v>
      </c>
      <c r="V126" s="5" t="s">
        <v>3793</v>
      </c>
      <c r="W126" s="9">
        <f t="shared" si="10"/>
        <v>45</v>
      </c>
      <c r="X126" s="5" t="str">
        <f t="shared" si="14"/>
        <v>[45 - 49 ans]</v>
      </c>
      <c r="Y126" s="5" t="str">
        <f t="shared" si="15"/>
        <v xml:space="preserve"> Generation X </v>
      </c>
      <c r="Z126" s="9">
        <f t="shared" si="16"/>
        <v>15</v>
      </c>
      <c r="AA126" s="5" t="str">
        <f t="shared" si="17"/>
        <v>RAS</v>
      </c>
      <c r="AB126" s="5" t="s">
        <v>3808</v>
      </c>
      <c r="AC126" s="6" t="s">
        <v>3799</v>
      </c>
      <c r="AE126" s="5" t="s">
        <v>3844</v>
      </c>
      <c r="AF126" s="5" t="s">
        <v>4482</v>
      </c>
      <c r="AG126" s="5" t="s">
        <v>4485</v>
      </c>
      <c r="AH126" s="5" t="s">
        <v>4488</v>
      </c>
      <c r="AI126" s="5" t="s">
        <v>4106</v>
      </c>
      <c r="AJ126" s="5" t="s">
        <v>4107</v>
      </c>
      <c r="AK126" s="5" t="s">
        <v>4108</v>
      </c>
      <c r="AL126" s="5" t="s">
        <v>3858</v>
      </c>
    </row>
    <row r="127" spans="1:38" x14ac:dyDescent="0.3">
      <c r="A127" s="4">
        <v>45716</v>
      </c>
      <c r="B127" s="5" t="s">
        <v>528</v>
      </c>
      <c r="C127" s="5" t="s">
        <v>529</v>
      </c>
      <c r="D127" s="5" t="s">
        <v>530</v>
      </c>
      <c r="E127" s="5" t="s">
        <v>4494</v>
      </c>
      <c r="G127" s="5" t="s">
        <v>243</v>
      </c>
      <c r="H127" s="5" t="s">
        <v>531</v>
      </c>
      <c r="I127" s="5" t="s">
        <v>2225</v>
      </c>
      <c r="J127" s="5" t="s">
        <v>1272</v>
      </c>
      <c r="K127" s="4">
        <v>40231</v>
      </c>
      <c r="L127" s="4">
        <v>40231</v>
      </c>
      <c r="M127" s="9">
        <f t="shared" si="9"/>
        <v>15</v>
      </c>
      <c r="N127" s="4" t="str">
        <f t="shared" si="11"/>
        <v>] 10 ; 15 ]</v>
      </c>
      <c r="O127" s="5" t="s">
        <v>3786</v>
      </c>
      <c r="P127" s="5" t="s">
        <v>3786</v>
      </c>
      <c r="Q127" s="5">
        <v>1</v>
      </c>
      <c r="R127" s="5" t="str">
        <f t="shared" si="12"/>
        <v>Specialisation</v>
      </c>
      <c r="S127" s="5" t="s">
        <v>3790</v>
      </c>
      <c r="T127" s="4">
        <v>31367</v>
      </c>
      <c r="U127" s="5">
        <f t="shared" si="13"/>
        <v>1985</v>
      </c>
      <c r="V127" s="5" t="s">
        <v>3792</v>
      </c>
      <c r="W127" s="9">
        <f t="shared" si="10"/>
        <v>39</v>
      </c>
      <c r="X127" s="5" t="str">
        <f t="shared" si="14"/>
        <v>[35 - 39 ans ]</v>
      </c>
      <c r="Y127" s="5" t="str">
        <f t="shared" si="15"/>
        <v xml:space="preserve"> Mellenials </v>
      </c>
      <c r="Z127" s="9">
        <f t="shared" si="16"/>
        <v>21</v>
      </c>
      <c r="AA127" s="5" t="str">
        <f t="shared" si="17"/>
        <v>RAS</v>
      </c>
      <c r="AB127" s="5" t="s">
        <v>3806</v>
      </c>
      <c r="AC127" s="6" t="s">
        <v>3799</v>
      </c>
      <c r="AE127" s="5" t="s">
        <v>3844</v>
      </c>
      <c r="AF127" s="5" t="s">
        <v>4482</v>
      </c>
      <c r="AG127" s="5" t="s">
        <v>4485</v>
      </c>
      <c r="AH127" s="5" t="s">
        <v>4487</v>
      </c>
      <c r="AI127" s="5" t="s">
        <v>4109</v>
      </c>
      <c r="AJ127" s="5" t="s">
        <v>4110</v>
      </c>
      <c r="AK127" s="5" t="s">
        <v>3977</v>
      </c>
      <c r="AL127" s="5" t="s">
        <v>3858</v>
      </c>
    </row>
    <row r="128" spans="1:38" x14ac:dyDescent="0.3">
      <c r="A128" s="4">
        <v>45716</v>
      </c>
      <c r="B128" s="5" t="s">
        <v>532</v>
      </c>
      <c r="C128" s="5" t="s">
        <v>533</v>
      </c>
      <c r="D128" s="5" t="s">
        <v>534</v>
      </c>
      <c r="E128" s="5" t="s">
        <v>4494</v>
      </c>
      <c r="G128" s="5" t="s">
        <v>39</v>
      </c>
      <c r="H128" s="5" t="s">
        <v>535</v>
      </c>
      <c r="I128" s="5" t="s">
        <v>120</v>
      </c>
      <c r="J128" s="5" t="s">
        <v>2821</v>
      </c>
      <c r="K128" s="4">
        <v>40231</v>
      </c>
      <c r="L128" s="4">
        <v>40231</v>
      </c>
      <c r="M128" s="9">
        <f t="shared" si="9"/>
        <v>15</v>
      </c>
      <c r="N128" s="4" t="str">
        <f t="shared" si="11"/>
        <v>] 10 ; 15 ]</v>
      </c>
      <c r="O128" s="5" t="s">
        <v>3783</v>
      </c>
      <c r="P128" s="5" t="s">
        <v>3783</v>
      </c>
      <c r="Q128" s="5">
        <v>2</v>
      </c>
      <c r="R128" s="5" t="str">
        <f t="shared" si="12"/>
        <v>Specialisation</v>
      </c>
      <c r="S128" s="5" t="s">
        <v>3789</v>
      </c>
      <c r="T128" s="4">
        <v>30472</v>
      </c>
      <c r="U128" s="5">
        <f t="shared" si="13"/>
        <v>1983</v>
      </c>
      <c r="V128" s="5" t="s">
        <v>3793</v>
      </c>
      <c r="W128" s="9">
        <f t="shared" si="10"/>
        <v>41</v>
      </c>
      <c r="X128" s="5" t="str">
        <f t="shared" si="14"/>
        <v>[40 - 44 ans]</v>
      </c>
      <c r="Y128" s="5" t="str">
        <f t="shared" si="15"/>
        <v xml:space="preserve"> Mellenials </v>
      </c>
      <c r="Z128" s="9">
        <f t="shared" si="16"/>
        <v>19</v>
      </c>
      <c r="AA128" s="5" t="str">
        <f t="shared" si="17"/>
        <v>RAS</v>
      </c>
      <c r="AB128" s="5" t="s">
        <v>3807</v>
      </c>
      <c r="AC128" s="6" t="s">
        <v>3799</v>
      </c>
      <c r="AE128" s="5" t="s">
        <v>3844</v>
      </c>
      <c r="AF128" s="5" t="s">
        <v>4482</v>
      </c>
      <c r="AG128" s="5" t="s">
        <v>4485</v>
      </c>
      <c r="AH128" s="5" t="s">
        <v>4489</v>
      </c>
      <c r="AI128" s="5" t="s">
        <v>3912</v>
      </c>
      <c r="AJ128" s="5" t="s">
        <v>3913</v>
      </c>
      <c r="AK128" s="5" t="s">
        <v>3914</v>
      </c>
      <c r="AL128" s="5" t="s">
        <v>3858</v>
      </c>
    </row>
    <row r="129" spans="1:38" x14ac:dyDescent="0.3">
      <c r="A129" s="4">
        <v>45716</v>
      </c>
      <c r="B129" s="5" t="s">
        <v>536</v>
      </c>
      <c r="C129" s="5" t="s">
        <v>537</v>
      </c>
      <c r="D129" s="5" t="s">
        <v>538</v>
      </c>
      <c r="E129" s="5" t="s">
        <v>4494</v>
      </c>
      <c r="G129" s="5" t="s">
        <v>29</v>
      </c>
      <c r="H129" s="5" t="s">
        <v>539</v>
      </c>
      <c r="I129" s="5" t="s">
        <v>806</v>
      </c>
      <c r="J129" s="5" t="s">
        <v>2355</v>
      </c>
      <c r="K129" s="4">
        <v>40231</v>
      </c>
      <c r="L129" s="4">
        <v>40231</v>
      </c>
      <c r="M129" s="9">
        <f t="shared" ref="M129:M192" si="18">DATEDIF(L129,A129,"y")</f>
        <v>15</v>
      </c>
      <c r="N129" s="4" t="str">
        <f t="shared" si="11"/>
        <v>] 10 ; 15 ]</v>
      </c>
      <c r="O129" s="5" t="s">
        <v>3783</v>
      </c>
      <c r="P129" s="5" t="s">
        <v>3783</v>
      </c>
      <c r="Q129" s="5">
        <v>2</v>
      </c>
      <c r="R129" s="5" t="str">
        <f t="shared" si="12"/>
        <v>Specialisation</v>
      </c>
      <c r="S129" s="5" t="s">
        <v>3790</v>
      </c>
      <c r="T129" s="4">
        <v>28625</v>
      </c>
      <c r="U129" s="5">
        <f t="shared" si="13"/>
        <v>1978</v>
      </c>
      <c r="V129" s="5" t="s">
        <v>3792</v>
      </c>
      <c r="W129" s="9">
        <f t="shared" ref="W129:W192" si="19">DATEDIF(T129,A129,"y")</f>
        <v>46</v>
      </c>
      <c r="X129" s="5" t="str">
        <f t="shared" si="14"/>
        <v>[45 - 49 ans]</v>
      </c>
      <c r="Y129" s="5" t="str">
        <f t="shared" si="15"/>
        <v xml:space="preserve"> Generation X </v>
      </c>
      <c r="Z129" s="9">
        <f t="shared" si="16"/>
        <v>14</v>
      </c>
      <c r="AA129" s="5" t="str">
        <f t="shared" si="17"/>
        <v>RAS</v>
      </c>
      <c r="AB129" s="5" t="s">
        <v>3806</v>
      </c>
      <c r="AC129" s="6" t="s">
        <v>3799</v>
      </c>
      <c r="AE129" s="5" t="s">
        <v>3844</v>
      </c>
      <c r="AF129" s="5" t="s">
        <v>4482</v>
      </c>
      <c r="AG129" s="5" t="s">
        <v>4485</v>
      </c>
      <c r="AH129" s="5" t="s">
        <v>4487</v>
      </c>
      <c r="AI129" s="5" t="s">
        <v>4111</v>
      </c>
      <c r="AJ129" s="5" t="s">
        <v>4112</v>
      </c>
      <c r="AK129" s="5">
        <v>61000</v>
      </c>
      <c r="AL129" s="5" t="s">
        <v>3858</v>
      </c>
    </row>
    <row r="130" spans="1:38" x14ac:dyDescent="0.3">
      <c r="A130" s="4">
        <v>45716</v>
      </c>
      <c r="B130" s="5" t="s">
        <v>540</v>
      </c>
      <c r="C130" s="5" t="s">
        <v>541</v>
      </c>
      <c r="D130" s="5" t="s">
        <v>542</v>
      </c>
      <c r="E130" s="5" t="s">
        <v>4494</v>
      </c>
      <c r="G130" s="5" t="s">
        <v>78</v>
      </c>
      <c r="H130" s="5" t="s">
        <v>543</v>
      </c>
      <c r="I130" s="5" t="s">
        <v>958</v>
      </c>
      <c r="J130" s="5" t="s">
        <v>1069</v>
      </c>
      <c r="K130" s="4">
        <v>40231</v>
      </c>
      <c r="L130" s="4">
        <v>40231</v>
      </c>
      <c r="M130" s="9">
        <f t="shared" si="18"/>
        <v>15</v>
      </c>
      <c r="N130" s="4" t="str">
        <f t="shared" ref="N130:N193" si="20">IF(M130&lt;=2," ] 0 ; 2 ]",IF(AND(M130&gt;2,M130&lt;=5),"] 2 ; 5 ]",IF(AND(M130&gt;5,M130&lt;=8),"] 5 ; 8 ]",IF(AND(M130&gt;8,M130&lt;=10),"] 8 ; 10 ]",IF(AND(M130&gt;10,M130&lt;=15),"] 10 ; 15 ]","] 15 ; +oo [")))))</f>
        <v>] 10 ; 15 ]</v>
      </c>
      <c r="O130" s="5" t="s">
        <v>3788</v>
      </c>
      <c r="P130" s="5" t="s">
        <v>3780</v>
      </c>
      <c r="Q130" s="5">
        <v>1</v>
      </c>
      <c r="R130" s="5" t="str">
        <f t="shared" ref="R130:R193" si="21">IF(OR(O130="A",O130="B",O130="C",O130="D"),"Qualification",IF(OR(O130="E",O130="F",O130="G"),"Specialisation","Management &amp; Expertise"))</f>
        <v>Qualification</v>
      </c>
      <c r="S130" s="5" t="s">
        <v>3790</v>
      </c>
      <c r="T130" s="4">
        <v>30447</v>
      </c>
      <c r="U130" s="5">
        <f t="shared" ref="U130:U193" si="22">YEAR(T130)</f>
        <v>1983</v>
      </c>
      <c r="V130" s="5" t="s">
        <v>3793</v>
      </c>
      <c r="W130" s="9">
        <f t="shared" si="19"/>
        <v>41</v>
      </c>
      <c r="X130" s="5" t="str">
        <f t="shared" ref="X130:X193" si="23">IF(W130&lt;30,"[20 - 29 ans[",IF(AND(W130&gt;=30,W130&lt;35),"[30 - 34 ans]",IF(AND(W130&gt;=35,W130&lt;40),"[35 - 39 ans ]",IF(AND(W130&gt;=40,W130&lt;45),"[40 - 44 ans]",IF(AND(W130&gt;=45,W130&lt;50),"[45 - 49 ans]","[50 ans, +oo [")))))</f>
        <v>[40 - 44 ans]</v>
      </c>
      <c r="Y130" s="5" t="str">
        <f t="shared" ref="Y130:Y193" si="24">IF(AND(U130&gt;1946,U130&lt;=1965)," Baby - Boomers ",IF(AND(U130&gt;1965,U130&lt;=1980)," Generation X ",IF(AND(U130&gt;1980,U130&lt;1996)," Mellenials ",IF(AND(U130&gt;1996,U130&lt;2012)," Gen Z "," Gen Alpha"))))</f>
        <v xml:space="preserve"> Mellenials </v>
      </c>
      <c r="Z130" s="9">
        <f t="shared" ref="Z130:Z193" si="25">60-W130</f>
        <v>19</v>
      </c>
      <c r="AA130" s="5" t="str">
        <f t="shared" ref="AA130:AA193" si="26">IF(Z130&lt;=5,"Départ à la Retraite 5ans","RAS")</f>
        <v>RAS</v>
      </c>
      <c r="AB130" s="5" t="s">
        <v>3808</v>
      </c>
      <c r="AC130" s="6" t="s">
        <v>3799</v>
      </c>
      <c r="AE130" s="5" t="s">
        <v>3844</v>
      </c>
      <c r="AF130" s="5" t="s">
        <v>4482</v>
      </c>
      <c r="AG130" s="5" t="s">
        <v>4485</v>
      </c>
      <c r="AH130" s="5" t="s">
        <v>4488</v>
      </c>
      <c r="AI130" s="5" t="s">
        <v>4113</v>
      </c>
      <c r="AJ130" s="5" t="s">
        <v>4114</v>
      </c>
      <c r="AK130" s="5" t="s">
        <v>4090</v>
      </c>
      <c r="AL130" s="5" t="s">
        <v>3858</v>
      </c>
    </row>
    <row r="131" spans="1:38" x14ac:dyDescent="0.3">
      <c r="A131" s="4">
        <v>45716</v>
      </c>
      <c r="B131" s="5" t="s">
        <v>544</v>
      </c>
      <c r="C131" s="5" t="s">
        <v>545</v>
      </c>
      <c r="D131" s="5" t="s">
        <v>546</v>
      </c>
      <c r="E131" s="5" t="s">
        <v>4494</v>
      </c>
      <c r="G131" s="5" t="s">
        <v>57</v>
      </c>
      <c r="H131" s="5" t="s">
        <v>547</v>
      </c>
      <c r="I131" s="5" t="s">
        <v>810</v>
      </c>
      <c r="J131" s="5" t="s">
        <v>56</v>
      </c>
      <c r="K131" s="4">
        <v>40231</v>
      </c>
      <c r="L131" s="4">
        <v>40231</v>
      </c>
      <c r="M131" s="9">
        <f t="shared" si="18"/>
        <v>15</v>
      </c>
      <c r="N131" s="4" t="str">
        <f t="shared" si="20"/>
        <v>] 10 ; 15 ]</v>
      </c>
      <c r="O131" s="5" t="s">
        <v>3783</v>
      </c>
      <c r="P131" s="5" t="s">
        <v>3783</v>
      </c>
      <c r="Q131" s="5">
        <v>1</v>
      </c>
      <c r="R131" s="5" t="str">
        <f t="shared" si="21"/>
        <v>Specialisation</v>
      </c>
      <c r="S131" s="5" t="s">
        <v>3790</v>
      </c>
      <c r="T131" s="4">
        <v>28807</v>
      </c>
      <c r="U131" s="5">
        <f t="shared" si="22"/>
        <v>1978</v>
      </c>
      <c r="V131" s="5" t="s">
        <v>3792</v>
      </c>
      <c r="W131" s="9">
        <f t="shared" si="19"/>
        <v>46</v>
      </c>
      <c r="X131" s="5" t="str">
        <f t="shared" si="23"/>
        <v>[45 - 49 ans]</v>
      </c>
      <c r="Y131" s="5" t="str">
        <f t="shared" si="24"/>
        <v xml:space="preserve"> Generation X </v>
      </c>
      <c r="Z131" s="9">
        <f t="shared" si="25"/>
        <v>14</v>
      </c>
      <c r="AA131" s="5" t="str">
        <f t="shared" si="26"/>
        <v>RAS</v>
      </c>
      <c r="AB131" s="5" t="s">
        <v>3806</v>
      </c>
      <c r="AC131" s="6" t="s">
        <v>3799</v>
      </c>
      <c r="AE131" s="5" t="s">
        <v>3844</v>
      </c>
      <c r="AF131" s="5" t="s">
        <v>4482</v>
      </c>
      <c r="AG131" s="5" t="s">
        <v>4485</v>
      </c>
      <c r="AH131" s="5" t="s">
        <v>4487</v>
      </c>
      <c r="AI131" s="5" t="s">
        <v>4067</v>
      </c>
      <c r="AJ131" s="5" t="s">
        <v>4115</v>
      </c>
      <c r="AK131" s="5" t="s">
        <v>4116</v>
      </c>
      <c r="AL131" s="5" t="s">
        <v>3858</v>
      </c>
    </row>
    <row r="132" spans="1:38" x14ac:dyDescent="0.3">
      <c r="A132" s="4">
        <v>45716</v>
      </c>
      <c r="B132" s="5" t="s">
        <v>548</v>
      </c>
      <c r="C132" s="5" t="s">
        <v>549</v>
      </c>
      <c r="D132" s="5" t="s">
        <v>550</v>
      </c>
      <c r="E132" s="5" t="s">
        <v>4494</v>
      </c>
      <c r="G132" s="5" t="s">
        <v>88</v>
      </c>
      <c r="H132" s="5" t="s">
        <v>456</v>
      </c>
      <c r="I132" s="5" t="s">
        <v>2058</v>
      </c>
      <c r="J132" s="5" t="s">
        <v>883</v>
      </c>
      <c r="K132" s="4">
        <v>40231</v>
      </c>
      <c r="L132" s="4">
        <v>40231</v>
      </c>
      <c r="M132" s="9">
        <f t="shared" si="18"/>
        <v>15</v>
      </c>
      <c r="N132" s="4" t="str">
        <f t="shared" si="20"/>
        <v>] 10 ; 15 ]</v>
      </c>
      <c r="O132" s="5" t="s">
        <v>3780</v>
      </c>
      <c r="P132" s="5" t="s">
        <v>3780</v>
      </c>
      <c r="Q132" s="5">
        <v>3</v>
      </c>
      <c r="R132" s="5" t="str">
        <f t="shared" si="21"/>
        <v>Qualification</v>
      </c>
      <c r="S132" s="5" t="s">
        <v>3789</v>
      </c>
      <c r="T132" s="4">
        <v>31613</v>
      </c>
      <c r="U132" s="5">
        <f t="shared" si="22"/>
        <v>1986</v>
      </c>
      <c r="V132" s="5" t="s">
        <v>3793</v>
      </c>
      <c r="W132" s="9">
        <f t="shared" si="19"/>
        <v>38</v>
      </c>
      <c r="X132" s="5" t="str">
        <f t="shared" si="23"/>
        <v>[35 - 39 ans ]</v>
      </c>
      <c r="Y132" s="5" t="str">
        <f t="shared" si="24"/>
        <v xml:space="preserve"> Mellenials </v>
      </c>
      <c r="Z132" s="9">
        <f t="shared" si="25"/>
        <v>22</v>
      </c>
      <c r="AA132" s="5" t="str">
        <f t="shared" si="26"/>
        <v>RAS</v>
      </c>
      <c r="AB132" s="5" t="s">
        <v>3817</v>
      </c>
      <c r="AC132" s="6" t="s">
        <v>3802</v>
      </c>
      <c r="AE132" s="5" t="s">
        <v>3844</v>
      </c>
      <c r="AF132" s="5" t="s">
        <v>4482</v>
      </c>
      <c r="AG132" s="5" t="s">
        <v>4485</v>
      </c>
      <c r="AH132" s="5" t="s">
        <v>4488</v>
      </c>
      <c r="AI132" s="5" t="s">
        <v>4117</v>
      </c>
      <c r="AJ132" s="5" t="s">
        <v>3843</v>
      </c>
      <c r="AK132" s="5" t="s">
        <v>4118</v>
      </c>
      <c r="AL132" s="5" t="s">
        <v>3858</v>
      </c>
    </row>
    <row r="133" spans="1:38" x14ac:dyDescent="0.3">
      <c r="A133" s="4">
        <v>45716</v>
      </c>
      <c r="B133" s="5" t="s">
        <v>551</v>
      </c>
      <c r="C133" s="5" t="s">
        <v>552</v>
      </c>
      <c r="D133" s="5" t="s">
        <v>553</v>
      </c>
      <c r="E133" s="5" t="s">
        <v>4494</v>
      </c>
      <c r="G133" s="5" t="s">
        <v>554</v>
      </c>
      <c r="H133" s="5" t="s">
        <v>555</v>
      </c>
      <c r="I133" s="5" t="s">
        <v>2412</v>
      </c>
      <c r="J133" s="5" t="s">
        <v>2841</v>
      </c>
      <c r="K133" s="4">
        <v>40231</v>
      </c>
      <c r="L133" s="4">
        <v>40231</v>
      </c>
      <c r="M133" s="9">
        <f t="shared" si="18"/>
        <v>15</v>
      </c>
      <c r="N133" s="4" t="str">
        <f t="shared" si="20"/>
        <v>] 10 ; 15 ]</v>
      </c>
      <c r="O133" s="5" t="s">
        <v>3780</v>
      </c>
      <c r="P133" s="5" t="s">
        <v>3780</v>
      </c>
      <c r="Q133" s="5">
        <v>3</v>
      </c>
      <c r="R133" s="5" t="str">
        <f t="shared" si="21"/>
        <v>Qualification</v>
      </c>
      <c r="S133" s="5" t="s">
        <v>3790</v>
      </c>
      <c r="T133" s="4">
        <v>29121</v>
      </c>
      <c r="U133" s="5">
        <f t="shared" si="22"/>
        <v>1979</v>
      </c>
      <c r="V133" s="5" t="s">
        <v>3793</v>
      </c>
      <c r="W133" s="9">
        <f t="shared" si="19"/>
        <v>45</v>
      </c>
      <c r="X133" s="5" t="str">
        <f t="shared" si="23"/>
        <v>[45 - 49 ans]</v>
      </c>
      <c r="Y133" s="5" t="str">
        <f t="shared" si="24"/>
        <v xml:space="preserve"> Generation X </v>
      </c>
      <c r="Z133" s="9">
        <f t="shared" si="25"/>
        <v>15</v>
      </c>
      <c r="AA133" s="5" t="str">
        <f t="shared" si="26"/>
        <v>RAS</v>
      </c>
      <c r="AB133" s="5" t="s">
        <v>3806</v>
      </c>
      <c r="AC133" s="6" t="s">
        <v>3799</v>
      </c>
      <c r="AE133" s="5" t="s">
        <v>3844</v>
      </c>
      <c r="AF133" s="5" t="s">
        <v>4482</v>
      </c>
      <c r="AG133" s="5" t="s">
        <v>4485</v>
      </c>
      <c r="AH133" s="5" t="s">
        <v>4487</v>
      </c>
      <c r="AI133" s="5" t="s">
        <v>4119</v>
      </c>
      <c r="AJ133" s="5" t="s">
        <v>4120</v>
      </c>
      <c r="AK133" s="5" t="s">
        <v>4121</v>
      </c>
      <c r="AL133" s="5" t="s">
        <v>3858</v>
      </c>
    </row>
    <row r="134" spans="1:38" x14ac:dyDescent="0.3">
      <c r="A134" s="4">
        <v>45716</v>
      </c>
      <c r="B134" s="5" t="s">
        <v>556</v>
      </c>
      <c r="C134" s="5" t="s">
        <v>557</v>
      </c>
      <c r="D134" s="5" t="s">
        <v>558</v>
      </c>
      <c r="E134" s="5" t="s">
        <v>4494</v>
      </c>
      <c r="G134" s="5" t="s">
        <v>57</v>
      </c>
      <c r="H134" s="5" t="s">
        <v>559</v>
      </c>
      <c r="I134" s="5" t="s">
        <v>954</v>
      </c>
      <c r="J134" s="5" t="s">
        <v>56</v>
      </c>
      <c r="K134" s="4">
        <v>40231</v>
      </c>
      <c r="L134" s="4">
        <v>40231</v>
      </c>
      <c r="M134" s="9">
        <f t="shared" si="18"/>
        <v>15</v>
      </c>
      <c r="N134" s="4" t="str">
        <f t="shared" si="20"/>
        <v>] 10 ; 15 ]</v>
      </c>
      <c r="O134" s="5" t="s">
        <v>3783</v>
      </c>
      <c r="P134" s="5" t="s">
        <v>3783</v>
      </c>
      <c r="Q134" s="5">
        <v>1</v>
      </c>
      <c r="R134" s="5" t="str">
        <f t="shared" si="21"/>
        <v>Specialisation</v>
      </c>
      <c r="S134" s="5" t="s">
        <v>3790</v>
      </c>
      <c r="T134" s="4">
        <v>30526</v>
      </c>
      <c r="U134" s="5">
        <f t="shared" si="22"/>
        <v>1983</v>
      </c>
      <c r="V134" s="5" t="s">
        <v>3793</v>
      </c>
      <c r="W134" s="9">
        <f t="shared" si="19"/>
        <v>41</v>
      </c>
      <c r="X134" s="5" t="str">
        <f t="shared" si="23"/>
        <v>[40 - 44 ans]</v>
      </c>
      <c r="Y134" s="5" t="str">
        <f t="shared" si="24"/>
        <v xml:space="preserve"> Mellenials </v>
      </c>
      <c r="Z134" s="9">
        <f t="shared" si="25"/>
        <v>19</v>
      </c>
      <c r="AA134" s="5" t="str">
        <f t="shared" si="26"/>
        <v>RAS</v>
      </c>
      <c r="AB134" s="5" t="s">
        <v>3806</v>
      </c>
      <c r="AC134" s="6" t="s">
        <v>3799</v>
      </c>
      <c r="AE134" s="5" t="s">
        <v>3844</v>
      </c>
      <c r="AF134" s="5" t="s">
        <v>4482</v>
      </c>
      <c r="AG134" s="5" t="s">
        <v>4485</v>
      </c>
      <c r="AH134" s="5" t="s">
        <v>4487</v>
      </c>
      <c r="AI134" s="5" t="s">
        <v>4122</v>
      </c>
      <c r="AJ134" s="5" t="s">
        <v>4123</v>
      </c>
      <c r="AK134" s="5" t="s">
        <v>4124</v>
      </c>
      <c r="AL134" s="5" t="s">
        <v>3858</v>
      </c>
    </row>
    <row r="135" spans="1:38" x14ac:dyDescent="0.3">
      <c r="A135" s="4">
        <v>45716</v>
      </c>
      <c r="B135" s="5" t="s">
        <v>560</v>
      </c>
      <c r="C135" s="5" t="s">
        <v>561</v>
      </c>
      <c r="D135" s="5" t="s">
        <v>562</v>
      </c>
      <c r="E135" s="5" t="s">
        <v>4494</v>
      </c>
      <c r="G135" s="5" t="s">
        <v>137</v>
      </c>
      <c r="H135" s="5" t="s">
        <v>563</v>
      </c>
      <c r="I135" s="5" t="s">
        <v>1486</v>
      </c>
      <c r="J135" s="5" t="s">
        <v>1346</v>
      </c>
      <c r="K135" s="4">
        <v>40231</v>
      </c>
      <c r="L135" s="4">
        <v>40231</v>
      </c>
      <c r="M135" s="9">
        <f t="shared" si="18"/>
        <v>15</v>
      </c>
      <c r="N135" s="4" t="str">
        <f t="shared" si="20"/>
        <v>] 10 ; 15 ]</v>
      </c>
      <c r="O135" s="5" t="s">
        <v>3783</v>
      </c>
      <c r="P135" s="5" t="s">
        <v>3783</v>
      </c>
      <c r="Q135" s="5">
        <v>2</v>
      </c>
      <c r="R135" s="5" t="str">
        <f t="shared" si="21"/>
        <v>Specialisation</v>
      </c>
      <c r="S135" s="5" t="s">
        <v>3790</v>
      </c>
      <c r="T135" s="4">
        <v>30497</v>
      </c>
      <c r="U135" s="5">
        <f t="shared" si="22"/>
        <v>1983</v>
      </c>
      <c r="V135" s="5" t="s">
        <v>3793</v>
      </c>
      <c r="W135" s="9">
        <f t="shared" si="19"/>
        <v>41</v>
      </c>
      <c r="X135" s="5" t="str">
        <f t="shared" si="23"/>
        <v>[40 - 44 ans]</v>
      </c>
      <c r="Y135" s="5" t="str">
        <f t="shared" si="24"/>
        <v xml:space="preserve"> Mellenials </v>
      </c>
      <c r="Z135" s="9">
        <f t="shared" si="25"/>
        <v>19</v>
      </c>
      <c r="AA135" s="5" t="str">
        <f t="shared" si="26"/>
        <v>RAS</v>
      </c>
      <c r="AB135" s="5" t="s">
        <v>3806</v>
      </c>
      <c r="AC135" s="6" t="s">
        <v>3799</v>
      </c>
      <c r="AE135" s="5" t="s">
        <v>3845</v>
      </c>
      <c r="AF135" s="5" t="s">
        <v>4482</v>
      </c>
      <c r="AG135" s="5" t="s">
        <v>4485</v>
      </c>
      <c r="AH135" s="5" t="s">
        <v>4487</v>
      </c>
      <c r="AI135" s="5" t="s">
        <v>4125</v>
      </c>
      <c r="AJ135" s="5" t="s">
        <v>4126</v>
      </c>
      <c r="AK135" s="5" t="s">
        <v>4127</v>
      </c>
      <c r="AL135" s="5" t="s">
        <v>3854</v>
      </c>
    </row>
    <row r="136" spans="1:38" x14ac:dyDescent="0.3">
      <c r="A136" s="4">
        <v>45716</v>
      </c>
      <c r="B136" s="5" t="s">
        <v>564</v>
      </c>
      <c r="C136" s="5" t="s">
        <v>565</v>
      </c>
      <c r="D136" s="5" t="s">
        <v>566</v>
      </c>
      <c r="E136" s="5" t="s">
        <v>4494</v>
      </c>
      <c r="G136" s="5" t="s">
        <v>137</v>
      </c>
      <c r="H136" s="5" t="s">
        <v>567</v>
      </c>
      <c r="I136" s="5" t="s">
        <v>290</v>
      </c>
      <c r="J136" s="5" t="s">
        <v>1346</v>
      </c>
      <c r="K136" s="4">
        <v>40245</v>
      </c>
      <c r="L136" s="4">
        <v>39234</v>
      </c>
      <c r="M136" s="9">
        <f t="shared" si="18"/>
        <v>17</v>
      </c>
      <c r="N136" s="4" t="str">
        <f t="shared" si="20"/>
        <v>] 15 ; +oo [</v>
      </c>
      <c r="O136" s="5" t="s">
        <v>3785</v>
      </c>
      <c r="P136" s="5" t="s">
        <v>3785</v>
      </c>
      <c r="Q136" s="5">
        <v>2</v>
      </c>
      <c r="R136" s="5" t="str">
        <f t="shared" si="21"/>
        <v>Specialisation</v>
      </c>
      <c r="S136" s="5" t="s">
        <v>3789</v>
      </c>
      <c r="T136" s="4">
        <v>28236</v>
      </c>
      <c r="U136" s="5">
        <f t="shared" si="22"/>
        <v>1977</v>
      </c>
      <c r="V136" s="5" t="s">
        <v>3793</v>
      </c>
      <c r="W136" s="9">
        <f t="shared" si="19"/>
        <v>47</v>
      </c>
      <c r="X136" s="5" t="str">
        <f t="shared" si="23"/>
        <v>[45 - 49 ans]</v>
      </c>
      <c r="Y136" s="5" t="str">
        <f t="shared" si="24"/>
        <v xml:space="preserve"> Generation X </v>
      </c>
      <c r="Z136" s="9">
        <f t="shared" si="25"/>
        <v>13</v>
      </c>
      <c r="AA136" s="5" t="str">
        <f t="shared" si="26"/>
        <v>RAS</v>
      </c>
      <c r="AB136" s="5" t="s">
        <v>3806</v>
      </c>
      <c r="AC136" s="6" t="s">
        <v>3799</v>
      </c>
      <c r="AE136" s="5" t="s">
        <v>3844</v>
      </c>
      <c r="AF136" s="5" t="s">
        <v>4481</v>
      </c>
      <c r="AG136" s="5" t="s">
        <v>4485</v>
      </c>
      <c r="AH136" s="5" t="s">
        <v>4487</v>
      </c>
      <c r="AI136" s="5" t="s">
        <v>3999</v>
      </c>
      <c r="AJ136" s="5" t="s">
        <v>4000</v>
      </c>
      <c r="AK136" s="5" t="s">
        <v>4001</v>
      </c>
      <c r="AL136" s="5" t="s">
        <v>3858</v>
      </c>
    </row>
    <row r="137" spans="1:38" x14ac:dyDescent="0.3">
      <c r="A137" s="4">
        <v>45716</v>
      </c>
      <c r="B137" s="5" t="s">
        <v>568</v>
      </c>
      <c r="C137" s="5" t="s">
        <v>569</v>
      </c>
      <c r="D137" s="5" t="s">
        <v>570</v>
      </c>
      <c r="E137" s="5" t="s">
        <v>4494</v>
      </c>
      <c r="G137" s="5" t="s">
        <v>44</v>
      </c>
      <c r="H137" s="5" t="s">
        <v>571</v>
      </c>
      <c r="I137" s="5" t="s">
        <v>2337</v>
      </c>
      <c r="J137" s="5" t="s">
        <v>2841</v>
      </c>
      <c r="K137" s="4">
        <v>40231</v>
      </c>
      <c r="L137" s="4">
        <v>40231</v>
      </c>
      <c r="M137" s="9">
        <f t="shared" si="18"/>
        <v>15</v>
      </c>
      <c r="N137" s="4" t="str">
        <f t="shared" si="20"/>
        <v>] 10 ; 15 ]</v>
      </c>
      <c r="O137" s="5" t="s">
        <v>3783</v>
      </c>
      <c r="P137" s="5" t="s">
        <v>3783</v>
      </c>
      <c r="Q137" s="5">
        <v>2</v>
      </c>
      <c r="R137" s="5" t="str">
        <f t="shared" si="21"/>
        <v>Specialisation</v>
      </c>
      <c r="S137" s="5" t="s">
        <v>3789</v>
      </c>
      <c r="T137" s="4">
        <v>30219</v>
      </c>
      <c r="U137" s="5">
        <f t="shared" si="22"/>
        <v>1982</v>
      </c>
      <c r="V137" s="5" t="s">
        <v>3793</v>
      </c>
      <c r="W137" s="9">
        <f t="shared" si="19"/>
        <v>42</v>
      </c>
      <c r="X137" s="5" t="str">
        <f t="shared" si="23"/>
        <v>[40 - 44 ans]</v>
      </c>
      <c r="Y137" s="5" t="str">
        <f t="shared" si="24"/>
        <v xml:space="preserve"> Mellenials </v>
      </c>
      <c r="Z137" s="9">
        <f t="shared" si="25"/>
        <v>18</v>
      </c>
      <c r="AA137" s="5" t="str">
        <f t="shared" si="26"/>
        <v>RAS</v>
      </c>
      <c r="AB137" s="5" t="s">
        <v>3806</v>
      </c>
      <c r="AC137" s="6" t="s">
        <v>3799</v>
      </c>
      <c r="AE137" s="5" t="s">
        <v>3844</v>
      </c>
      <c r="AF137" s="5" t="s">
        <v>4482</v>
      </c>
      <c r="AG137" s="5" t="s">
        <v>4485</v>
      </c>
      <c r="AH137" s="5" t="s">
        <v>4487</v>
      </c>
      <c r="AI137" s="5" t="s">
        <v>4128</v>
      </c>
      <c r="AJ137" s="5" t="s">
        <v>4129</v>
      </c>
      <c r="AK137" s="5" t="s">
        <v>4130</v>
      </c>
      <c r="AL137" s="5" t="s">
        <v>3858</v>
      </c>
    </row>
    <row r="138" spans="1:38" x14ac:dyDescent="0.3">
      <c r="A138" s="4">
        <v>45716</v>
      </c>
      <c r="B138" s="5" t="s">
        <v>572</v>
      </c>
      <c r="C138" s="5" t="s">
        <v>573</v>
      </c>
      <c r="D138" s="5" t="s">
        <v>574</v>
      </c>
      <c r="E138" s="5" t="s">
        <v>4494</v>
      </c>
      <c r="G138" s="5" t="s">
        <v>78</v>
      </c>
      <c r="H138" s="5" t="s">
        <v>575</v>
      </c>
      <c r="I138" s="5" t="s">
        <v>1548</v>
      </c>
      <c r="J138" s="5" t="s">
        <v>1526</v>
      </c>
      <c r="K138" s="4">
        <v>40231</v>
      </c>
      <c r="L138" s="4">
        <v>40231</v>
      </c>
      <c r="M138" s="9">
        <f t="shared" si="18"/>
        <v>15</v>
      </c>
      <c r="N138" s="4" t="str">
        <f t="shared" si="20"/>
        <v>] 10 ; 15 ]</v>
      </c>
      <c r="O138" s="5" t="s">
        <v>3786</v>
      </c>
      <c r="P138" s="5" t="s">
        <v>3783</v>
      </c>
      <c r="Q138" s="5">
        <v>1</v>
      </c>
      <c r="R138" s="5" t="str">
        <f t="shared" si="21"/>
        <v>Specialisation</v>
      </c>
      <c r="S138" s="5" t="s">
        <v>3790</v>
      </c>
      <c r="T138" s="4">
        <v>31337</v>
      </c>
      <c r="U138" s="5">
        <f t="shared" si="22"/>
        <v>1985</v>
      </c>
      <c r="V138" s="5" t="s">
        <v>3793</v>
      </c>
      <c r="W138" s="9">
        <f t="shared" si="19"/>
        <v>39</v>
      </c>
      <c r="X138" s="5" t="str">
        <f t="shared" si="23"/>
        <v>[35 - 39 ans ]</v>
      </c>
      <c r="Y138" s="5" t="str">
        <f t="shared" si="24"/>
        <v xml:space="preserve"> Mellenials </v>
      </c>
      <c r="Z138" s="9">
        <f t="shared" si="25"/>
        <v>21</v>
      </c>
      <c r="AA138" s="5" t="str">
        <f t="shared" si="26"/>
        <v>RAS</v>
      </c>
      <c r="AB138" s="5" t="s">
        <v>3808</v>
      </c>
      <c r="AC138" s="6" t="s">
        <v>3799</v>
      </c>
      <c r="AE138" s="5" t="s">
        <v>3844</v>
      </c>
      <c r="AF138" s="5" t="s">
        <v>4482</v>
      </c>
      <c r="AG138" s="5" t="s">
        <v>4485</v>
      </c>
      <c r="AH138" s="5" t="s">
        <v>4488</v>
      </c>
      <c r="AI138" s="5" t="s">
        <v>4131</v>
      </c>
      <c r="AJ138" s="5" t="s">
        <v>4132</v>
      </c>
      <c r="AK138" s="5" t="s">
        <v>3946</v>
      </c>
      <c r="AL138" s="5" t="s">
        <v>3858</v>
      </c>
    </row>
    <row r="139" spans="1:38" x14ac:dyDescent="0.3">
      <c r="A139" s="4">
        <v>45716</v>
      </c>
      <c r="B139" s="5" t="s">
        <v>576</v>
      </c>
      <c r="C139" s="5" t="s">
        <v>577</v>
      </c>
      <c r="D139" s="5" t="s">
        <v>578</v>
      </c>
      <c r="E139" s="5" t="s">
        <v>4494</v>
      </c>
      <c r="G139" s="5" t="s">
        <v>24</v>
      </c>
      <c r="H139" s="5" t="s">
        <v>579</v>
      </c>
      <c r="I139" s="5" t="s">
        <v>1317</v>
      </c>
      <c r="J139" s="5" t="s">
        <v>23</v>
      </c>
      <c r="K139" s="4">
        <v>40200</v>
      </c>
      <c r="L139" s="4">
        <v>40231</v>
      </c>
      <c r="M139" s="9">
        <f t="shared" si="18"/>
        <v>15</v>
      </c>
      <c r="N139" s="4" t="str">
        <f t="shared" si="20"/>
        <v>] 10 ; 15 ]</v>
      </c>
      <c r="O139" s="5" t="s">
        <v>3785</v>
      </c>
      <c r="P139" s="5" t="s">
        <v>3782</v>
      </c>
      <c r="Q139" s="5">
        <v>1</v>
      </c>
      <c r="R139" s="5" t="str">
        <f t="shared" si="21"/>
        <v>Specialisation</v>
      </c>
      <c r="S139" s="5" t="s">
        <v>3789</v>
      </c>
      <c r="T139" s="4">
        <v>29575</v>
      </c>
      <c r="U139" s="5">
        <f t="shared" si="22"/>
        <v>1980</v>
      </c>
      <c r="V139" s="5" t="s">
        <v>3792</v>
      </c>
      <c r="W139" s="9">
        <f t="shared" si="19"/>
        <v>44</v>
      </c>
      <c r="X139" s="5" t="str">
        <f t="shared" si="23"/>
        <v>[40 - 44 ans]</v>
      </c>
      <c r="Y139" s="5" t="str">
        <f t="shared" si="24"/>
        <v xml:space="preserve"> Generation X </v>
      </c>
      <c r="Z139" s="9">
        <f t="shared" si="25"/>
        <v>16</v>
      </c>
      <c r="AA139" s="5" t="str">
        <f t="shared" si="26"/>
        <v>RAS</v>
      </c>
      <c r="AB139" s="5" t="s">
        <v>3805</v>
      </c>
      <c r="AC139" s="6" t="s">
        <v>3799</v>
      </c>
      <c r="AE139" s="5" t="s">
        <v>3844</v>
      </c>
      <c r="AF139" s="5" t="s">
        <v>4481</v>
      </c>
      <c r="AG139" s="5" t="s">
        <v>4485</v>
      </c>
      <c r="AH139" s="5" t="s">
        <v>4488</v>
      </c>
      <c r="AI139" s="5" t="s">
        <v>4133</v>
      </c>
      <c r="AJ139" s="5" t="s">
        <v>4134</v>
      </c>
      <c r="AK139" s="5" t="s">
        <v>3983</v>
      </c>
      <c r="AL139" s="5" t="s">
        <v>3858</v>
      </c>
    </row>
    <row r="140" spans="1:38" x14ac:dyDescent="0.3">
      <c r="A140" s="4">
        <v>45716</v>
      </c>
      <c r="B140" s="5" t="s">
        <v>580</v>
      </c>
      <c r="C140" s="5" t="s">
        <v>581</v>
      </c>
      <c r="D140" s="5" t="s">
        <v>582</v>
      </c>
      <c r="E140" s="5" t="s">
        <v>4494</v>
      </c>
      <c r="G140" s="5" t="s">
        <v>178</v>
      </c>
      <c r="H140" s="5" t="s">
        <v>583</v>
      </c>
      <c r="I140" s="5" t="s">
        <v>3062</v>
      </c>
      <c r="J140" s="5" t="s">
        <v>201</v>
      </c>
      <c r="K140" s="4">
        <v>40231</v>
      </c>
      <c r="L140" s="4">
        <v>40231</v>
      </c>
      <c r="M140" s="9">
        <f t="shared" si="18"/>
        <v>15</v>
      </c>
      <c r="N140" s="4" t="str">
        <f t="shared" si="20"/>
        <v>] 10 ; 15 ]</v>
      </c>
      <c r="O140" s="5" t="s">
        <v>3786</v>
      </c>
      <c r="P140" s="5" t="s">
        <v>3786</v>
      </c>
      <c r="Q140" s="5">
        <v>1</v>
      </c>
      <c r="R140" s="5" t="str">
        <f t="shared" si="21"/>
        <v>Specialisation</v>
      </c>
      <c r="S140" s="5" t="s">
        <v>3790</v>
      </c>
      <c r="T140" s="4">
        <v>32218</v>
      </c>
      <c r="U140" s="5">
        <f t="shared" si="22"/>
        <v>1988</v>
      </c>
      <c r="V140" s="5" t="s">
        <v>3792</v>
      </c>
      <c r="W140" s="9">
        <f t="shared" si="19"/>
        <v>36</v>
      </c>
      <c r="X140" s="5" t="str">
        <f t="shared" si="23"/>
        <v>[35 - 39 ans ]</v>
      </c>
      <c r="Y140" s="5" t="str">
        <f t="shared" si="24"/>
        <v xml:space="preserve"> Mellenials </v>
      </c>
      <c r="Z140" s="9">
        <f t="shared" si="25"/>
        <v>24</v>
      </c>
      <c r="AA140" s="5" t="str">
        <f t="shared" si="26"/>
        <v>RAS</v>
      </c>
      <c r="AB140" s="5" t="s">
        <v>3806</v>
      </c>
      <c r="AC140" s="6" t="s">
        <v>3799</v>
      </c>
      <c r="AE140" s="5" t="s">
        <v>3844</v>
      </c>
      <c r="AF140" s="5" t="s">
        <v>4482</v>
      </c>
      <c r="AG140" s="5" t="s">
        <v>4485</v>
      </c>
      <c r="AH140" s="5" t="s">
        <v>4488</v>
      </c>
      <c r="AI140" s="5" t="s">
        <v>4135</v>
      </c>
      <c r="AJ140" s="5" t="s">
        <v>4136</v>
      </c>
      <c r="AK140" s="5" t="s">
        <v>3962</v>
      </c>
      <c r="AL140" s="5" t="s">
        <v>3858</v>
      </c>
    </row>
    <row r="141" spans="1:38" x14ac:dyDescent="0.3">
      <c r="A141" s="4">
        <v>45716</v>
      </c>
      <c r="B141" s="5" t="s">
        <v>584</v>
      </c>
      <c r="C141" s="5" t="s">
        <v>585</v>
      </c>
      <c r="D141" s="5" t="s">
        <v>586</v>
      </c>
      <c r="E141" s="5" t="s">
        <v>4494</v>
      </c>
      <c r="G141" s="5" t="s">
        <v>83</v>
      </c>
      <c r="H141" s="5" t="s">
        <v>587</v>
      </c>
      <c r="I141" s="5" t="s">
        <v>96</v>
      </c>
      <c r="J141" s="5" t="s">
        <v>1222</v>
      </c>
      <c r="K141" s="4">
        <v>40231</v>
      </c>
      <c r="L141" s="4">
        <v>40231</v>
      </c>
      <c r="M141" s="9">
        <f t="shared" si="18"/>
        <v>15</v>
      </c>
      <c r="N141" s="4" t="str">
        <f t="shared" si="20"/>
        <v>] 10 ; 15 ]</v>
      </c>
      <c r="O141" s="5" t="s">
        <v>3780</v>
      </c>
      <c r="P141" s="5" t="s">
        <v>3780</v>
      </c>
      <c r="Q141" s="5">
        <v>1</v>
      </c>
      <c r="R141" s="5" t="str">
        <f t="shared" si="21"/>
        <v>Qualification</v>
      </c>
      <c r="S141" s="5" t="s">
        <v>3789</v>
      </c>
      <c r="T141" s="4">
        <v>30345</v>
      </c>
      <c r="U141" s="5">
        <f t="shared" si="22"/>
        <v>1983</v>
      </c>
      <c r="V141" s="5" t="s">
        <v>3793</v>
      </c>
      <c r="W141" s="9">
        <f t="shared" si="19"/>
        <v>42</v>
      </c>
      <c r="X141" s="5" t="str">
        <f t="shared" si="23"/>
        <v>[40 - 44 ans]</v>
      </c>
      <c r="Y141" s="5" t="str">
        <f t="shared" si="24"/>
        <v xml:space="preserve"> Mellenials </v>
      </c>
      <c r="Z141" s="9">
        <f t="shared" si="25"/>
        <v>18</v>
      </c>
      <c r="AA141" s="5" t="str">
        <f t="shared" si="26"/>
        <v>RAS</v>
      </c>
      <c r="AB141" s="5" t="s">
        <v>3808</v>
      </c>
      <c r="AC141" s="6" t="s">
        <v>3799</v>
      </c>
      <c r="AE141" s="5" t="s">
        <v>3844</v>
      </c>
      <c r="AF141" s="5" t="s">
        <v>4482</v>
      </c>
      <c r="AG141" s="5" t="s">
        <v>4485</v>
      </c>
      <c r="AH141" s="5" t="s">
        <v>4489</v>
      </c>
      <c r="AI141" s="5" t="s">
        <v>4137</v>
      </c>
      <c r="AJ141" s="5" t="s">
        <v>3902</v>
      </c>
      <c r="AK141" s="5" t="s">
        <v>3903</v>
      </c>
      <c r="AL141" s="5" t="s">
        <v>3858</v>
      </c>
    </row>
    <row r="142" spans="1:38" x14ac:dyDescent="0.3">
      <c r="A142" s="4">
        <v>45716</v>
      </c>
      <c r="B142" s="5" t="s">
        <v>588</v>
      </c>
      <c r="C142" s="5" t="s">
        <v>589</v>
      </c>
      <c r="D142" s="5" t="s">
        <v>590</v>
      </c>
      <c r="E142" s="5" t="s">
        <v>4494</v>
      </c>
      <c r="G142" s="5" t="s">
        <v>78</v>
      </c>
      <c r="H142" s="5" t="s">
        <v>591</v>
      </c>
      <c r="I142" s="5" t="s">
        <v>169</v>
      </c>
      <c r="J142" s="5" t="s">
        <v>1357</v>
      </c>
      <c r="K142" s="4">
        <v>40231</v>
      </c>
      <c r="L142" s="4">
        <v>40231</v>
      </c>
      <c r="M142" s="9">
        <f t="shared" si="18"/>
        <v>15</v>
      </c>
      <c r="N142" s="4" t="str">
        <f t="shared" si="20"/>
        <v>] 10 ; 15 ]</v>
      </c>
      <c r="O142" s="5" t="s">
        <v>3782</v>
      </c>
      <c r="P142" s="5" t="s">
        <v>3782</v>
      </c>
      <c r="Q142" s="5">
        <v>1</v>
      </c>
      <c r="R142" s="5" t="str">
        <f t="shared" si="21"/>
        <v>Management &amp; Expertise</v>
      </c>
      <c r="S142" s="5" t="s">
        <v>3789</v>
      </c>
      <c r="T142" s="4">
        <v>30123</v>
      </c>
      <c r="U142" s="5">
        <f t="shared" si="22"/>
        <v>1982</v>
      </c>
      <c r="V142" s="5" t="s">
        <v>3792</v>
      </c>
      <c r="W142" s="9">
        <f t="shared" si="19"/>
        <v>42</v>
      </c>
      <c r="X142" s="5" t="str">
        <f t="shared" si="23"/>
        <v>[40 - 44 ans]</v>
      </c>
      <c r="Y142" s="5" t="str">
        <f t="shared" si="24"/>
        <v xml:space="preserve"> Mellenials </v>
      </c>
      <c r="Z142" s="9">
        <f t="shared" si="25"/>
        <v>18</v>
      </c>
      <c r="AA142" s="5" t="str">
        <f t="shared" si="26"/>
        <v>RAS</v>
      </c>
      <c r="AB142" s="5" t="s">
        <v>3808</v>
      </c>
      <c r="AC142" s="6" t="s">
        <v>3799</v>
      </c>
      <c r="AE142" s="5" t="s">
        <v>3845</v>
      </c>
      <c r="AF142" s="5" t="s">
        <v>4481</v>
      </c>
      <c r="AG142" s="5" t="s">
        <v>4485</v>
      </c>
      <c r="AH142" s="5" t="s">
        <v>4488</v>
      </c>
      <c r="AI142" s="5" t="s">
        <v>4138</v>
      </c>
      <c r="AJ142" s="5" t="s">
        <v>4139</v>
      </c>
      <c r="AK142" s="5">
        <v>81320</v>
      </c>
      <c r="AL142" s="5" t="s">
        <v>3854</v>
      </c>
    </row>
    <row r="143" spans="1:38" x14ac:dyDescent="0.3">
      <c r="A143" s="4">
        <v>45716</v>
      </c>
      <c r="B143" s="5" t="s">
        <v>592</v>
      </c>
      <c r="C143" s="5" t="s">
        <v>593</v>
      </c>
      <c r="D143" s="5" t="s">
        <v>594</v>
      </c>
      <c r="E143" s="5" t="s">
        <v>4494</v>
      </c>
      <c r="G143" s="5" t="s">
        <v>44</v>
      </c>
      <c r="H143" s="5" t="s">
        <v>595</v>
      </c>
      <c r="I143" s="5" t="s">
        <v>270</v>
      </c>
      <c r="J143" s="5" t="s">
        <v>92</v>
      </c>
      <c r="K143" s="4">
        <v>40231</v>
      </c>
      <c r="L143" s="4">
        <v>40231</v>
      </c>
      <c r="M143" s="9">
        <f t="shared" si="18"/>
        <v>15</v>
      </c>
      <c r="N143" s="4" t="str">
        <f t="shared" si="20"/>
        <v>] 10 ; 15 ]</v>
      </c>
      <c r="O143" s="5" t="s">
        <v>3786</v>
      </c>
      <c r="P143" s="5" t="s">
        <v>3783</v>
      </c>
      <c r="Q143" s="5">
        <v>1</v>
      </c>
      <c r="R143" s="5" t="str">
        <f t="shared" si="21"/>
        <v>Specialisation</v>
      </c>
      <c r="S143" s="5" t="s">
        <v>3789</v>
      </c>
      <c r="T143" s="4">
        <v>29794</v>
      </c>
      <c r="U143" s="5">
        <f t="shared" si="22"/>
        <v>1981</v>
      </c>
      <c r="V143" s="5" t="s">
        <v>3793</v>
      </c>
      <c r="W143" s="9">
        <f t="shared" si="19"/>
        <v>43</v>
      </c>
      <c r="X143" s="5" t="str">
        <f t="shared" si="23"/>
        <v>[40 - 44 ans]</v>
      </c>
      <c r="Y143" s="5" t="str">
        <f t="shared" si="24"/>
        <v xml:space="preserve"> Mellenials </v>
      </c>
      <c r="Z143" s="9">
        <f t="shared" si="25"/>
        <v>17</v>
      </c>
      <c r="AA143" s="5" t="str">
        <f t="shared" si="26"/>
        <v>RAS</v>
      </c>
      <c r="AB143" s="5" t="s">
        <v>3806</v>
      </c>
      <c r="AC143" s="6" t="s">
        <v>3799</v>
      </c>
      <c r="AE143" s="5" t="s">
        <v>3844</v>
      </c>
      <c r="AF143" s="5" t="s">
        <v>4482</v>
      </c>
      <c r="AG143" s="5" t="s">
        <v>4485</v>
      </c>
      <c r="AH143" s="5" t="s">
        <v>4487</v>
      </c>
      <c r="AI143" s="5" t="s">
        <v>3989</v>
      </c>
      <c r="AJ143" s="5" t="s">
        <v>3990</v>
      </c>
      <c r="AK143" s="5">
        <v>31200</v>
      </c>
      <c r="AL143" s="5" t="s">
        <v>3858</v>
      </c>
    </row>
    <row r="144" spans="1:38" x14ac:dyDescent="0.3">
      <c r="A144" s="4">
        <v>45716</v>
      </c>
      <c r="B144" s="5" t="s">
        <v>596</v>
      </c>
      <c r="C144" s="5" t="s">
        <v>597</v>
      </c>
      <c r="D144" s="5" t="s">
        <v>598</v>
      </c>
      <c r="E144" s="5" t="s">
        <v>4494</v>
      </c>
      <c r="G144" s="5" t="s">
        <v>88</v>
      </c>
      <c r="H144" s="5" t="s">
        <v>599</v>
      </c>
      <c r="I144" s="5" t="s">
        <v>1310</v>
      </c>
      <c r="J144" s="5" t="s">
        <v>1245</v>
      </c>
      <c r="K144" s="4">
        <v>40231</v>
      </c>
      <c r="L144" s="4">
        <v>40231</v>
      </c>
      <c r="M144" s="9">
        <f t="shared" si="18"/>
        <v>15</v>
      </c>
      <c r="N144" s="4" t="str">
        <f t="shared" si="20"/>
        <v>] 10 ; 15 ]</v>
      </c>
      <c r="O144" s="5" t="s">
        <v>3786</v>
      </c>
      <c r="P144" s="5" t="s">
        <v>3786</v>
      </c>
      <c r="Q144" s="5">
        <v>2</v>
      </c>
      <c r="R144" s="5" t="str">
        <f t="shared" si="21"/>
        <v>Specialisation</v>
      </c>
      <c r="S144" s="5" t="s">
        <v>3789</v>
      </c>
      <c r="T144" s="4">
        <v>31169</v>
      </c>
      <c r="U144" s="5">
        <f t="shared" si="22"/>
        <v>1985</v>
      </c>
      <c r="V144" s="5" t="s">
        <v>3793</v>
      </c>
      <c r="W144" s="9">
        <f t="shared" si="19"/>
        <v>39</v>
      </c>
      <c r="X144" s="5" t="str">
        <f t="shared" si="23"/>
        <v>[35 - 39 ans ]</v>
      </c>
      <c r="Y144" s="5" t="str">
        <f t="shared" si="24"/>
        <v xml:space="preserve"> Mellenials </v>
      </c>
      <c r="Z144" s="9">
        <f t="shared" si="25"/>
        <v>21</v>
      </c>
      <c r="AA144" s="5" t="str">
        <f t="shared" si="26"/>
        <v>RAS</v>
      </c>
      <c r="AB144" s="5" t="s">
        <v>3805</v>
      </c>
      <c r="AC144" s="6" t="s">
        <v>3799</v>
      </c>
      <c r="AE144" s="5" t="s">
        <v>3844</v>
      </c>
      <c r="AF144" s="5" t="s">
        <v>4482</v>
      </c>
      <c r="AG144" s="5" t="s">
        <v>4485</v>
      </c>
      <c r="AH144" s="5" t="s">
        <v>4488</v>
      </c>
      <c r="AI144" s="5" t="s">
        <v>4140</v>
      </c>
      <c r="AJ144" s="5" t="s">
        <v>4141</v>
      </c>
      <c r="AK144" s="5">
        <v>11100</v>
      </c>
      <c r="AL144" s="5" t="s">
        <v>3858</v>
      </c>
    </row>
    <row r="145" spans="1:38" x14ac:dyDescent="0.3">
      <c r="A145" s="4">
        <v>45716</v>
      </c>
      <c r="B145" s="5" t="s">
        <v>600</v>
      </c>
      <c r="C145" s="5" t="s">
        <v>601</v>
      </c>
      <c r="D145" s="5" t="s">
        <v>602</v>
      </c>
      <c r="E145" s="5" t="s">
        <v>4494</v>
      </c>
      <c r="G145" s="5" t="s">
        <v>78</v>
      </c>
      <c r="H145" s="5" t="s">
        <v>603</v>
      </c>
      <c r="I145" s="5" t="s">
        <v>1526</v>
      </c>
      <c r="J145" s="5" t="s">
        <v>1823</v>
      </c>
      <c r="K145" s="4">
        <v>40231</v>
      </c>
      <c r="L145" s="4">
        <v>40231</v>
      </c>
      <c r="M145" s="9">
        <f t="shared" si="18"/>
        <v>15</v>
      </c>
      <c r="N145" s="4" t="str">
        <f t="shared" si="20"/>
        <v>] 10 ; 15 ]</v>
      </c>
      <c r="O145" s="5" t="s">
        <v>3786</v>
      </c>
      <c r="P145" s="5" t="s">
        <v>3786</v>
      </c>
      <c r="Q145" s="5">
        <v>1</v>
      </c>
      <c r="R145" s="5" t="str">
        <f t="shared" si="21"/>
        <v>Specialisation</v>
      </c>
      <c r="S145" s="5" t="s">
        <v>3789</v>
      </c>
      <c r="T145" s="4">
        <v>30193</v>
      </c>
      <c r="U145" s="5">
        <f t="shared" si="22"/>
        <v>1982</v>
      </c>
      <c r="V145" s="5" t="s">
        <v>3793</v>
      </c>
      <c r="W145" s="9">
        <f t="shared" si="19"/>
        <v>42</v>
      </c>
      <c r="X145" s="5" t="str">
        <f t="shared" si="23"/>
        <v>[40 - 44 ans]</v>
      </c>
      <c r="Y145" s="5" t="str">
        <f t="shared" si="24"/>
        <v xml:space="preserve"> Mellenials </v>
      </c>
      <c r="Z145" s="9">
        <f t="shared" si="25"/>
        <v>18</v>
      </c>
      <c r="AA145" s="5" t="str">
        <f t="shared" si="26"/>
        <v>RAS</v>
      </c>
      <c r="AB145" s="5" t="s">
        <v>3808</v>
      </c>
      <c r="AC145" s="6" t="s">
        <v>3799</v>
      </c>
      <c r="AE145" s="5" t="s">
        <v>3844</v>
      </c>
      <c r="AF145" s="5" t="s">
        <v>4482</v>
      </c>
      <c r="AG145" s="5" t="s">
        <v>4485</v>
      </c>
      <c r="AH145" s="5" t="s">
        <v>4488</v>
      </c>
      <c r="AI145" s="5" t="s">
        <v>4142</v>
      </c>
      <c r="AJ145" s="5" t="s">
        <v>4143</v>
      </c>
      <c r="AK145" s="5" t="s">
        <v>3946</v>
      </c>
      <c r="AL145" s="5" t="s">
        <v>3858</v>
      </c>
    </row>
    <row r="146" spans="1:38" x14ac:dyDescent="0.3">
      <c r="A146" s="4">
        <v>45716</v>
      </c>
      <c r="B146" s="5" t="s">
        <v>604</v>
      </c>
      <c r="C146" s="5" t="s">
        <v>605</v>
      </c>
      <c r="D146" s="5" t="s">
        <v>606</v>
      </c>
      <c r="E146" s="5" t="s">
        <v>4494</v>
      </c>
      <c r="G146" s="5" t="s">
        <v>39</v>
      </c>
      <c r="H146" s="5" t="s">
        <v>331</v>
      </c>
      <c r="I146" s="5" t="s">
        <v>1268</v>
      </c>
      <c r="J146" s="5" t="s">
        <v>52</v>
      </c>
      <c r="K146" s="4">
        <v>40231</v>
      </c>
      <c r="L146" s="4">
        <v>40231</v>
      </c>
      <c r="M146" s="9">
        <f t="shared" si="18"/>
        <v>15</v>
      </c>
      <c r="N146" s="4" t="str">
        <f t="shared" si="20"/>
        <v>] 10 ; 15 ]</v>
      </c>
      <c r="O146" s="5" t="s">
        <v>3786</v>
      </c>
      <c r="P146" s="5" t="s">
        <v>3786</v>
      </c>
      <c r="Q146" s="5">
        <v>2</v>
      </c>
      <c r="R146" s="5" t="str">
        <f t="shared" si="21"/>
        <v>Specialisation</v>
      </c>
      <c r="S146" s="5" t="s">
        <v>3789</v>
      </c>
      <c r="T146" s="4">
        <v>28164</v>
      </c>
      <c r="U146" s="5">
        <f t="shared" si="22"/>
        <v>1977</v>
      </c>
      <c r="V146" s="5" t="s">
        <v>3793</v>
      </c>
      <c r="W146" s="9">
        <f t="shared" si="19"/>
        <v>48</v>
      </c>
      <c r="X146" s="5" t="str">
        <f t="shared" si="23"/>
        <v>[45 - 49 ans]</v>
      </c>
      <c r="Y146" s="5" t="str">
        <f t="shared" si="24"/>
        <v xml:space="preserve"> Generation X </v>
      </c>
      <c r="Z146" s="9">
        <f t="shared" si="25"/>
        <v>12</v>
      </c>
      <c r="AA146" s="5" t="str">
        <f t="shared" si="26"/>
        <v>RAS</v>
      </c>
      <c r="AB146" s="5" t="s">
        <v>3807</v>
      </c>
      <c r="AC146" s="6" t="s">
        <v>3799</v>
      </c>
      <c r="AE146" s="5" t="s">
        <v>3844</v>
      </c>
      <c r="AF146" s="5" t="s">
        <v>4482</v>
      </c>
      <c r="AG146" s="5" t="s">
        <v>4485</v>
      </c>
      <c r="AH146" s="5" t="s">
        <v>4489</v>
      </c>
      <c r="AI146" s="5" t="s">
        <v>4013</v>
      </c>
      <c r="AJ146" s="5" t="s">
        <v>4014</v>
      </c>
      <c r="AK146" s="5" t="s">
        <v>4015</v>
      </c>
      <c r="AL146" s="5" t="s">
        <v>3858</v>
      </c>
    </row>
    <row r="147" spans="1:38" x14ac:dyDescent="0.3">
      <c r="A147" s="4">
        <v>45716</v>
      </c>
      <c r="B147" s="5" t="s">
        <v>607</v>
      </c>
      <c r="C147" s="5" t="s">
        <v>608</v>
      </c>
      <c r="D147" s="5" t="s">
        <v>609</v>
      </c>
      <c r="E147" s="5" t="s">
        <v>4494</v>
      </c>
      <c r="G147" s="5" t="s">
        <v>24</v>
      </c>
      <c r="H147" s="5" t="s">
        <v>256</v>
      </c>
      <c r="I147" s="5" t="s">
        <v>318</v>
      </c>
      <c r="J147" s="5" t="s">
        <v>23</v>
      </c>
      <c r="K147" s="4">
        <v>40231</v>
      </c>
      <c r="L147" s="4">
        <v>40231</v>
      </c>
      <c r="M147" s="9">
        <f t="shared" si="18"/>
        <v>15</v>
      </c>
      <c r="N147" s="4" t="str">
        <f t="shared" si="20"/>
        <v>] 10 ; 15 ]</v>
      </c>
      <c r="O147" s="5" t="s">
        <v>3786</v>
      </c>
      <c r="P147" s="5" t="s">
        <v>3783</v>
      </c>
      <c r="Q147" s="5">
        <v>1</v>
      </c>
      <c r="R147" s="5" t="str">
        <f t="shared" si="21"/>
        <v>Specialisation</v>
      </c>
      <c r="S147" s="5" t="s">
        <v>3789</v>
      </c>
      <c r="T147" s="4">
        <v>29316</v>
      </c>
      <c r="U147" s="5">
        <f t="shared" si="22"/>
        <v>1980</v>
      </c>
      <c r="V147" s="5" t="s">
        <v>3793</v>
      </c>
      <c r="W147" s="9">
        <f t="shared" si="19"/>
        <v>44</v>
      </c>
      <c r="X147" s="5" t="str">
        <f t="shared" si="23"/>
        <v>[40 - 44 ans]</v>
      </c>
      <c r="Y147" s="5" t="str">
        <f t="shared" si="24"/>
        <v xml:space="preserve"> Generation X </v>
      </c>
      <c r="Z147" s="9">
        <f t="shared" si="25"/>
        <v>16</v>
      </c>
      <c r="AA147" s="5" t="str">
        <f t="shared" si="26"/>
        <v>RAS</v>
      </c>
      <c r="AB147" s="5" t="s">
        <v>3810</v>
      </c>
      <c r="AC147" s="6" t="s">
        <v>3801</v>
      </c>
      <c r="AE147" s="5" t="s">
        <v>3844</v>
      </c>
      <c r="AF147" s="5" t="s">
        <v>4482</v>
      </c>
      <c r="AG147" s="5" t="s">
        <v>4485</v>
      </c>
      <c r="AH147" s="5" t="s">
        <v>4488</v>
      </c>
      <c r="AI147" s="5" t="s">
        <v>4144</v>
      </c>
      <c r="AJ147" s="5" t="s">
        <v>4145</v>
      </c>
      <c r="AK147" s="5" t="s">
        <v>3983</v>
      </c>
      <c r="AL147" s="5" t="s">
        <v>3858</v>
      </c>
    </row>
    <row r="148" spans="1:38" x14ac:dyDescent="0.3">
      <c r="A148" s="4">
        <v>45716</v>
      </c>
      <c r="B148" s="5" t="s">
        <v>610</v>
      </c>
      <c r="C148" s="5" t="s">
        <v>611</v>
      </c>
      <c r="D148" s="5" t="s">
        <v>612</v>
      </c>
      <c r="E148" s="5" t="s">
        <v>4494</v>
      </c>
      <c r="G148" s="5" t="s">
        <v>44</v>
      </c>
      <c r="H148" s="5" t="s">
        <v>613</v>
      </c>
      <c r="I148" s="5" t="s">
        <v>92</v>
      </c>
      <c r="J148" s="5" t="s">
        <v>2337</v>
      </c>
      <c r="K148" s="4">
        <v>40231</v>
      </c>
      <c r="L148" s="4">
        <v>40231</v>
      </c>
      <c r="M148" s="9">
        <f t="shared" si="18"/>
        <v>15</v>
      </c>
      <c r="N148" s="4" t="str">
        <f t="shared" si="20"/>
        <v>] 10 ; 15 ]</v>
      </c>
      <c r="O148" s="5" t="s">
        <v>3783</v>
      </c>
      <c r="P148" s="5" t="s">
        <v>3783</v>
      </c>
      <c r="Q148" s="5">
        <v>2</v>
      </c>
      <c r="R148" s="5" t="str">
        <f t="shared" si="21"/>
        <v>Specialisation</v>
      </c>
      <c r="S148" s="5" t="s">
        <v>3789</v>
      </c>
      <c r="T148" s="4">
        <v>31610</v>
      </c>
      <c r="U148" s="5">
        <f t="shared" si="22"/>
        <v>1986</v>
      </c>
      <c r="V148" s="5" t="s">
        <v>3793</v>
      </c>
      <c r="W148" s="9">
        <f t="shared" si="19"/>
        <v>38</v>
      </c>
      <c r="X148" s="5" t="str">
        <f t="shared" si="23"/>
        <v>[35 - 39 ans ]</v>
      </c>
      <c r="Y148" s="5" t="str">
        <f t="shared" si="24"/>
        <v xml:space="preserve"> Mellenials </v>
      </c>
      <c r="Z148" s="9">
        <f t="shared" si="25"/>
        <v>22</v>
      </c>
      <c r="AA148" s="5" t="str">
        <f t="shared" si="26"/>
        <v>RAS</v>
      </c>
      <c r="AB148" s="5" t="s">
        <v>3806</v>
      </c>
      <c r="AC148" s="6" t="s">
        <v>3799</v>
      </c>
      <c r="AE148" s="5" t="s">
        <v>3844</v>
      </c>
      <c r="AF148" s="5" t="s">
        <v>4482</v>
      </c>
      <c r="AG148" s="5" t="s">
        <v>4485</v>
      </c>
      <c r="AH148" s="5" t="s">
        <v>4487</v>
      </c>
      <c r="AI148" s="5" t="s">
        <v>3898</v>
      </c>
      <c r="AJ148" s="5" t="s">
        <v>3899</v>
      </c>
      <c r="AK148" s="5" t="s">
        <v>3900</v>
      </c>
      <c r="AL148" s="5" t="s">
        <v>3858</v>
      </c>
    </row>
    <row r="149" spans="1:38" x14ac:dyDescent="0.3">
      <c r="A149" s="4">
        <v>45716</v>
      </c>
      <c r="B149" s="5" t="s">
        <v>614</v>
      </c>
      <c r="C149" s="5" t="s">
        <v>615</v>
      </c>
      <c r="D149" s="5" t="s">
        <v>616</v>
      </c>
      <c r="E149" s="5" t="s">
        <v>4494</v>
      </c>
      <c r="G149" s="5" t="s">
        <v>39</v>
      </c>
      <c r="H149" s="5" t="s">
        <v>617</v>
      </c>
      <c r="I149" s="5" t="s">
        <v>132</v>
      </c>
      <c r="J149" s="5" t="s">
        <v>1372</v>
      </c>
      <c r="K149" s="4">
        <v>40233</v>
      </c>
      <c r="L149" s="4">
        <v>40002</v>
      </c>
      <c r="M149" s="9">
        <f t="shared" si="18"/>
        <v>15</v>
      </c>
      <c r="N149" s="4" t="str">
        <f t="shared" si="20"/>
        <v>] 10 ; 15 ]</v>
      </c>
      <c r="O149" s="5" t="s">
        <v>3786</v>
      </c>
      <c r="P149" s="5" t="s">
        <v>3783</v>
      </c>
      <c r="Q149" s="5">
        <v>1</v>
      </c>
      <c r="R149" s="5" t="str">
        <f t="shared" si="21"/>
        <v>Specialisation</v>
      </c>
      <c r="S149" s="5" t="s">
        <v>3789</v>
      </c>
      <c r="T149" s="4">
        <v>30584</v>
      </c>
      <c r="U149" s="5">
        <f t="shared" si="22"/>
        <v>1983</v>
      </c>
      <c r="V149" s="5" t="s">
        <v>3793</v>
      </c>
      <c r="W149" s="9">
        <f t="shared" si="19"/>
        <v>41</v>
      </c>
      <c r="X149" s="5" t="str">
        <f t="shared" si="23"/>
        <v>[40 - 44 ans]</v>
      </c>
      <c r="Y149" s="5" t="str">
        <f t="shared" si="24"/>
        <v xml:space="preserve"> Mellenials </v>
      </c>
      <c r="Z149" s="9">
        <f t="shared" si="25"/>
        <v>19</v>
      </c>
      <c r="AA149" s="5" t="str">
        <f t="shared" si="26"/>
        <v>RAS</v>
      </c>
      <c r="AB149" s="5" t="s">
        <v>3805</v>
      </c>
      <c r="AC149" s="6" t="s">
        <v>3799</v>
      </c>
      <c r="AE149" s="5" t="s">
        <v>3844</v>
      </c>
      <c r="AF149" s="5" t="s">
        <v>4482</v>
      </c>
      <c r="AG149" s="5" t="s">
        <v>4485</v>
      </c>
      <c r="AH149" s="5" t="s">
        <v>4489</v>
      </c>
      <c r="AI149" s="5" t="s">
        <v>3906</v>
      </c>
      <c r="AJ149" s="5" t="s">
        <v>3907</v>
      </c>
      <c r="AK149" s="5" t="s">
        <v>3908</v>
      </c>
      <c r="AL149" s="5" t="s">
        <v>3858</v>
      </c>
    </row>
    <row r="150" spans="1:38" x14ac:dyDescent="0.3">
      <c r="A150" s="4">
        <v>45716</v>
      </c>
      <c r="B150" s="5" t="s">
        <v>618</v>
      </c>
      <c r="C150" s="5" t="s">
        <v>619</v>
      </c>
      <c r="D150" s="5" t="s">
        <v>620</v>
      </c>
      <c r="E150" s="5" t="s">
        <v>4494</v>
      </c>
      <c r="G150" s="5" t="s">
        <v>39</v>
      </c>
      <c r="H150" s="5" t="s">
        <v>621</v>
      </c>
      <c r="I150" s="5" t="s">
        <v>1795</v>
      </c>
      <c r="J150" s="5" t="s">
        <v>52</v>
      </c>
      <c r="K150" s="4">
        <v>40233</v>
      </c>
      <c r="L150" s="4">
        <v>39146</v>
      </c>
      <c r="M150" s="9">
        <f t="shared" si="18"/>
        <v>17</v>
      </c>
      <c r="N150" s="4" t="str">
        <f t="shared" si="20"/>
        <v>] 15 ; +oo [</v>
      </c>
      <c r="O150" s="5" t="s">
        <v>3780</v>
      </c>
      <c r="P150" s="5" t="s">
        <v>3780</v>
      </c>
      <c r="Q150" s="5">
        <v>3</v>
      </c>
      <c r="R150" s="5" t="str">
        <f t="shared" si="21"/>
        <v>Qualification</v>
      </c>
      <c r="S150" s="5" t="s">
        <v>3789</v>
      </c>
      <c r="T150" s="4">
        <v>29806</v>
      </c>
      <c r="U150" s="5">
        <f t="shared" si="22"/>
        <v>1981</v>
      </c>
      <c r="V150" s="5" t="s">
        <v>3793</v>
      </c>
      <c r="W150" s="9">
        <f t="shared" si="19"/>
        <v>43</v>
      </c>
      <c r="X150" s="5" t="str">
        <f t="shared" si="23"/>
        <v>[40 - 44 ans]</v>
      </c>
      <c r="Y150" s="5" t="str">
        <f t="shared" si="24"/>
        <v xml:space="preserve"> Mellenials </v>
      </c>
      <c r="Z150" s="9">
        <f t="shared" si="25"/>
        <v>17</v>
      </c>
      <c r="AA150" s="5" t="str">
        <f t="shared" si="26"/>
        <v>RAS</v>
      </c>
      <c r="AB150" s="5" t="s">
        <v>3807</v>
      </c>
      <c r="AC150" s="6" t="s">
        <v>3799</v>
      </c>
      <c r="AE150" s="5" t="s">
        <v>3844</v>
      </c>
      <c r="AF150" s="5" t="s">
        <v>4482</v>
      </c>
      <c r="AG150" s="5" t="s">
        <v>4485</v>
      </c>
      <c r="AH150" s="5" t="s">
        <v>4489</v>
      </c>
      <c r="AI150" s="5" t="s">
        <v>4146</v>
      </c>
      <c r="AJ150" s="5" t="s">
        <v>4147</v>
      </c>
      <c r="AK150" s="5" t="s">
        <v>4148</v>
      </c>
      <c r="AL150" s="5" t="s">
        <v>3858</v>
      </c>
    </row>
    <row r="151" spans="1:38" x14ac:dyDescent="0.3">
      <c r="A151" s="4">
        <v>45716</v>
      </c>
      <c r="B151" s="5" t="s">
        <v>622</v>
      </c>
      <c r="C151" s="5" t="s">
        <v>623</v>
      </c>
      <c r="D151" s="5" t="s">
        <v>624</v>
      </c>
      <c r="E151" s="5" t="s">
        <v>4494</v>
      </c>
      <c r="G151" s="5" t="s">
        <v>88</v>
      </c>
      <c r="H151" s="5" t="s">
        <v>456</v>
      </c>
      <c r="I151" s="5" t="s">
        <v>1002</v>
      </c>
      <c r="J151" s="5" t="s">
        <v>883</v>
      </c>
      <c r="K151" s="4">
        <v>40233</v>
      </c>
      <c r="L151" s="4">
        <v>39286</v>
      </c>
      <c r="M151" s="9">
        <f t="shared" si="18"/>
        <v>17</v>
      </c>
      <c r="N151" s="4" t="str">
        <f t="shared" si="20"/>
        <v>] 15 ; +oo [</v>
      </c>
      <c r="O151" s="5" t="s">
        <v>3780</v>
      </c>
      <c r="P151" s="5" t="s">
        <v>3786</v>
      </c>
      <c r="Q151" s="5">
        <v>1</v>
      </c>
      <c r="R151" s="5" t="str">
        <f t="shared" si="21"/>
        <v>Qualification</v>
      </c>
      <c r="S151" s="5" t="s">
        <v>3790</v>
      </c>
      <c r="T151" s="4">
        <v>29066</v>
      </c>
      <c r="U151" s="5">
        <f t="shared" si="22"/>
        <v>1979</v>
      </c>
      <c r="V151" s="5" t="s">
        <v>3792</v>
      </c>
      <c r="W151" s="9">
        <f t="shared" si="19"/>
        <v>45</v>
      </c>
      <c r="X151" s="5" t="str">
        <f t="shared" si="23"/>
        <v>[45 - 49 ans]</v>
      </c>
      <c r="Y151" s="5" t="str">
        <f t="shared" si="24"/>
        <v xml:space="preserve"> Generation X </v>
      </c>
      <c r="Z151" s="9">
        <f t="shared" si="25"/>
        <v>15</v>
      </c>
      <c r="AA151" s="5" t="str">
        <f t="shared" si="26"/>
        <v>RAS</v>
      </c>
      <c r="AB151" s="5" t="s">
        <v>3818</v>
      </c>
      <c r="AC151" s="6" t="s">
        <v>3799</v>
      </c>
      <c r="AE151" s="5" t="s">
        <v>3844</v>
      </c>
      <c r="AF151" s="5" t="s">
        <v>4482</v>
      </c>
      <c r="AG151" s="5" t="s">
        <v>4485</v>
      </c>
      <c r="AH151" s="5" t="s">
        <v>4488</v>
      </c>
      <c r="AI151" s="5" t="s">
        <v>4149</v>
      </c>
      <c r="AJ151" s="5" t="s">
        <v>4150</v>
      </c>
      <c r="AK151" s="5" t="s">
        <v>4151</v>
      </c>
      <c r="AL151" s="5" t="s">
        <v>3858</v>
      </c>
    </row>
    <row r="152" spans="1:38" x14ac:dyDescent="0.3">
      <c r="A152" s="4">
        <v>45716</v>
      </c>
      <c r="B152" s="5" t="s">
        <v>625</v>
      </c>
      <c r="C152" s="5" t="s">
        <v>626</v>
      </c>
      <c r="D152" s="5" t="s">
        <v>627</v>
      </c>
      <c r="E152" s="5" t="s">
        <v>4494</v>
      </c>
      <c r="G152" s="5" t="s">
        <v>39</v>
      </c>
      <c r="H152" s="5" t="s">
        <v>471</v>
      </c>
      <c r="I152" s="5" t="s">
        <v>1835</v>
      </c>
      <c r="J152" s="5" t="s">
        <v>48</v>
      </c>
      <c r="K152" s="4">
        <v>40233</v>
      </c>
      <c r="L152" s="4">
        <v>40233</v>
      </c>
      <c r="M152" s="9">
        <f t="shared" si="18"/>
        <v>15</v>
      </c>
      <c r="N152" s="4" t="str">
        <f t="shared" si="20"/>
        <v>] 10 ; 15 ]</v>
      </c>
      <c r="O152" s="5" t="s">
        <v>3786</v>
      </c>
      <c r="P152" s="5" t="s">
        <v>3786</v>
      </c>
      <c r="Q152" s="5">
        <v>1</v>
      </c>
      <c r="R152" s="5" t="str">
        <f t="shared" si="21"/>
        <v>Specialisation</v>
      </c>
      <c r="S152" s="5" t="s">
        <v>3789</v>
      </c>
      <c r="T152" s="4">
        <v>30879</v>
      </c>
      <c r="U152" s="5">
        <f t="shared" si="22"/>
        <v>1984</v>
      </c>
      <c r="V152" s="5" t="s">
        <v>3793</v>
      </c>
      <c r="W152" s="9">
        <f t="shared" si="19"/>
        <v>40</v>
      </c>
      <c r="X152" s="5" t="str">
        <f t="shared" si="23"/>
        <v>[40 - 44 ans]</v>
      </c>
      <c r="Y152" s="5" t="str">
        <f t="shared" si="24"/>
        <v xml:space="preserve"> Mellenials </v>
      </c>
      <c r="Z152" s="9">
        <f t="shared" si="25"/>
        <v>20</v>
      </c>
      <c r="AA152" s="5" t="str">
        <f t="shared" si="26"/>
        <v>RAS</v>
      </c>
      <c r="AB152" s="5" t="s">
        <v>3819</v>
      </c>
      <c r="AC152" s="6" t="s">
        <v>3802</v>
      </c>
      <c r="AE152" s="5" t="s">
        <v>3844</v>
      </c>
      <c r="AF152" s="5" t="s">
        <v>4482</v>
      </c>
      <c r="AG152" s="5" t="s">
        <v>4485</v>
      </c>
      <c r="AH152" s="5" t="s">
        <v>4489</v>
      </c>
      <c r="AI152" s="5" t="s">
        <v>4078</v>
      </c>
      <c r="AJ152" s="5" t="s">
        <v>4079</v>
      </c>
      <c r="AK152" s="5" t="s">
        <v>4080</v>
      </c>
      <c r="AL152" s="5" t="s">
        <v>3858</v>
      </c>
    </row>
    <row r="153" spans="1:38" x14ac:dyDescent="0.3">
      <c r="A153" s="4">
        <v>45716</v>
      </c>
      <c r="B153" s="5" t="s">
        <v>628</v>
      </c>
      <c r="C153" s="5" t="s">
        <v>629</v>
      </c>
      <c r="D153" s="5" t="s">
        <v>630</v>
      </c>
      <c r="E153" s="5" t="s">
        <v>4494</v>
      </c>
      <c r="G153" s="5" t="s">
        <v>88</v>
      </c>
      <c r="H153" s="5" t="s">
        <v>456</v>
      </c>
      <c r="I153" s="5" t="s">
        <v>910</v>
      </c>
      <c r="J153" s="5" t="s">
        <v>883</v>
      </c>
      <c r="K153" s="4">
        <v>40233</v>
      </c>
      <c r="L153" s="4">
        <v>39286</v>
      </c>
      <c r="M153" s="9">
        <f t="shared" si="18"/>
        <v>17</v>
      </c>
      <c r="N153" s="4" t="str">
        <f t="shared" si="20"/>
        <v>] 15 ; +oo [</v>
      </c>
      <c r="O153" s="5" t="s">
        <v>3780</v>
      </c>
      <c r="P153" s="5" t="s">
        <v>3786</v>
      </c>
      <c r="Q153" s="5">
        <v>1</v>
      </c>
      <c r="R153" s="5" t="str">
        <f t="shared" si="21"/>
        <v>Qualification</v>
      </c>
      <c r="S153" s="5" t="s">
        <v>3790</v>
      </c>
      <c r="T153" s="4">
        <v>29132</v>
      </c>
      <c r="U153" s="5">
        <f t="shared" si="22"/>
        <v>1979</v>
      </c>
      <c r="V153" s="5" t="s">
        <v>3793</v>
      </c>
      <c r="W153" s="9">
        <f t="shared" si="19"/>
        <v>45</v>
      </c>
      <c r="X153" s="5" t="str">
        <f t="shared" si="23"/>
        <v>[45 - 49 ans]</v>
      </c>
      <c r="Y153" s="5" t="str">
        <f t="shared" si="24"/>
        <v xml:space="preserve"> Generation X </v>
      </c>
      <c r="Z153" s="9">
        <f t="shared" si="25"/>
        <v>15</v>
      </c>
      <c r="AA153" s="5" t="str">
        <f t="shared" si="26"/>
        <v>RAS</v>
      </c>
      <c r="AB153" s="5" t="s">
        <v>3815</v>
      </c>
      <c r="AC153" s="6" t="s">
        <v>3799</v>
      </c>
      <c r="AE153" s="5" t="s">
        <v>3844</v>
      </c>
      <c r="AF153" s="5" t="s">
        <v>4482</v>
      </c>
      <c r="AG153" s="5" t="s">
        <v>4485</v>
      </c>
      <c r="AH153" s="5" t="s">
        <v>4488</v>
      </c>
      <c r="AI153" s="5" t="s">
        <v>4152</v>
      </c>
      <c r="AJ153" s="5" t="s">
        <v>4153</v>
      </c>
      <c r="AK153" s="5" t="s">
        <v>4154</v>
      </c>
      <c r="AL153" s="5" t="s">
        <v>3858</v>
      </c>
    </row>
    <row r="154" spans="1:38" x14ac:dyDescent="0.3">
      <c r="A154" s="4">
        <v>45716</v>
      </c>
      <c r="B154" s="5" t="s">
        <v>631</v>
      </c>
      <c r="C154" s="5" t="s">
        <v>632</v>
      </c>
      <c r="D154" s="5" t="s">
        <v>633</v>
      </c>
      <c r="E154" s="5" t="s">
        <v>4494</v>
      </c>
      <c r="G154" s="5" t="s">
        <v>222</v>
      </c>
      <c r="H154" s="5" t="s">
        <v>634</v>
      </c>
      <c r="I154" s="5" t="s">
        <v>2086</v>
      </c>
      <c r="J154" s="5" t="s">
        <v>2841</v>
      </c>
      <c r="K154" s="4">
        <v>40245</v>
      </c>
      <c r="L154" s="4">
        <v>40245</v>
      </c>
      <c r="M154" s="9">
        <f t="shared" si="18"/>
        <v>14</v>
      </c>
      <c r="N154" s="4" t="str">
        <f t="shared" si="20"/>
        <v>] 10 ; 15 ]</v>
      </c>
      <c r="O154" s="5" t="s">
        <v>3784</v>
      </c>
      <c r="P154" s="5" t="s">
        <v>3784</v>
      </c>
      <c r="Q154" s="5">
        <v>2</v>
      </c>
      <c r="R154" s="5" t="str">
        <f t="shared" si="21"/>
        <v>Management &amp; Expertise</v>
      </c>
      <c r="S154" s="5" t="s">
        <v>3789</v>
      </c>
      <c r="T154" s="4">
        <v>28809</v>
      </c>
      <c r="U154" s="5">
        <f t="shared" si="22"/>
        <v>1978</v>
      </c>
      <c r="V154" s="5" t="s">
        <v>3793</v>
      </c>
      <c r="W154" s="9">
        <f t="shared" si="19"/>
        <v>46</v>
      </c>
      <c r="X154" s="5" t="str">
        <f t="shared" si="23"/>
        <v>[45 - 49 ans]</v>
      </c>
      <c r="Y154" s="5" t="str">
        <f t="shared" si="24"/>
        <v xml:space="preserve"> Generation X </v>
      </c>
      <c r="Z154" s="9">
        <f t="shared" si="25"/>
        <v>14</v>
      </c>
      <c r="AA154" s="5" t="str">
        <f t="shared" si="26"/>
        <v>RAS</v>
      </c>
      <c r="AB154" s="5" t="s">
        <v>3806</v>
      </c>
      <c r="AC154" s="6" t="s">
        <v>3799</v>
      </c>
      <c r="AE154" s="5" t="s">
        <v>3845</v>
      </c>
      <c r="AF154" s="5" t="s">
        <v>4481</v>
      </c>
      <c r="AG154" s="5" t="s">
        <v>4485</v>
      </c>
      <c r="AH154" s="5" t="s">
        <v>4487</v>
      </c>
      <c r="AI154" s="5" t="s">
        <v>4155</v>
      </c>
      <c r="AJ154" s="5" t="s">
        <v>4156</v>
      </c>
      <c r="AK154" s="5" t="s">
        <v>4157</v>
      </c>
      <c r="AL154" s="5" t="s">
        <v>3854</v>
      </c>
    </row>
    <row r="155" spans="1:38" x14ac:dyDescent="0.3">
      <c r="A155" s="4">
        <v>45716</v>
      </c>
      <c r="B155" s="5" t="s">
        <v>635</v>
      </c>
      <c r="C155" s="5" t="s">
        <v>636</v>
      </c>
      <c r="D155" s="5" t="s">
        <v>637</v>
      </c>
      <c r="E155" s="5" t="s">
        <v>4494</v>
      </c>
      <c r="G155" s="5" t="s">
        <v>39</v>
      </c>
      <c r="H155" s="5" t="s">
        <v>621</v>
      </c>
      <c r="I155" s="5" t="s">
        <v>1795</v>
      </c>
      <c r="J155" s="5" t="s">
        <v>52</v>
      </c>
      <c r="K155" s="4">
        <v>40233</v>
      </c>
      <c r="L155" s="4">
        <v>39580</v>
      </c>
      <c r="M155" s="9">
        <f t="shared" si="18"/>
        <v>16</v>
      </c>
      <c r="N155" s="4" t="str">
        <f t="shared" si="20"/>
        <v>] 15 ; +oo [</v>
      </c>
      <c r="O155" s="5" t="s">
        <v>3780</v>
      </c>
      <c r="P155" s="5" t="s">
        <v>3786</v>
      </c>
      <c r="Q155" s="5">
        <v>1</v>
      </c>
      <c r="R155" s="5" t="str">
        <f t="shared" si="21"/>
        <v>Qualification</v>
      </c>
      <c r="S155" s="5" t="s">
        <v>3789</v>
      </c>
      <c r="T155" s="4">
        <v>30000</v>
      </c>
      <c r="U155" s="5">
        <f t="shared" si="22"/>
        <v>1982</v>
      </c>
      <c r="V155" s="5" t="s">
        <v>3793</v>
      </c>
      <c r="W155" s="9">
        <f t="shared" si="19"/>
        <v>43</v>
      </c>
      <c r="X155" s="5" t="str">
        <f t="shared" si="23"/>
        <v>[40 - 44 ans]</v>
      </c>
      <c r="Y155" s="5" t="str">
        <f t="shared" si="24"/>
        <v xml:space="preserve"> Mellenials </v>
      </c>
      <c r="Z155" s="9">
        <f t="shared" si="25"/>
        <v>17</v>
      </c>
      <c r="AA155" s="5" t="str">
        <f t="shared" si="26"/>
        <v>RAS</v>
      </c>
      <c r="AB155" s="5" t="s">
        <v>3807</v>
      </c>
      <c r="AC155" s="6" t="s">
        <v>3799</v>
      </c>
      <c r="AE155" s="5" t="s">
        <v>3844</v>
      </c>
      <c r="AF155" s="5" t="s">
        <v>4482</v>
      </c>
      <c r="AG155" s="5" t="s">
        <v>4485</v>
      </c>
      <c r="AH155" s="5" t="s">
        <v>4489</v>
      </c>
      <c r="AI155" s="5" t="s">
        <v>4146</v>
      </c>
      <c r="AJ155" s="5" t="s">
        <v>4147</v>
      </c>
      <c r="AK155" s="5" t="s">
        <v>4148</v>
      </c>
      <c r="AL155" s="5" t="s">
        <v>3858</v>
      </c>
    </row>
    <row r="156" spans="1:38" x14ac:dyDescent="0.3">
      <c r="A156" s="4">
        <v>45716</v>
      </c>
      <c r="B156" s="5" t="s">
        <v>638</v>
      </c>
      <c r="C156" s="5" t="s">
        <v>639</v>
      </c>
      <c r="D156" s="5" t="s">
        <v>640</v>
      </c>
      <c r="E156" s="5" t="s">
        <v>4494</v>
      </c>
      <c r="G156" s="5" t="s">
        <v>88</v>
      </c>
      <c r="H156" s="5" t="s">
        <v>456</v>
      </c>
      <c r="I156" s="5" t="s">
        <v>2113</v>
      </c>
      <c r="J156" s="5" t="s">
        <v>883</v>
      </c>
      <c r="K156" s="4">
        <v>40233</v>
      </c>
      <c r="L156" s="4">
        <v>40233</v>
      </c>
      <c r="M156" s="9">
        <f t="shared" si="18"/>
        <v>15</v>
      </c>
      <c r="N156" s="4" t="str">
        <f t="shared" si="20"/>
        <v>] 10 ; 15 ]</v>
      </c>
      <c r="O156" s="5" t="s">
        <v>3780</v>
      </c>
      <c r="P156" s="5" t="s">
        <v>3786</v>
      </c>
      <c r="Q156" s="5">
        <v>1</v>
      </c>
      <c r="R156" s="5" t="str">
        <f t="shared" si="21"/>
        <v>Qualification</v>
      </c>
      <c r="S156" s="5" t="s">
        <v>3790</v>
      </c>
      <c r="T156" s="4">
        <v>31190</v>
      </c>
      <c r="U156" s="5">
        <f t="shared" si="22"/>
        <v>1985</v>
      </c>
      <c r="V156" s="5" t="s">
        <v>3793</v>
      </c>
      <c r="W156" s="9">
        <f t="shared" si="19"/>
        <v>39</v>
      </c>
      <c r="X156" s="5" t="str">
        <f t="shared" si="23"/>
        <v>[35 - 39 ans ]</v>
      </c>
      <c r="Y156" s="5" t="str">
        <f t="shared" si="24"/>
        <v xml:space="preserve"> Mellenials </v>
      </c>
      <c r="Z156" s="9">
        <f t="shared" si="25"/>
        <v>21</v>
      </c>
      <c r="AA156" s="5" t="str">
        <f t="shared" si="26"/>
        <v>RAS</v>
      </c>
      <c r="AB156" s="5" t="s">
        <v>3820</v>
      </c>
      <c r="AC156" s="6" t="s">
        <v>3800</v>
      </c>
      <c r="AE156" s="5" t="s">
        <v>3844</v>
      </c>
      <c r="AF156" s="5" t="s">
        <v>4482</v>
      </c>
      <c r="AG156" s="5" t="s">
        <v>4485</v>
      </c>
      <c r="AH156" s="5" t="s">
        <v>4488</v>
      </c>
      <c r="AI156" s="5" t="s">
        <v>4158</v>
      </c>
      <c r="AJ156" s="5" t="s">
        <v>4159</v>
      </c>
      <c r="AK156" s="5" t="s">
        <v>4160</v>
      </c>
      <c r="AL156" s="5" t="s">
        <v>3858</v>
      </c>
    </row>
    <row r="157" spans="1:38" x14ac:dyDescent="0.3">
      <c r="A157" s="4">
        <v>45716</v>
      </c>
      <c r="B157" s="5" t="s">
        <v>641</v>
      </c>
      <c r="C157" s="5" t="s">
        <v>642</v>
      </c>
      <c r="D157" s="5" t="s">
        <v>643</v>
      </c>
      <c r="E157" s="5" t="s">
        <v>4494</v>
      </c>
      <c r="G157" s="5" t="s">
        <v>88</v>
      </c>
      <c r="H157" s="5" t="s">
        <v>456</v>
      </c>
      <c r="I157" s="5" t="s">
        <v>779</v>
      </c>
      <c r="J157" s="5" t="s">
        <v>883</v>
      </c>
      <c r="K157" s="4">
        <v>40233</v>
      </c>
      <c r="L157" s="4">
        <v>40233</v>
      </c>
      <c r="M157" s="9">
        <f t="shared" si="18"/>
        <v>15</v>
      </c>
      <c r="N157" s="4" t="str">
        <f t="shared" si="20"/>
        <v>] 10 ; 15 ]</v>
      </c>
      <c r="O157" s="5" t="s">
        <v>3780</v>
      </c>
      <c r="P157" s="5" t="s">
        <v>3786</v>
      </c>
      <c r="Q157" s="5">
        <v>1</v>
      </c>
      <c r="R157" s="5" t="str">
        <f t="shared" si="21"/>
        <v>Qualification</v>
      </c>
      <c r="S157" s="5" t="s">
        <v>3790</v>
      </c>
      <c r="T157" s="4">
        <v>30127</v>
      </c>
      <c r="U157" s="5">
        <f t="shared" si="22"/>
        <v>1982</v>
      </c>
      <c r="V157" s="5" t="s">
        <v>3793</v>
      </c>
      <c r="W157" s="9">
        <f t="shared" si="19"/>
        <v>42</v>
      </c>
      <c r="X157" s="5" t="str">
        <f t="shared" si="23"/>
        <v>[40 - 44 ans]</v>
      </c>
      <c r="Y157" s="5" t="str">
        <f t="shared" si="24"/>
        <v xml:space="preserve"> Mellenials </v>
      </c>
      <c r="Z157" s="9">
        <f t="shared" si="25"/>
        <v>18</v>
      </c>
      <c r="AA157" s="5" t="str">
        <f t="shared" si="26"/>
        <v>RAS</v>
      </c>
      <c r="AB157" s="5" t="s">
        <v>3819</v>
      </c>
      <c r="AC157" s="6" t="s">
        <v>3802</v>
      </c>
      <c r="AE157" s="5" t="s">
        <v>3844</v>
      </c>
      <c r="AF157" s="5" t="s">
        <v>4482</v>
      </c>
      <c r="AG157" s="5" t="s">
        <v>4485</v>
      </c>
      <c r="AH157" s="5" t="s">
        <v>4488</v>
      </c>
      <c r="AI157" s="5" t="s">
        <v>4161</v>
      </c>
      <c r="AJ157" s="5" t="s">
        <v>3819</v>
      </c>
      <c r="AK157" s="5" t="s">
        <v>4162</v>
      </c>
      <c r="AL157" s="5" t="s">
        <v>3858</v>
      </c>
    </row>
    <row r="158" spans="1:38" x14ac:dyDescent="0.3">
      <c r="A158" s="4">
        <v>45716</v>
      </c>
      <c r="B158" s="5" t="s">
        <v>644</v>
      </c>
      <c r="C158" s="5" t="s">
        <v>645</v>
      </c>
      <c r="D158" s="5" t="s">
        <v>646</v>
      </c>
      <c r="E158" s="5" t="s">
        <v>4494</v>
      </c>
      <c r="G158" s="5" t="s">
        <v>39</v>
      </c>
      <c r="H158" s="5" t="s">
        <v>621</v>
      </c>
      <c r="I158" s="5" t="s">
        <v>1795</v>
      </c>
      <c r="J158" s="5" t="s">
        <v>3771</v>
      </c>
      <c r="K158" s="4">
        <v>40233</v>
      </c>
      <c r="L158" s="4">
        <v>39845.041666666664</v>
      </c>
      <c r="M158" s="9">
        <f t="shared" si="18"/>
        <v>16</v>
      </c>
      <c r="N158" s="4" t="str">
        <f t="shared" si="20"/>
        <v>] 15 ; +oo [</v>
      </c>
      <c r="O158" s="5" t="s">
        <v>3780</v>
      </c>
      <c r="P158" s="5" t="s">
        <v>3786</v>
      </c>
      <c r="Q158" s="5">
        <v>1</v>
      </c>
      <c r="R158" s="5" t="str">
        <f t="shared" si="21"/>
        <v>Qualification</v>
      </c>
      <c r="S158" s="5" t="s">
        <v>3789</v>
      </c>
      <c r="T158" s="4">
        <v>30941</v>
      </c>
      <c r="U158" s="5">
        <f t="shared" si="22"/>
        <v>1984</v>
      </c>
      <c r="V158" s="5" t="s">
        <v>3792</v>
      </c>
      <c r="W158" s="9">
        <f t="shared" si="19"/>
        <v>40</v>
      </c>
      <c r="X158" s="5" t="str">
        <f t="shared" si="23"/>
        <v>[40 - 44 ans]</v>
      </c>
      <c r="Y158" s="5" t="str">
        <f t="shared" si="24"/>
        <v xml:space="preserve"> Mellenials </v>
      </c>
      <c r="Z158" s="9">
        <f t="shared" si="25"/>
        <v>20</v>
      </c>
      <c r="AA158" s="5" t="str">
        <f t="shared" si="26"/>
        <v>RAS</v>
      </c>
      <c r="AB158" s="5" t="s">
        <v>3807</v>
      </c>
      <c r="AC158" s="6" t="s">
        <v>3799</v>
      </c>
      <c r="AE158" s="5" t="s">
        <v>3844</v>
      </c>
      <c r="AF158" s="5" t="s">
        <v>4482</v>
      </c>
      <c r="AG158" s="5" t="s">
        <v>4485</v>
      </c>
      <c r="AH158" s="5" t="s">
        <v>4489</v>
      </c>
      <c r="AI158" s="5" t="s">
        <v>4146</v>
      </c>
      <c r="AJ158" s="5" t="s">
        <v>4147</v>
      </c>
      <c r="AK158" s="5" t="s">
        <v>4148</v>
      </c>
      <c r="AL158" s="5" t="s">
        <v>3858</v>
      </c>
    </row>
    <row r="159" spans="1:38" x14ac:dyDescent="0.3">
      <c r="A159" s="4">
        <v>45716</v>
      </c>
      <c r="B159" s="5" t="s">
        <v>647</v>
      </c>
      <c r="C159" s="5" t="s">
        <v>648</v>
      </c>
      <c r="D159" s="5" t="s">
        <v>649</v>
      </c>
      <c r="E159" s="5" t="s">
        <v>4494</v>
      </c>
      <c r="G159" s="5" t="s">
        <v>88</v>
      </c>
      <c r="H159" s="5" t="s">
        <v>456</v>
      </c>
      <c r="I159" s="5" t="s">
        <v>910</v>
      </c>
      <c r="J159" s="5" t="s">
        <v>883</v>
      </c>
      <c r="K159" s="4">
        <v>40233</v>
      </c>
      <c r="L159" s="4">
        <v>39798</v>
      </c>
      <c r="M159" s="9">
        <f t="shared" si="18"/>
        <v>16</v>
      </c>
      <c r="N159" s="4" t="str">
        <f t="shared" si="20"/>
        <v>] 15 ; +oo [</v>
      </c>
      <c r="O159" s="5" t="s">
        <v>3780</v>
      </c>
      <c r="P159" s="5" t="s">
        <v>3786</v>
      </c>
      <c r="Q159" s="5">
        <v>1</v>
      </c>
      <c r="R159" s="5" t="str">
        <f t="shared" si="21"/>
        <v>Qualification</v>
      </c>
      <c r="S159" s="5" t="s">
        <v>3789</v>
      </c>
      <c r="T159" s="4">
        <v>29847</v>
      </c>
      <c r="U159" s="5">
        <f t="shared" si="22"/>
        <v>1981</v>
      </c>
      <c r="V159" s="5" t="s">
        <v>3793</v>
      </c>
      <c r="W159" s="9">
        <f t="shared" si="19"/>
        <v>43</v>
      </c>
      <c r="X159" s="5" t="str">
        <f t="shared" si="23"/>
        <v>[40 - 44 ans]</v>
      </c>
      <c r="Y159" s="5" t="str">
        <f t="shared" si="24"/>
        <v xml:space="preserve"> Mellenials </v>
      </c>
      <c r="Z159" s="9">
        <f t="shared" si="25"/>
        <v>17</v>
      </c>
      <c r="AA159" s="5" t="str">
        <f t="shared" si="26"/>
        <v>RAS</v>
      </c>
      <c r="AB159" s="5" t="s">
        <v>3821</v>
      </c>
      <c r="AC159" s="6" t="s">
        <v>3799</v>
      </c>
      <c r="AE159" s="5" t="s">
        <v>3844</v>
      </c>
      <c r="AF159" s="5" t="s">
        <v>4482</v>
      </c>
      <c r="AG159" s="5" t="s">
        <v>4485</v>
      </c>
      <c r="AH159" s="5" t="s">
        <v>4488</v>
      </c>
      <c r="AI159" s="5" t="s">
        <v>4163</v>
      </c>
      <c r="AJ159" s="5" t="s">
        <v>4164</v>
      </c>
      <c r="AK159" s="5" t="s">
        <v>4165</v>
      </c>
      <c r="AL159" s="5" t="s">
        <v>3858</v>
      </c>
    </row>
    <row r="160" spans="1:38" x14ac:dyDescent="0.3">
      <c r="A160" s="4">
        <v>45716</v>
      </c>
      <c r="B160" s="5" t="s">
        <v>650</v>
      </c>
      <c r="C160" s="5" t="s">
        <v>651</v>
      </c>
      <c r="D160" s="5" t="s">
        <v>652</v>
      </c>
      <c r="E160" s="5" t="s">
        <v>4494</v>
      </c>
      <c r="G160" s="5" t="s">
        <v>88</v>
      </c>
      <c r="H160" s="5" t="s">
        <v>653</v>
      </c>
      <c r="I160" s="5" t="s">
        <v>883</v>
      </c>
      <c r="J160" s="5" t="s">
        <v>182</v>
      </c>
      <c r="K160" s="4">
        <v>40233</v>
      </c>
      <c r="L160" s="4">
        <v>40233</v>
      </c>
      <c r="M160" s="9">
        <f t="shared" si="18"/>
        <v>15</v>
      </c>
      <c r="N160" s="4" t="str">
        <f t="shared" si="20"/>
        <v>] 10 ; 15 ]</v>
      </c>
      <c r="O160" s="5" t="s">
        <v>3785</v>
      </c>
      <c r="P160" s="5" t="s">
        <v>3785</v>
      </c>
      <c r="Q160" s="5">
        <v>1</v>
      </c>
      <c r="R160" s="5" t="str">
        <f t="shared" si="21"/>
        <v>Specialisation</v>
      </c>
      <c r="S160" s="5" t="s">
        <v>3789</v>
      </c>
      <c r="T160" s="4">
        <v>31209</v>
      </c>
      <c r="U160" s="5">
        <f t="shared" si="22"/>
        <v>1985</v>
      </c>
      <c r="V160" s="5" t="s">
        <v>3793</v>
      </c>
      <c r="W160" s="9">
        <f t="shared" si="19"/>
        <v>39</v>
      </c>
      <c r="X160" s="5" t="str">
        <f t="shared" si="23"/>
        <v>[35 - 39 ans ]</v>
      </c>
      <c r="Y160" s="5" t="str">
        <f t="shared" si="24"/>
        <v xml:space="preserve"> Mellenials </v>
      </c>
      <c r="Z160" s="9">
        <f t="shared" si="25"/>
        <v>21</v>
      </c>
      <c r="AA160" s="5" t="str">
        <f t="shared" si="26"/>
        <v>RAS</v>
      </c>
      <c r="AB160" s="5" t="s">
        <v>3822</v>
      </c>
      <c r="AC160" s="6" t="s">
        <v>3802</v>
      </c>
      <c r="AE160" s="5" t="s">
        <v>3845</v>
      </c>
      <c r="AF160" s="5" t="s">
        <v>4481</v>
      </c>
      <c r="AG160" s="5" t="s">
        <v>4485</v>
      </c>
      <c r="AH160" s="5" t="s">
        <v>4488</v>
      </c>
      <c r="AI160" s="5" t="s">
        <v>4166</v>
      </c>
      <c r="AJ160" s="5" t="s">
        <v>4167</v>
      </c>
      <c r="AK160" s="5" t="s">
        <v>4168</v>
      </c>
      <c r="AL160" s="5" t="s">
        <v>3854</v>
      </c>
    </row>
    <row r="161" spans="1:38" x14ac:dyDescent="0.3">
      <c r="A161" s="4">
        <v>45716</v>
      </c>
      <c r="B161" s="5" t="s">
        <v>654</v>
      </c>
      <c r="C161" s="5" t="s">
        <v>655</v>
      </c>
      <c r="D161" s="5" t="s">
        <v>656</v>
      </c>
      <c r="E161" s="5" t="s">
        <v>4494</v>
      </c>
      <c r="G161" s="5" t="s">
        <v>88</v>
      </c>
      <c r="H161" s="5" t="s">
        <v>456</v>
      </c>
      <c r="I161" s="5" t="s">
        <v>779</v>
      </c>
      <c r="J161" s="5" t="s">
        <v>883</v>
      </c>
      <c r="K161" s="4">
        <v>40233</v>
      </c>
      <c r="L161" s="4">
        <v>40233</v>
      </c>
      <c r="M161" s="9">
        <f t="shared" si="18"/>
        <v>15</v>
      </c>
      <c r="N161" s="4" t="str">
        <f t="shared" si="20"/>
        <v>] 10 ; 15 ]</v>
      </c>
      <c r="O161" s="5" t="s">
        <v>3780</v>
      </c>
      <c r="P161" s="5" t="s">
        <v>3786</v>
      </c>
      <c r="Q161" s="5">
        <v>1</v>
      </c>
      <c r="R161" s="5" t="str">
        <f t="shared" si="21"/>
        <v>Qualification</v>
      </c>
      <c r="S161" s="5" t="s">
        <v>3790</v>
      </c>
      <c r="T161" s="4">
        <v>29741</v>
      </c>
      <c r="U161" s="5">
        <f t="shared" si="22"/>
        <v>1981</v>
      </c>
      <c r="V161" s="5" t="s">
        <v>3793</v>
      </c>
      <c r="W161" s="9">
        <f t="shared" si="19"/>
        <v>43</v>
      </c>
      <c r="X161" s="5" t="str">
        <f t="shared" si="23"/>
        <v>[40 - 44 ans]</v>
      </c>
      <c r="Y161" s="5" t="str">
        <f t="shared" si="24"/>
        <v xml:space="preserve"> Mellenials </v>
      </c>
      <c r="Z161" s="9">
        <f t="shared" si="25"/>
        <v>17</v>
      </c>
      <c r="AA161" s="5" t="str">
        <f t="shared" si="26"/>
        <v>RAS</v>
      </c>
      <c r="AB161" s="5" t="s">
        <v>3819</v>
      </c>
      <c r="AC161" s="6" t="s">
        <v>3802</v>
      </c>
      <c r="AE161" s="5" t="s">
        <v>3844</v>
      </c>
      <c r="AF161" s="5" t="s">
        <v>4482</v>
      </c>
      <c r="AG161" s="5" t="s">
        <v>4485</v>
      </c>
      <c r="AH161" s="5" t="s">
        <v>4488</v>
      </c>
      <c r="AI161" s="5" t="s">
        <v>4161</v>
      </c>
      <c r="AJ161" s="5" t="s">
        <v>3819</v>
      </c>
      <c r="AK161" s="5" t="s">
        <v>4162</v>
      </c>
      <c r="AL161" s="5" t="s">
        <v>3858</v>
      </c>
    </row>
    <row r="162" spans="1:38" x14ac:dyDescent="0.3">
      <c r="A162" s="4">
        <v>45716</v>
      </c>
      <c r="B162" s="5" t="s">
        <v>657</v>
      </c>
      <c r="C162" s="5" t="s">
        <v>658</v>
      </c>
      <c r="D162" s="5" t="s">
        <v>659</v>
      </c>
      <c r="E162" s="5" t="s">
        <v>4494</v>
      </c>
      <c r="G162" s="5" t="s">
        <v>88</v>
      </c>
      <c r="H162" s="5" t="s">
        <v>660</v>
      </c>
      <c r="I162" s="5" t="s">
        <v>1389</v>
      </c>
      <c r="J162" s="5" t="s">
        <v>182</v>
      </c>
      <c r="K162" s="4">
        <v>40233</v>
      </c>
      <c r="L162" s="4">
        <v>40233</v>
      </c>
      <c r="M162" s="9">
        <f t="shared" si="18"/>
        <v>15</v>
      </c>
      <c r="N162" s="4" t="str">
        <f t="shared" si="20"/>
        <v>] 10 ; 15 ]</v>
      </c>
      <c r="O162" s="5" t="s">
        <v>3783</v>
      </c>
      <c r="P162" s="5" t="s">
        <v>3783</v>
      </c>
      <c r="Q162" s="5">
        <v>1</v>
      </c>
      <c r="R162" s="5" t="str">
        <f t="shared" si="21"/>
        <v>Specialisation</v>
      </c>
      <c r="S162" s="5" t="s">
        <v>3789</v>
      </c>
      <c r="T162" s="4">
        <v>30712</v>
      </c>
      <c r="U162" s="5">
        <f t="shared" si="22"/>
        <v>1984</v>
      </c>
      <c r="V162" s="5" t="s">
        <v>3793</v>
      </c>
      <c r="W162" s="9">
        <f t="shared" si="19"/>
        <v>41</v>
      </c>
      <c r="X162" s="5" t="str">
        <f t="shared" si="23"/>
        <v>[40 - 44 ans]</v>
      </c>
      <c r="Y162" s="5" t="str">
        <f t="shared" si="24"/>
        <v xml:space="preserve"> Mellenials </v>
      </c>
      <c r="Z162" s="9">
        <f t="shared" si="25"/>
        <v>19</v>
      </c>
      <c r="AA162" s="5" t="str">
        <f t="shared" si="26"/>
        <v>RAS</v>
      </c>
      <c r="AB162" s="5" t="s">
        <v>3806</v>
      </c>
      <c r="AC162" s="6" t="s">
        <v>3799</v>
      </c>
      <c r="AE162" s="5" t="s">
        <v>3844</v>
      </c>
      <c r="AF162" s="5" t="s">
        <v>4482</v>
      </c>
      <c r="AG162" s="5" t="s">
        <v>4485</v>
      </c>
      <c r="AH162" s="5" t="s">
        <v>4488</v>
      </c>
      <c r="AI162" s="5" t="s">
        <v>4098</v>
      </c>
      <c r="AJ162" s="5" t="s">
        <v>4099</v>
      </c>
      <c r="AK162" s="5" t="s">
        <v>4100</v>
      </c>
      <c r="AL162" s="5" t="s">
        <v>3858</v>
      </c>
    </row>
    <row r="163" spans="1:38" x14ac:dyDescent="0.3">
      <c r="A163" s="4">
        <v>45716</v>
      </c>
      <c r="B163" s="5" t="s">
        <v>661</v>
      </c>
      <c r="C163" s="5" t="s">
        <v>662</v>
      </c>
      <c r="D163" s="5" t="s">
        <v>663</v>
      </c>
      <c r="E163" s="5" t="s">
        <v>4494</v>
      </c>
      <c r="G163" s="5" t="s">
        <v>88</v>
      </c>
      <c r="H163" s="5" t="s">
        <v>456</v>
      </c>
      <c r="I163" s="5" t="s">
        <v>779</v>
      </c>
      <c r="J163" s="5" t="s">
        <v>883</v>
      </c>
      <c r="K163" s="4">
        <v>40233</v>
      </c>
      <c r="L163" s="4">
        <v>40233</v>
      </c>
      <c r="M163" s="9">
        <f t="shared" si="18"/>
        <v>15</v>
      </c>
      <c r="N163" s="4" t="str">
        <f t="shared" si="20"/>
        <v>] 10 ; 15 ]</v>
      </c>
      <c r="O163" s="5" t="s">
        <v>3780</v>
      </c>
      <c r="P163" s="5" t="s">
        <v>3786</v>
      </c>
      <c r="Q163" s="5">
        <v>1</v>
      </c>
      <c r="R163" s="5" t="str">
        <f t="shared" si="21"/>
        <v>Qualification</v>
      </c>
      <c r="S163" s="5" t="s">
        <v>3790</v>
      </c>
      <c r="T163" s="4">
        <v>30634</v>
      </c>
      <c r="U163" s="5">
        <f t="shared" si="22"/>
        <v>1983</v>
      </c>
      <c r="V163" s="5" t="s">
        <v>3792</v>
      </c>
      <c r="W163" s="9">
        <f t="shared" si="19"/>
        <v>41</v>
      </c>
      <c r="X163" s="5" t="str">
        <f t="shared" si="23"/>
        <v>[40 - 44 ans]</v>
      </c>
      <c r="Y163" s="5" t="str">
        <f t="shared" si="24"/>
        <v xml:space="preserve"> Mellenials </v>
      </c>
      <c r="Z163" s="9">
        <f t="shared" si="25"/>
        <v>19</v>
      </c>
      <c r="AA163" s="5" t="str">
        <f t="shared" si="26"/>
        <v>RAS</v>
      </c>
      <c r="AB163" s="5" t="s">
        <v>3819</v>
      </c>
      <c r="AC163" s="6" t="s">
        <v>3802</v>
      </c>
      <c r="AE163" s="5" t="s">
        <v>3844</v>
      </c>
      <c r="AF163" s="5" t="s">
        <v>4482</v>
      </c>
      <c r="AG163" s="5" t="s">
        <v>4485</v>
      </c>
      <c r="AH163" s="5" t="s">
        <v>4488</v>
      </c>
      <c r="AI163" s="5" t="s">
        <v>4161</v>
      </c>
      <c r="AJ163" s="5" t="s">
        <v>3819</v>
      </c>
      <c r="AK163" s="5" t="s">
        <v>4162</v>
      </c>
      <c r="AL163" s="5" t="s">
        <v>3858</v>
      </c>
    </row>
    <row r="164" spans="1:38" x14ac:dyDescent="0.3">
      <c r="A164" s="4">
        <v>45716</v>
      </c>
      <c r="B164" s="5" t="s">
        <v>664</v>
      </c>
      <c r="C164" s="5" t="s">
        <v>665</v>
      </c>
      <c r="D164" s="5" t="s">
        <v>666</v>
      </c>
      <c r="E164" s="5" t="s">
        <v>4494</v>
      </c>
      <c r="G164" s="5" t="s">
        <v>88</v>
      </c>
      <c r="H164" s="5" t="s">
        <v>456</v>
      </c>
      <c r="I164" s="5" t="s">
        <v>779</v>
      </c>
      <c r="J164" s="5" t="s">
        <v>883</v>
      </c>
      <c r="K164" s="4">
        <v>40233</v>
      </c>
      <c r="L164" s="4">
        <v>40233</v>
      </c>
      <c r="M164" s="9">
        <f t="shared" si="18"/>
        <v>15</v>
      </c>
      <c r="N164" s="4" t="str">
        <f t="shared" si="20"/>
        <v>] 10 ; 15 ]</v>
      </c>
      <c r="O164" s="5" t="s">
        <v>3780</v>
      </c>
      <c r="P164" s="5" t="s">
        <v>3786</v>
      </c>
      <c r="Q164" s="5">
        <v>1</v>
      </c>
      <c r="R164" s="5" t="str">
        <f t="shared" si="21"/>
        <v>Qualification</v>
      </c>
      <c r="S164" s="5" t="s">
        <v>3789</v>
      </c>
      <c r="T164" s="4">
        <v>31142</v>
      </c>
      <c r="U164" s="5">
        <f t="shared" si="22"/>
        <v>1985</v>
      </c>
      <c r="V164" s="5" t="s">
        <v>3793</v>
      </c>
      <c r="W164" s="9">
        <f t="shared" si="19"/>
        <v>39</v>
      </c>
      <c r="X164" s="5" t="str">
        <f t="shared" si="23"/>
        <v>[35 - 39 ans ]</v>
      </c>
      <c r="Y164" s="5" t="str">
        <f t="shared" si="24"/>
        <v xml:space="preserve"> Mellenials </v>
      </c>
      <c r="Z164" s="9">
        <f t="shared" si="25"/>
        <v>21</v>
      </c>
      <c r="AA164" s="5" t="str">
        <f t="shared" si="26"/>
        <v>RAS</v>
      </c>
      <c r="AB164" s="5" t="s">
        <v>3819</v>
      </c>
      <c r="AC164" s="6" t="s">
        <v>3802</v>
      </c>
      <c r="AE164" s="5" t="s">
        <v>3844</v>
      </c>
      <c r="AF164" s="5" t="s">
        <v>4482</v>
      </c>
      <c r="AG164" s="5" t="s">
        <v>4485</v>
      </c>
      <c r="AH164" s="5" t="s">
        <v>4488</v>
      </c>
      <c r="AI164" s="5" t="s">
        <v>4161</v>
      </c>
      <c r="AJ164" s="5" t="s">
        <v>3819</v>
      </c>
      <c r="AK164" s="5" t="s">
        <v>4162</v>
      </c>
      <c r="AL164" s="5" t="s">
        <v>3858</v>
      </c>
    </row>
    <row r="165" spans="1:38" x14ac:dyDescent="0.3">
      <c r="A165" s="4">
        <v>45716</v>
      </c>
      <c r="B165" s="5" t="s">
        <v>667</v>
      </c>
      <c r="C165" s="5" t="s">
        <v>668</v>
      </c>
      <c r="D165" s="5" t="s">
        <v>669</v>
      </c>
      <c r="E165" s="5" t="s">
        <v>4494</v>
      </c>
      <c r="G165" s="5" t="s">
        <v>88</v>
      </c>
      <c r="H165" s="5" t="s">
        <v>456</v>
      </c>
      <c r="I165" s="5" t="s">
        <v>779</v>
      </c>
      <c r="J165" s="5" t="s">
        <v>883</v>
      </c>
      <c r="K165" s="4">
        <v>40233</v>
      </c>
      <c r="L165" s="4">
        <v>40233</v>
      </c>
      <c r="M165" s="9">
        <f t="shared" si="18"/>
        <v>15</v>
      </c>
      <c r="N165" s="4" t="str">
        <f t="shared" si="20"/>
        <v>] 10 ; 15 ]</v>
      </c>
      <c r="O165" s="5" t="s">
        <v>3780</v>
      </c>
      <c r="P165" s="5" t="s">
        <v>3786</v>
      </c>
      <c r="Q165" s="5">
        <v>1</v>
      </c>
      <c r="R165" s="5" t="str">
        <f t="shared" si="21"/>
        <v>Qualification</v>
      </c>
      <c r="S165" s="5" t="s">
        <v>3789</v>
      </c>
      <c r="T165" s="4">
        <v>28153</v>
      </c>
      <c r="U165" s="5">
        <f t="shared" si="22"/>
        <v>1977</v>
      </c>
      <c r="V165" s="5" t="s">
        <v>3793</v>
      </c>
      <c r="W165" s="9">
        <f t="shared" si="19"/>
        <v>48</v>
      </c>
      <c r="X165" s="5" t="str">
        <f t="shared" si="23"/>
        <v>[45 - 49 ans]</v>
      </c>
      <c r="Y165" s="5" t="str">
        <f t="shared" si="24"/>
        <v xml:space="preserve"> Generation X </v>
      </c>
      <c r="Z165" s="9">
        <f t="shared" si="25"/>
        <v>12</v>
      </c>
      <c r="AA165" s="5" t="str">
        <f t="shared" si="26"/>
        <v>RAS</v>
      </c>
      <c r="AB165" s="5" t="s">
        <v>3819</v>
      </c>
      <c r="AC165" s="6" t="s">
        <v>3802</v>
      </c>
      <c r="AE165" s="5" t="s">
        <v>3844</v>
      </c>
      <c r="AF165" s="5" t="s">
        <v>4482</v>
      </c>
      <c r="AG165" s="5" t="s">
        <v>4485</v>
      </c>
      <c r="AH165" s="5" t="s">
        <v>4488</v>
      </c>
      <c r="AI165" s="5" t="s">
        <v>4161</v>
      </c>
      <c r="AJ165" s="5" t="s">
        <v>3819</v>
      </c>
      <c r="AK165" s="5" t="s">
        <v>4162</v>
      </c>
      <c r="AL165" s="5" t="s">
        <v>3858</v>
      </c>
    </row>
    <row r="166" spans="1:38" x14ac:dyDescent="0.3">
      <c r="A166" s="4">
        <v>45716</v>
      </c>
      <c r="B166" s="5" t="s">
        <v>670</v>
      </c>
      <c r="C166" s="5" t="s">
        <v>671</v>
      </c>
      <c r="D166" s="5" t="s">
        <v>672</v>
      </c>
      <c r="E166" s="5" t="s">
        <v>4494</v>
      </c>
      <c r="G166" s="5" t="s">
        <v>88</v>
      </c>
      <c r="H166" s="5" t="s">
        <v>456</v>
      </c>
      <c r="I166" s="5" t="s">
        <v>2113</v>
      </c>
      <c r="J166" s="5" t="s">
        <v>883</v>
      </c>
      <c r="K166" s="4">
        <v>40233</v>
      </c>
      <c r="L166" s="4">
        <v>40233</v>
      </c>
      <c r="M166" s="9">
        <f t="shared" si="18"/>
        <v>15</v>
      </c>
      <c r="N166" s="4" t="str">
        <f t="shared" si="20"/>
        <v>] 10 ; 15 ]</v>
      </c>
      <c r="O166" s="5" t="s">
        <v>3780</v>
      </c>
      <c r="P166" s="5" t="s">
        <v>3786</v>
      </c>
      <c r="Q166" s="5">
        <v>1</v>
      </c>
      <c r="R166" s="5" t="str">
        <f t="shared" si="21"/>
        <v>Qualification</v>
      </c>
      <c r="S166" s="5" t="s">
        <v>3790</v>
      </c>
      <c r="T166" s="4">
        <v>29858</v>
      </c>
      <c r="U166" s="5">
        <f t="shared" si="22"/>
        <v>1981</v>
      </c>
      <c r="V166" s="5" t="s">
        <v>3793</v>
      </c>
      <c r="W166" s="9">
        <f t="shared" si="19"/>
        <v>43</v>
      </c>
      <c r="X166" s="5" t="str">
        <f t="shared" si="23"/>
        <v>[40 - 44 ans]</v>
      </c>
      <c r="Y166" s="5" t="str">
        <f t="shared" si="24"/>
        <v xml:space="preserve"> Mellenials </v>
      </c>
      <c r="Z166" s="9">
        <f t="shared" si="25"/>
        <v>17</v>
      </c>
      <c r="AA166" s="5" t="str">
        <f t="shared" si="26"/>
        <v>RAS</v>
      </c>
      <c r="AB166" s="5" t="s">
        <v>3820</v>
      </c>
      <c r="AC166" s="6" t="s">
        <v>3800</v>
      </c>
      <c r="AE166" s="5" t="s">
        <v>3844</v>
      </c>
      <c r="AF166" s="5" t="s">
        <v>4482</v>
      </c>
      <c r="AG166" s="5" t="s">
        <v>4485</v>
      </c>
      <c r="AH166" s="5" t="s">
        <v>4488</v>
      </c>
      <c r="AI166" s="5" t="s">
        <v>4158</v>
      </c>
      <c r="AJ166" s="5" t="s">
        <v>4159</v>
      </c>
      <c r="AK166" s="5" t="s">
        <v>4160</v>
      </c>
      <c r="AL166" s="5" t="s">
        <v>3858</v>
      </c>
    </row>
    <row r="167" spans="1:38" x14ac:dyDescent="0.3">
      <c r="A167" s="4">
        <v>45716</v>
      </c>
      <c r="B167" s="5" t="s">
        <v>673</v>
      </c>
      <c r="C167" s="5" t="s">
        <v>674</v>
      </c>
      <c r="D167" s="5" t="s">
        <v>675</v>
      </c>
      <c r="E167" s="5" t="s">
        <v>4494</v>
      </c>
      <c r="G167" s="5" t="s">
        <v>88</v>
      </c>
      <c r="H167" s="5" t="s">
        <v>653</v>
      </c>
      <c r="I167" s="5" t="s">
        <v>883</v>
      </c>
      <c r="J167" s="5" t="s">
        <v>182</v>
      </c>
      <c r="K167" s="4">
        <v>40233</v>
      </c>
      <c r="L167" s="4">
        <v>40233</v>
      </c>
      <c r="M167" s="9">
        <f t="shared" si="18"/>
        <v>15</v>
      </c>
      <c r="N167" s="4" t="str">
        <f t="shared" si="20"/>
        <v>] 10 ; 15 ]</v>
      </c>
      <c r="O167" s="5" t="s">
        <v>3785</v>
      </c>
      <c r="P167" s="5" t="s">
        <v>3785</v>
      </c>
      <c r="Q167" s="5">
        <v>1</v>
      </c>
      <c r="R167" s="5" t="str">
        <f t="shared" si="21"/>
        <v>Specialisation</v>
      </c>
      <c r="S167" s="5" t="s">
        <v>3789</v>
      </c>
      <c r="T167" s="4">
        <v>30383</v>
      </c>
      <c r="U167" s="5">
        <f t="shared" si="22"/>
        <v>1983</v>
      </c>
      <c r="V167" s="5" t="s">
        <v>3793</v>
      </c>
      <c r="W167" s="9">
        <f t="shared" si="19"/>
        <v>41</v>
      </c>
      <c r="X167" s="5" t="str">
        <f t="shared" si="23"/>
        <v>[40 - 44 ans]</v>
      </c>
      <c r="Y167" s="5" t="str">
        <f t="shared" si="24"/>
        <v xml:space="preserve"> Mellenials </v>
      </c>
      <c r="Z167" s="9">
        <f t="shared" si="25"/>
        <v>19</v>
      </c>
      <c r="AA167" s="5" t="str">
        <f t="shared" si="26"/>
        <v>RAS</v>
      </c>
      <c r="AB167" s="5" t="s">
        <v>3823</v>
      </c>
      <c r="AC167" s="6" t="s">
        <v>3800</v>
      </c>
      <c r="AE167" s="5" t="s">
        <v>3845</v>
      </c>
      <c r="AF167" s="5" t="s">
        <v>4481</v>
      </c>
      <c r="AG167" s="5" t="s">
        <v>4485</v>
      </c>
      <c r="AH167" s="5" t="s">
        <v>4488</v>
      </c>
      <c r="AI167" s="5" t="s">
        <v>4169</v>
      </c>
      <c r="AJ167" s="5" t="s">
        <v>4170</v>
      </c>
      <c r="AK167" s="5" t="s">
        <v>4171</v>
      </c>
      <c r="AL167" s="5" t="s">
        <v>3854</v>
      </c>
    </row>
    <row r="168" spans="1:38" x14ac:dyDescent="0.3">
      <c r="A168" s="4">
        <v>45716</v>
      </c>
      <c r="B168" s="5" t="s">
        <v>676</v>
      </c>
      <c r="C168" s="5" t="s">
        <v>677</v>
      </c>
      <c r="D168" s="5" t="s">
        <v>678</v>
      </c>
      <c r="E168" s="5" t="s">
        <v>4494</v>
      </c>
      <c r="G168" s="5" t="s">
        <v>88</v>
      </c>
      <c r="H168" s="5" t="s">
        <v>679</v>
      </c>
      <c r="I168" s="5" t="s">
        <v>182</v>
      </c>
      <c r="J168" s="5" t="s">
        <v>1857</v>
      </c>
      <c r="K168" s="4">
        <v>40233</v>
      </c>
      <c r="L168" s="4">
        <v>40233</v>
      </c>
      <c r="M168" s="9">
        <f t="shared" si="18"/>
        <v>15</v>
      </c>
      <c r="N168" s="4" t="str">
        <f t="shared" si="20"/>
        <v>] 10 ; 15 ]</v>
      </c>
      <c r="O168" s="5" t="s">
        <v>3784</v>
      </c>
      <c r="P168" s="5" t="s">
        <v>3784</v>
      </c>
      <c r="Q168" s="5">
        <v>1</v>
      </c>
      <c r="R168" s="5" t="str">
        <f t="shared" si="21"/>
        <v>Management &amp; Expertise</v>
      </c>
      <c r="S168" s="5" t="s">
        <v>3790</v>
      </c>
      <c r="T168" s="4">
        <v>28678</v>
      </c>
      <c r="U168" s="5">
        <f t="shared" si="22"/>
        <v>1978</v>
      </c>
      <c r="V168" s="5" t="s">
        <v>3793</v>
      </c>
      <c r="W168" s="9">
        <f t="shared" si="19"/>
        <v>46</v>
      </c>
      <c r="X168" s="5" t="str">
        <f t="shared" si="23"/>
        <v>[45 - 49 ans]</v>
      </c>
      <c r="Y168" s="5" t="str">
        <f t="shared" si="24"/>
        <v xml:space="preserve"> Generation X </v>
      </c>
      <c r="Z168" s="9">
        <f t="shared" si="25"/>
        <v>14</v>
      </c>
      <c r="AA168" s="5" t="str">
        <f t="shared" si="26"/>
        <v>RAS</v>
      </c>
      <c r="AB168" s="5" t="s">
        <v>3806</v>
      </c>
      <c r="AC168" s="6" t="s">
        <v>3799</v>
      </c>
      <c r="AE168" s="5" t="s">
        <v>3845</v>
      </c>
      <c r="AF168" s="5" t="s">
        <v>4481</v>
      </c>
      <c r="AG168" s="5" t="s">
        <v>4485</v>
      </c>
      <c r="AH168" s="5" t="s">
        <v>4488</v>
      </c>
      <c r="AI168" s="5" t="s">
        <v>4008</v>
      </c>
      <c r="AJ168" s="5" t="s">
        <v>4009</v>
      </c>
      <c r="AK168" s="5" t="s">
        <v>4010</v>
      </c>
      <c r="AL168" s="5" t="s">
        <v>3854</v>
      </c>
    </row>
    <row r="169" spans="1:38" x14ac:dyDescent="0.3">
      <c r="A169" s="4">
        <v>45716</v>
      </c>
      <c r="B169" s="5" t="s">
        <v>680</v>
      </c>
      <c r="C169" s="5" t="s">
        <v>681</v>
      </c>
      <c r="D169" s="5" t="s">
        <v>682</v>
      </c>
      <c r="E169" s="5" t="s">
        <v>4494</v>
      </c>
      <c r="G169" s="5" t="s">
        <v>24</v>
      </c>
      <c r="H169" s="5" t="s">
        <v>256</v>
      </c>
      <c r="I169" s="5" t="s">
        <v>998</v>
      </c>
      <c r="J169" s="5" t="s">
        <v>23</v>
      </c>
      <c r="K169" s="4">
        <v>40233</v>
      </c>
      <c r="L169" s="4">
        <v>40233</v>
      </c>
      <c r="M169" s="9">
        <f t="shared" si="18"/>
        <v>15</v>
      </c>
      <c r="N169" s="4" t="str">
        <f t="shared" si="20"/>
        <v>] 10 ; 15 ]</v>
      </c>
      <c r="O169" s="5" t="s">
        <v>3786</v>
      </c>
      <c r="P169" s="5" t="s">
        <v>3783</v>
      </c>
      <c r="Q169" s="5">
        <v>1</v>
      </c>
      <c r="R169" s="5" t="str">
        <f t="shared" si="21"/>
        <v>Specialisation</v>
      </c>
      <c r="S169" s="5" t="s">
        <v>3790</v>
      </c>
      <c r="T169" s="4">
        <v>30469</v>
      </c>
      <c r="U169" s="5">
        <f t="shared" si="22"/>
        <v>1983</v>
      </c>
      <c r="V169" s="5" t="s">
        <v>3793</v>
      </c>
      <c r="W169" s="9">
        <f t="shared" si="19"/>
        <v>41</v>
      </c>
      <c r="X169" s="5" t="str">
        <f t="shared" si="23"/>
        <v>[40 - 44 ans]</v>
      </c>
      <c r="Y169" s="5" t="str">
        <f t="shared" si="24"/>
        <v xml:space="preserve"> Mellenials </v>
      </c>
      <c r="Z169" s="9">
        <f t="shared" si="25"/>
        <v>19</v>
      </c>
      <c r="AA169" s="5" t="str">
        <f t="shared" si="26"/>
        <v>RAS</v>
      </c>
      <c r="AB169" s="5" t="s">
        <v>3809</v>
      </c>
      <c r="AC169" s="6" t="s">
        <v>3800</v>
      </c>
      <c r="AE169" s="5" t="s">
        <v>3844</v>
      </c>
      <c r="AF169" s="5" t="s">
        <v>4482</v>
      </c>
      <c r="AG169" s="5" t="s">
        <v>4485</v>
      </c>
      <c r="AH169" s="5" t="s">
        <v>4488</v>
      </c>
      <c r="AI169" s="5" t="s">
        <v>3981</v>
      </c>
      <c r="AJ169" s="5" t="s">
        <v>3982</v>
      </c>
      <c r="AK169" s="5" t="s">
        <v>3983</v>
      </c>
      <c r="AL169" s="5" t="s">
        <v>3858</v>
      </c>
    </row>
    <row r="170" spans="1:38" x14ac:dyDescent="0.3">
      <c r="A170" s="4">
        <v>45716</v>
      </c>
      <c r="B170" s="5" t="s">
        <v>683</v>
      </c>
      <c r="C170" s="5" t="s">
        <v>684</v>
      </c>
      <c r="D170" s="5" t="s">
        <v>685</v>
      </c>
      <c r="E170" s="5" t="s">
        <v>4494</v>
      </c>
      <c r="G170" s="5" t="s">
        <v>88</v>
      </c>
      <c r="H170" s="5" t="s">
        <v>456</v>
      </c>
      <c r="I170" s="5" t="s">
        <v>2113</v>
      </c>
      <c r="J170" s="5" t="s">
        <v>883</v>
      </c>
      <c r="K170" s="4">
        <v>40233</v>
      </c>
      <c r="L170" s="4">
        <v>40233</v>
      </c>
      <c r="M170" s="9">
        <f t="shared" si="18"/>
        <v>15</v>
      </c>
      <c r="N170" s="4" t="str">
        <f t="shared" si="20"/>
        <v>] 10 ; 15 ]</v>
      </c>
      <c r="O170" s="5" t="s">
        <v>3780</v>
      </c>
      <c r="P170" s="5" t="s">
        <v>3786</v>
      </c>
      <c r="Q170" s="5">
        <v>1</v>
      </c>
      <c r="R170" s="5" t="str">
        <f t="shared" si="21"/>
        <v>Qualification</v>
      </c>
      <c r="S170" s="5" t="s">
        <v>3790</v>
      </c>
      <c r="T170" s="4">
        <v>29821</v>
      </c>
      <c r="U170" s="5">
        <f t="shared" si="22"/>
        <v>1981</v>
      </c>
      <c r="V170" s="5" t="s">
        <v>3791</v>
      </c>
      <c r="W170" s="9">
        <f t="shared" si="19"/>
        <v>43</v>
      </c>
      <c r="X170" s="5" t="str">
        <f t="shared" si="23"/>
        <v>[40 - 44 ans]</v>
      </c>
      <c r="Y170" s="5" t="str">
        <f t="shared" si="24"/>
        <v xml:space="preserve"> Mellenials </v>
      </c>
      <c r="Z170" s="9">
        <f t="shared" si="25"/>
        <v>17</v>
      </c>
      <c r="AA170" s="5" t="str">
        <f t="shared" si="26"/>
        <v>RAS</v>
      </c>
      <c r="AB170" s="5" t="s">
        <v>3820</v>
      </c>
      <c r="AC170" s="6" t="s">
        <v>3800</v>
      </c>
      <c r="AE170" s="5" t="s">
        <v>3844</v>
      </c>
      <c r="AF170" s="5" t="s">
        <v>4482</v>
      </c>
      <c r="AG170" s="5" t="s">
        <v>4485</v>
      </c>
      <c r="AH170" s="5" t="s">
        <v>4488</v>
      </c>
      <c r="AI170" s="5" t="s">
        <v>4158</v>
      </c>
      <c r="AJ170" s="5" t="s">
        <v>4159</v>
      </c>
      <c r="AK170" s="5" t="s">
        <v>4160</v>
      </c>
      <c r="AL170" s="5" t="s">
        <v>3858</v>
      </c>
    </row>
    <row r="171" spans="1:38" x14ac:dyDescent="0.3">
      <c r="A171" s="4">
        <v>45716</v>
      </c>
      <c r="B171" s="5" t="s">
        <v>686</v>
      </c>
      <c r="C171" s="5" t="s">
        <v>687</v>
      </c>
      <c r="D171" s="5" t="s">
        <v>688</v>
      </c>
      <c r="E171" s="5" t="s">
        <v>4494</v>
      </c>
      <c r="G171" s="5" t="s">
        <v>88</v>
      </c>
      <c r="H171" s="5" t="s">
        <v>456</v>
      </c>
      <c r="I171" s="5" t="s">
        <v>2113</v>
      </c>
      <c r="J171" s="5" t="s">
        <v>883</v>
      </c>
      <c r="K171" s="4">
        <v>40233</v>
      </c>
      <c r="L171" s="4">
        <v>40233</v>
      </c>
      <c r="M171" s="9">
        <f t="shared" si="18"/>
        <v>15</v>
      </c>
      <c r="N171" s="4" t="str">
        <f t="shared" si="20"/>
        <v>] 10 ; 15 ]</v>
      </c>
      <c r="O171" s="5" t="s">
        <v>3780</v>
      </c>
      <c r="P171" s="5" t="s">
        <v>3786</v>
      </c>
      <c r="Q171" s="5">
        <v>1</v>
      </c>
      <c r="R171" s="5" t="str">
        <f t="shared" si="21"/>
        <v>Qualification</v>
      </c>
      <c r="S171" s="5" t="s">
        <v>3790</v>
      </c>
      <c r="T171" s="4">
        <v>31623</v>
      </c>
      <c r="U171" s="5">
        <f t="shared" si="22"/>
        <v>1986</v>
      </c>
      <c r="V171" s="5" t="s">
        <v>3793</v>
      </c>
      <c r="W171" s="9">
        <f t="shared" si="19"/>
        <v>38</v>
      </c>
      <c r="X171" s="5" t="str">
        <f t="shared" si="23"/>
        <v>[35 - 39 ans ]</v>
      </c>
      <c r="Y171" s="5" t="str">
        <f t="shared" si="24"/>
        <v xml:space="preserve"> Mellenials </v>
      </c>
      <c r="Z171" s="9">
        <f t="shared" si="25"/>
        <v>22</v>
      </c>
      <c r="AA171" s="5" t="str">
        <f t="shared" si="26"/>
        <v>RAS</v>
      </c>
      <c r="AB171" s="5" t="s">
        <v>3820</v>
      </c>
      <c r="AC171" s="6" t="s">
        <v>3800</v>
      </c>
      <c r="AE171" s="5" t="s">
        <v>3844</v>
      </c>
      <c r="AF171" s="5" t="s">
        <v>4482</v>
      </c>
      <c r="AG171" s="5" t="s">
        <v>4485</v>
      </c>
      <c r="AH171" s="5" t="s">
        <v>4488</v>
      </c>
      <c r="AI171" s="5" t="s">
        <v>4158</v>
      </c>
      <c r="AJ171" s="5" t="s">
        <v>4159</v>
      </c>
      <c r="AK171" s="5" t="s">
        <v>4160</v>
      </c>
      <c r="AL171" s="5" t="s">
        <v>3858</v>
      </c>
    </row>
    <row r="172" spans="1:38" x14ac:dyDescent="0.3">
      <c r="A172" s="4">
        <v>45716</v>
      </c>
      <c r="B172" s="5" t="s">
        <v>689</v>
      </c>
      <c r="C172" s="5" t="s">
        <v>690</v>
      </c>
      <c r="D172" s="5" t="s">
        <v>691</v>
      </c>
      <c r="E172" s="5" t="s">
        <v>4494</v>
      </c>
      <c r="G172" s="5" t="s">
        <v>39</v>
      </c>
      <c r="H172" s="5" t="s">
        <v>692</v>
      </c>
      <c r="I172" s="5" t="s">
        <v>2399</v>
      </c>
      <c r="J172" s="5" t="s">
        <v>48</v>
      </c>
      <c r="K172" s="4">
        <v>40233</v>
      </c>
      <c r="L172" s="4">
        <v>40233</v>
      </c>
      <c r="M172" s="9">
        <f t="shared" si="18"/>
        <v>15</v>
      </c>
      <c r="N172" s="4" t="str">
        <f t="shared" si="20"/>
        <v>] 10 ; 15 ]</v>
      </c>
      <c r="O172" s="5" t="s">
        <v>3786</v>
      </c>
      <c r="P172" s="5" t="s">
        <v>3786</v>
      </c>
      <c r="Q172" s="5">
        <v>1</v>
      </c>
      <c r="R172" s="5" t="str">
        <f t="shared" si="21"/>
        <v>Specialisation</v>
      </c>
      <c r="S172" s="5" t="s">
        <v>3789</v>
      </c>
      <c r="T172" s="4">
        <v>30566</v>
      </c>
      <c r="U172" s="5">
        <f t="shared" si="22"/>
        <v>1983</v>
      </c>
      <c r="V172" s="5" t="s">
        <v>3793</v>
      </c>
      <c r="W172" s="9">
        <f t="shared" si="19"/>
        <v>41</v>
      </c>
      <c r="X172" s="5" t="str">
        <f t="shared" si="23"/>
        <v>[40 - 44 ans]</v>
      </c>
      <c r="Y172" s="5" t="str">
        <f t="shared" si="24"/>
        <v xml:space="preserve"> Mellenials </v>
      </c>
      <c r="Z172" s="9">
        <f t="shared" si="25"/>
        <v>19</v>
      </c>
      <c r="AA172" s="5" t="str">
        <f t="shared" si="26"/>
        <v>RAS</v>
      </c>
      <c r="AB172" s="5" t="s">
        <v>3807</v>
      </c>
      <c r="AC172" s="6" t="s">
        <v>3799</v>
      </c>
      <c r="AE172" s="5" t="s">
        <v>3844</v>
      </c>
      <c r="AF172" s="5" t="s">
        <v>4482</v>
      </c>
      <c r="AG172" s="5" t="s">
        <v>4485</v>
      </c>
      <c r="AH172" s="5" t="s">
        <v>4489</v>
      </c>
      <c r="AI172" s="5" t="s">
        <v>4172</v>
      </c>
      <c r="AJ172" s="5" t="s">
        <v>4173</v>
      </c>
      <c r="AK172" s="5" t="s">
        <v>4080</v>
      </c>
      <c r="AL172" s="5" t="s">
        <v>3858</v>
      </c>
    </row>
    <row r="173" spans="1:38" x14ac:dyDescent="0.3">
      <c r="A173" s="4">
        <v>45716</v>
      </c>
      <c r="B173" s="5" t="s">
        <v>693</v>
      </c>
      <c r="C173" s="5" t="s">
        <v>694</v>
      </c>
      <c r="D173" s="5" t="s">
        <v>695</v>
      </c>
      <c r="E173" s="5" t="s">
        <v>4494</v>
      </c>
      <c r="G173" s="5" t="s">
        <v>88</v>
      </c>
      <c r="H173" s="5" t="s">
        <v>456</v>
      </c>
      <c r="I173" s="5" t="s">
        <v>1002</v>
      </c>
      <c r="J173" s="5" t="s">
        <v>883</v>
      </c>
      <c r="K173" s="4">
        <v>40233</v>
      </c>
      <c r="L173" s="4">
        <v>40233</v>
      </c>
      <c r="M173" s="9">
        <f t="shared" si="18"/>
        <v>15</v>
      </c>
      <c r="N173" s="4" t="str">
        <f t="shared" si="20"/>
        <v>] 10 ; 15 ]</v>
      </c>
      <c r="O173" s="5" t="s">
        <v>3780</v>
      </c>
      <c r="P173" s="5" t="s">
        <v>3786</v>
      </c>
      <c r="Q173" s="5">
        <v>1</v>
      </c>
      <c r="R173" s="5" t="str">
        <f t="shared" si="21"/>
        <v>Qualification</v>
      </c>
      <c r="S173" s="5" t="s">
        <v>3790</v>
      </c>
      <c r="T173" s="4">
        <v>29496</v>
      </c>
      <c r="U173" s="5">
        <f t="shared" si="22"/>
        <v>1980</v>
      </c>
      <c r="V173" s="5" t="s">
        <v>3793</v>
      </c>
      <c r="W173" s="9">
        <f t="shared" si="19"/>
        <v>44</v>
      </c>
      <c r="X173" s="5" t="str">
        <f t="shared" si="23"/>
        <v>[40 - 44 ans]</v>
      </c>
      <c r="Y173" s="5" t="str">
        <f t="shared" si="24"/>
        <v xml:space="preserve"> Generation X </v>
      </c>
      <c r="Z173" s="9">
        <f t="shared" si="25"/>
        <v>16</v>
      </c>
      <c r="AA173" s="5" t="str">
        <f t="shared" si="26"/>
        <v>RAS</v>
      </c>
      <c r="AB173" s="5" t="s">
        <v>3818</v>
      </c>
      <c r="AC173" s="6" t="s">
        <v>3799</v>
      </c>
      <c r="AE173" s="5" t="s">
        <v>3844</v>
      </c>
      <c r="AF173" s="5" t="s">
        <v>4482</v>
      </c>
      <c r="AG173" s="5" t="s">
        <v>4485</v>
      </c>
      <c r="AH173" s="5" t="s">
        <v>4488</v>
      </c>
      <c r="AI173" s="5" t="s">
        <v>4149</v>
      </c>
      <c r="AJ173" s="5" t="s">
        <v>4150</v>
      </c>
      <c r="AK173" s="5" t="s">
        <v>4151</v>
      </c>
      <c r="AL173" s="5" t="s">
        <v>3858</v>
      </c>
    </row>
    <row r="174" spans="1:38" x14ac:dyDescent="0.3">
      <c r="A174" s="4">
        <v>45716</v>
      </c>
      <c r="B174" s="5" t="s">
        <v>696</v>
      </c>
      <c r="C174" s="5" t="s">
        <v>697</v>
      </c>
      <c r="D174" s="5" t="s">
        <v>698</v>
      </c>
      <c r="E174" s="5" t="s">
        <v>4494</v>
      </c>
      <c r="G174" s="5" t="s">
        <v>88</v>
      </c>
      <c r="H174" s="5" t="s">
        <v>456</v>
      </c>
      <c r="I174" s="5" t="s">
        <v>779</v>
      </c>
      <c r="J174" s="5" t="s">
        <v>883</v>
      </c>
      <c r="K174" s="4">
        <v>40233</v>
      </c>
      <c r="L174" s="4">
        <v>40233</v>
      </c>
      <c r="M174" s="9">
        <f t="shared" si="18"/>
        <v>15</v>
      </c>
      <c r="N174" s="4" t="str">
        <f t="shared" si="20"/>
        <v>] 10 ; 15 ]</v>
      </c>
      <c r="O174" s="5" t="s">
        <v>3780</v>
      </c>
      <c r="P174" s="5" t="s">
        <v>3780</v>
      </c>
      <c r="Q174" s="5">
        <v>3</v>
      </c>
      <c r="R174" s="5" t="str">
        <f t="shared" si="21"/>
        <v>Qualification</v>
      </c>
      <c r="S174" s="5" t="s">
        <v>3789</v>
      </c>
      <c r="T174" s="4">
        <v>31605</v>
      </c>
      <c r="U174" s="5">
        <f t="shared" si="22"/>
        <v>1986</v>
      </c>
      <c r="V174" s="5" t="s">
        <v>3793</v>
      </c>
      <c r="W174" s="9">
        <f t="shared" si="19"/>
        <v>38</v>
      </c>
      <c r="X174" s="5" t="str">
        <f t="shared" si="23"/>
        <v>[35 - 39 ans ]</v>
      </c>
      <c r="Y174" s="5" t="str">
        <f t="shared" si="24"/>
        <v xml:space="preserve"> Mellenials </v>
      </c>
      <c r="Z174" s="9">
        <f t="shared" si="25"/>
        <v>22</v>
      </c>
      <c r="AA174" s="5" t="str">
        <f t="shared" si="26"/>
        <v>RAS</v>
      </c>
      <c r="AB174" s="5" t="s">
        <v>3819</v>
      </c>
      <c r="AC174" s="6" t="s">
        <v>3802</v>
      </c>
      <c r="AE174" s="5" t="s">
        <v>3844</v>
      </c>
      <c r="AF174" s="5" t="s">
        <v>4482</v>
      </c>
      <c r="AG174" s="5" t="s">
        <v>4485</v>
      </c>
      <c r="AH174" s="5" t="s">
        <v>4488</v>
      </c>
      <c r="AI174" s="5" t="s">
        <v>4161</v>
      </c>
      <c r="AJ174" s="5" t="s">
        <v>3819</v>
      </c>
      <c r="AK174" s="5" t="s">
        <v>4162</v>
      </c>
      <c r="AL174" s="5" t="s">
        <v>3858</v>
      </c>
    </row>
    <row r="175" spans="1:38" x14ac:dyDescent="0.3">
      <c r="A175" s="4">
        <v>45716</v>
      </c>
      <c r="B175" s="5" t="s">
        <v>699</v>
      </c>
      <c r="C175" s="5" t="s">
        <v>700</v>
      </c>
      <c r="D175" s="5" t="s">
        <v>701</v>
      </c>
      <c r="E175" s="5" t="s">
        <v>4494</v>
      </c>
      <c r="G175" s="5" t="s">
        <v>78</v>
      </c>
      <c r="H175" s="5" t="s">
        <v>702</v>
      </c>
      <c r="I175" s="5" t="s">
        <v>1518</v>
      </c>
      <c r="J175" s="5" t="s">
        <v>3762</v>
      </c>
      <c r="K175" s="4">
        <v>40233</v>
      </c>
      <c r="L175" s="4">
        <v>40233</v>
      </c>
      <c r="M175" s="9">
        <f t="shared" si="18"/>
        <v>15</v>
      </c>
      <c r="N175" s="4" t="str">
        <f t="shared" si="20"/>
        <v>] 10 ; 15 ]</v>
      </c>
      <c r="O175" s="5" t="s">
        <v>3783</v>
      </c>
      <c r="P175" s="5" t="s">
        <v>3783</v>
      </c>
      <c r="Q175" s="5">
        <v>1</v>
      </c>
      <c r="R175" s="5" t="str">
        <f t="shared" si="21"/>
        <v>Specialisation</v>
      </c>
      <c r="S175" s="5" t="s">
        <v>3789</v>
      </c>
      <c r="T175" s="4">
        <v>29956</v>
      </c>
      <c r="U175" s="5">
        <f t="shared" si="22"/>
        <v>1982</v>
      </c>
      <c r="V175" s="5" t="s">
        <v>3793</v>
      </c>
      <c r="W175" s="9">
        <f t="shared" si="19"/>
        <v>43</v>
      </c>
      <c r="X175" s="5" t="str">
        <f t="shared" si="23"/>
        <v>[40 - 44 ans]</v>
      </c>
      <c r="Y175" s="5" t="str">
        <f t="shared" si="24"/>
        <v xml:space="preserve"> Mellenials </v>
      </c>
      <c r="Z175" s="9">
        <f t="shared" si="25"/>
        <v>17</v>
      </c>
      <c r="AA175" s="5" t="str">
        <f t="shared" si="26"/>
        <v>RAS</v>
      </c>
      <c r="AB175" s="5" t="s">
        <v>3805</v>
      </c>
      <c r="AC175" s="6" t="s">
        <v>3799</v>
      </c>
      <c r="AE175" s="5" t="s">
        <v>3845</v>
      </c>
      <c r="AF175" s="5" t="s">
        <v>4482</v>
      </c>
      <c r="AG175" s="5" t="s">
        <v>4485</v>
      </c>
      <c r="AH175" s="5" t="s">
        <v>4488</v>
      </c>
      <c r="AI175" s="5" t="s">
        <v>4174</v>
      </c>
      <c r="AJ175" s="5" t="s">
        <v>4175</v>
      </c>
      <c r="AK175" s="5">
        <v>81310</v>
      </c>
      <c r="AL175" s="5" t="s">
        <v>3854</v>
      </c>
    </row>
    <row r="176" spans="1:38" x14ac:dyDescent="0.3">
      <c r="A176" s="4">
        <v>45716</v>
      </c>
      <c r="B176" s="5" t="s">
        <v>703</v>
      </c>
      <c r="C176" s="5" t="s">
        <v>704</v>
      </c>
      <c r="D176" s="5" t="s">
        <v>705</v>
      </c>
      <c r="E176" s="5" t="s">
        <v>4494</v>
      </c>
      <c r="G176" s="5" t="s">
        <v>88</v>
      </c>
      <c r="H176" s="5" t="s">
        <v>706</v>
      </c>
      <c r="I176" s="5" t="s">
        <v>2079</v>
      </c>
      <c r="J176" s="5" t="s">
        <v>883</v>
      </c>
      <c r="K176" s="4">
        <v>40233</v>
      </c>
      <c r="L176" s="4">
        <v>40233</v>
      </c>
      <c r="M176" s="9">
        <f t="shared" si="18"/>
        <v>15</v>
      </c>
      <c r="N176" s="4" t="str">
        <f t="shared" si="20"/>
        <v>] 10 ; 15 ]</v>
      </c>
      <c r="O176" s="5" t="s">
        <v>3786</v>
      </c>
      <c r="P176" s="5" t="s">
        <v>3783</v>
      </c>
      <c r="Q176" s="5">
        <v>1</v>
      </c>
      <c r="R176" s="5" t="str">
        <f t="shared" si="21"/>
        <v>Specialisation</v>
      </c>
      <c r="S176" s="5" t="s">
        <v>3789</v>
      </c>
      <c r="T176" s="4">
        <v>31640</v>
      </c>
      <c r="U176" s="5">
        <f t="shared" si="22"/>
        <v>1986</v>
      </c>
      <c r="V176" s="5" t="s">
        <v>3792</v>
      </c>
      <c r="W176" s="9">
        <f t="shared" si="19"/>
        <v>38</v>
      </c>
      <c r="X176" s="5" t="str">
        <f t="shared" si="23"/>
        <v>[35 - 39 ans ]</v>
      </c>
      <c r="Y176" s="5" t="str">
        <f t="shared" si="24"/>
        <v xml:space="preserve"> Mellenials </v>
      </c>
      <c r="Z176" s="9">
        <f t="shared" si="25"/>
        <v>22</v>
      </c>
      <c r="AA176" s="5" t="str">
        <f t="shared" si="26"/>
        <v>RAS</v>
      </c>
      <c r="AB176" s="5" t="s">
        <v>3824</v>
      </c>
      <c r="AC176" s="6" t="s">
        <v>3799</v>
      </c>
      <c r="AE176" s="5" t="s">
        <v>3844</v>
      </c>
      <c r="AF176" s="5" t="s">
        <v>4482</v>
      </c>
      <c r="AG176" s="5" t="s">
        <v>4485</v>
      </c>
      <c r="AH176" s="5" t="s">
        <v>4488</v>
      </c>
      <c r="AI176" s="5" t="s">
        <v>4176</v>
      </c>
      <c r="AJ176" s="5" t="s">
        <v>4177</v>
      </c>
      <c r="AK176" s="5" t="s">
        <v>4178</v>
      </c>
      <c r="AL176" s="5" t="s">
        <v>3858</v>
      </c>
    </row>
    <row r="177" spans="1:38" x14ac:dyDescent="0.3">
      <c r="A177" s="4">
        <v>45716</v>
      </c>
      <c r="B177" s="5" t="s">
        <v>707</v>
      </c>
      <c r="C177" s="5" t="s">
        <v>708</v>
      </c>
      <c r="D177" s="5" t="s">
        <v>709</v>
      </c>
      <c r="E177" s="5" t="s">
        <v>4494</v>
      </c>
      <c r="G177" s="5" t="s">
        <v>88</v>
      </c>
      <c r="H177" s="5" t="s">
        <v>706</v>
      </c>
      <c r="I177" s="5" t="s">
        <v>770</v>
      </c>
      <c r="J177" s="5" t="s">
        <v>883</v>
      </c>
      <c r="K177" s="4">
        <v>40233</v>
      </c>
      <c r="L177" s="4">
        <v>40233</v>
      </c>
      <c r="M177" s="9">
        <f t="shared" si="18"/>
        <v>15</v>
      </c>
      <c r="N177" s="4" t="str">
        <f t="shared" si="20"/>
        <v>] 10 ; 15 ]</v>
      </c>
      <c r="O177" s="5" t="s">
        <v>3786</v>
      </c>
      <c r="P177" s="5" t="s">
        <v>3783</v>
      </c>
      <c r="Q177" s="5">
        <v>1</v>
      </c>
      <c r="R177" s="5" t="str">
        <f t="shared" si="21"/>
        <v>Specialisation</v>
      </c>
      <c r="S177" s="5" t="s">
        <v>3790</v>
      </c>
      <c r="T177" s="4">
        <v>31216</v>
      </c>
      <c r="U177" s="5">
        <f t="shared" si="22"/>
        <v>1985</v>
      </c>
      <c r="V177" s="5" t="s">
        <v>3793</v>
      </c>
      <c r="W177" s="9">
        <f t="shared" si="19"/>
        <v>39</v>
      </c>
      <c r="X177" s="5" t="str">
        <f t="shared" si="23"/>
        <v>[35 - 39 ans ]</v>
      </c>
      <c r="Y177" s="5" t="str">
        <f t="shared" si="24"/>
        <v xml:space="preserve"> Mellenials </v>
      </c>
      <c r="Z177" s="9">
        <f t="shared" si="25"/>
        <v>21</v>
      </c>
      <c r="AA177" s="5" t="str">
        <f t="shared" si="26"/>
        <v>RAS</v>
      </c>
      <c r="AB177" s="5" t="s">
        <v>3814</v>
      </c>
      <c r="AC177" s="6" t="s">
        <v>3799</v>
      </c>
      <c r="AE177" s="5" t="s">
        <v>3844</v>
      </c>
      <c r="AF177" s="5" t="s">
        <v>4482</v>
      </c>
      <c r="AG177" s="5" t="s">
        <v>4485</v>
      </c>
      <c r="AH177" s="5" t="s">
        <v>4488</v>
      </c>
      <c r="AI177" s="5" t="s">
        <v>4075</v>
      </c>
      <c r="AJ177" s="5" t="s">
        <v>4076</v>
      </c>
      <c r="AK177" s="5" t="s">
        <v>4077</v>
      </c>
      <c r="AL177" s="5" t="s">
        <v>3858</v>
      </c>
    </row>
    <row r="178" spans="1:38" x14ac:dyDescent="0.3">
      <c r="A178" s="4">
        <v>45716</v>
      </c>
      <c r="B178" s="5" t="s">
        <v>710</v>
      </c>
      <c r="C178" s="5" t="s">
        <v>711</v>
      </c>
      <c r="D178" s="5" t="s">
        <v>712</v>
      </c>
      <c r="E178" s="5" t="s">
        <v>4494</v>
      </c>
      <c r="G178" s="5" t="s">
        <v>554</v>
      </c>
      <c r="H178" s="5" t="s">
        <v>713</v>
      </c>
      <c r="I178" s="5" t="s">
        <v>2412</v>
      </c>
      <c r="J178" s="5" t="s">
        <v>2841</v>
      </c>
      <c r="K178" s="4">
        <v>40233</v>
      </c>
      <c r="L178" s="4">
        <v>40233</v>
      </c>
      <c r="M178" s="9">
        <f t="shared" si="18"/>
        <v>15</v>
      </c>
      <c r="N178" s="4" t="str">
        <f t="shared" si="20"/>
        <v>] 10 ; 15 ]</v>
      </c>
      <c r="O178" s="5" t="s">
        <v>3786</v>
      </c>
      <c r="P178" s="5" t="s">
        <v>3786</v>
      </c>
      <c r="Q178" s="5">
        <v>1</v>
      </c>
      <c r="R178" s="5" t="str">
        <f t="shared" si="21"/>
        <v>Specialisation</v>
      </c>
      <c r="S178" s="5" t="s">
        <v>3790</v>
      </c>
      <c r="T178" s="4">
        <v>29348</v>
      </c>
      <c r="U178" s="5">
        <f t="shared" si="22"/>
        <v>1980</v>
      </c>
      <c r="V178" s="5" t="s">
        <v>3792</v>
      </c>
      <c r="W178" s="9">
        <f t="shared" si="19"/>
        <v>44</v>
      </c>
      <c r="X178" s="5" t="str">
        <f t="shared" si="23"/>
        <v>[40 - 44 ans]</v>
      </c>
      <c r="Y178" s="5" t="str">
        <f t="shared" si="24"/>
        <v xml:space="preserve"> Generation X </v>
      </c>
      <c r="Z178" s="9">
        <f t="shared" si="25"/>
        <v>16</v>
      </c>
      <c r="AA178" s="5" t="str">
        <f t="shared" si="26"/>
        <v>RAS</v>
      </c>
      <c r="AB178" s="5" t="s">
        <v>3806</v>
      </c>
      <c r="AC178" s="6" t="s">
        <v>3799</v>
      </c>
      <c r="AE178" s="5" t="s">
        <v>3844</v>
      </c>
      <c r="AF178" s="5" t="s">
        <v>4482</v>
      </c>
      <c r="AG178" s="5" t="s">
        <v>4485</v>
      </c>
      <c r="AH178" s="5" t="s">
        <v>4487</v>
      </c>
      <c r="AI178" s="5" t="s">
        <v>4119</v>
      </c>
      <c r="AJ178" s="5" t="s">
        <v>4120</v>
      </c>
      <c r="AK178" s="5" t="s">
        <v>4121</v>
      </c>
      <c r="AL178" s="5" t="s">
        <v>3858</v>
      </c>
    </row>
    <row r="179" spans="1:38" x14ac:dyDescent="0.3">
      <c r="A179" s="4">
        <v>45716</v>
      </c>
      <c r="B179" s="5" t="s">
        <v>714</v>
      </c>
      <c r="C179" s="5" t="s">
        <v>715</v>
      </c>
      <c r="D179" s="5" t="s">
        <v>716</v>
      </c>
      <c r="E179" s="5" t="s">
        <v>4494</v>
      </c>
      <c r="G179" s="5" t="s">
        <v>88</v>
      </c>
      <c r="H179" s="5" t="s">
        <v>456</v>
      </c>
      <c r="I179" s="5" t="s">
        <v>741</v>
      </c>
      <c r="J179" s="5" t="s">
        <v>883</v>
      </c>
      <c r="K179" s="4">
        <v>40233</v>
      </c>
      <c r="L179" s="4">
        <v>40233</v>
      </c>
      <c r="M179" s="9">
        <f t="shared" si="18"/>
        <v>15</v>
      </c>
      <c r="N179" s="4" t="str">
        <f t="shared" si="20"/>
        <v>] 10 ; 15 ]</v>
      </c>
      <c r="O179" s="5" t="s">
        <v>3780</v>
      </c>
      <c r="P179" s="5" t="s">
        <v>3786</v>
      </c>
      <c r="Q179" s="5">
        <v>1</v>
      </c>
      <c r="R179" s="5" t="str">
        <f t="shared" si="21"/>
        <v>Qualification</v>
      </c>
      <c r="S179" s="5" t="s">
        <v>3789</v>
      </c>
      <c r="T179" s="4">
        <v>31546</v>
      </c>
      <c r="U179" s="5">
        <f t="shared" si="22"/>
        <v>1986</v>
      </c>
      <c r="V179" s="5" t="s">
        <v>3792</v>
      </c>
      <c r="W179" s="9">
        <f t="shared" si="19"/>
        <v>38</v>
      </c>
      <c r="X179" s="5" t="str">
        <f t="shared" si="23"/>
        <v>[35 - 39 ans ]</v>
      </c>
      <c r="Y179" s="5" t="str">
        <f t="shared" si="24"/>
        <v xml:space="preserve"> Mellenials </v>
      </c>
      <c r="Z179" s="9">
        <f t="shared" si="25"/>
        <v>22</v>
      </c>
      <c r="AA179" s="5" t="str">
        <f t="shared" si="26"/>
        <v>RAS</v>
      </c>
      <c r="AB179" s="5" t="s">
        <v>3825</v>
      </c>
      <c r="AC179" s="6" t="s">
        <v>3799</v>
      </c>
      <c r="AE179" s="5" t="s">
        <v>3844</v>
      </c>
      <c r="AF179" s="5" t="s">
        <v>4482</v>
      </c>
      <c r="AG179" s="5" t="s">
        <v>4485</v>
      </c>
      <c r="AH179" s="5" t="s">
        <v>4488</v>
      </c>
      <c r="AI179" s="5" t="s">
        <v>4179</v>
      </c>
      <c r="AJ179" s="5" t="s">
        <v>4180</v>
      </c>
      <c r="AK179" s="5" t="s">
        <v>4181</v>
      </c>
      <c r="AL179" s="5" t="s">
        <v>3858</v>
      </c>
    </row>
    <row r="180" spans="1:38" x14ac:dyDescent="0.3">
      <c r="A180" s="4">
        <v>45716</v>
      </c>
      <c r="B180" s="5" t="s">
        <v>717</v>
      </c>
      <c r="C180" s="5" t="s">
        <v>718</v>
      </c>
      <c r="D180" s="5" t="s">
        <v>719</v>
      </c>
      <c r="E180" s="5" t="s">
        <v>4494</v>
      </c>
      <c r="G180" s="5" t="s">
        <v>88</v>
      </c>
      <c r="H180" s="5" t="s">
        <v>456</v>
      </c>
      <c r="I180" s="5" t="s">
        <v>741</v>
      </c>
      <c r="J180" s="5" t="s">
        <v>883</v>
      </c>
      <c r="K180" s="4">
        <v>40233</v>
      </c>
      <c r="L180" s="4">
        <v>40233</v>
      </c>
      <c r="M180" s="9">
        <f t="shared" si="18"/>
        <v>15</v>
      </c>
      <c r="N180" s="4" t="str">
        <f t="shared" si="20"/>
        <v>] 10 ; 15 ]</v>
      </c>
      <c r="O180" s="5" t="s">
        <v>3780</v>
      </c>
      <c r="P180" s="5" t="s">
        <v>3786</v>
      </c>
      <c r="Q180" s="5">
        <v>1</v>
      </c>
      <c r="R180" s="5" t="str">
        <f t="shared" si="21"/>
        <v>Qualification</v>
      </c>
      <c r="S180" s="5" t="s">
        <v>3790</v>
      </c>
      <c r="T180" s="4">
        <v>30027</v>
      </c>
      <c r="U180" s="5">
        <f t="shared" si="22"/>
        <v>1982</v>
      </c>
      <c r="V180" s="5" t="s">
        <v>3792</v>
      </c>
      <c r="W180" s="9">
        <f t="shared" si="19"/>
        <v>42</v>
      </c>
      <c r="X180" s="5" t="str">
        <f t="shared" si="23"/>
        <v>[40 - 44 ans]</v>
      </c>
      <c r="Y180" s="5" t="str">
        <f t="shared" si="24"/>
        <v xml:space="preserve"> Mellenials </v>
      </c>
      <c r="Z180" s="9">
        <f t="shared" si="25"/>
        <v>18</v>
      </c>
      <c r="AA180" s="5" t="str">
        <f t="shared" si="26"/>
        <v>RAS</v>
      </c>
      <c r="AB180" s="5" t="s">
        <v>3825</v>
      </c>
      <c r="AC180" s="6" t="s">
        <v>3799</v>
      </c>
      <c r="AE180" s="5" t="s">
        <v>3844</v>
      </c>
      <c r="AF180" s="5" t="s">
        <v>4482</v>
      </c>
      <c r="AG180" s="5" t="s">
        <v>4485</v>
      </c>
      <c r="AH180" s="5" t="s">
        <v>4488</v>
      </c>
      <c r="AI180" s="5" t="s">
        <v>4179</v>
      </c>
      <c r="AJ180" s="5" t="s">
        <v>4180</v>
      </c>
      <c r="AK180" s="5" t="s">
        <v>4181</v>
      </c>
      <c r="AL180" s="5" t="s">
        <v>3858</v>
      </c>
    </row>
    <row r="181" spans="1:38" x14ac:dyDescent="0.3">
      <c r="A181" s="4">
        <v>45716</v>
      </c>
      <c r="B181" s="5" t="s">
        <v>720</v>
      </c>
      <c r="C181" s="5" t="s">
        <v>721</v>
      </c>
      <c r="D181" s="5" t="s">
        <v>722</v>
      </c>
      <c r="E181" s="5" t="s">
        <v>4494</v>
      </c>
      <c r="G181" s="5" t="s">
        <v>88</v>
      </c>
      <c r="H181" s="5" t="s">
        <v>456</v>
      </c>
      <c r="I181" s="5" t="s">
        <v>741</v>
      </c>
      <c r="J181" s="5" t="s">
        <v>883</v>
      </c>
      <c r="K181" s="4">
        <v>40233</v>
      </c>
      <c r="L181" s="4">
        <v>40233</v>
      </c>
      <c r="M181" s="9">
        <f t="shared" si="18"/>
        <v>15</v>
      </c>
      <c r="N181" s="4" t="str">
        <f t="shared" si="20"/>
        <v>] 10 ; 15 ]</v>
      </c>
      <c r="O181" s="5" t="s">
        <v>3780</v>
      </c>
      <c r="P181" s="5" t="s">
        <v>3786</v>
      </c>
      <c r="Q181" s="5">
        <v>1</v>
      </c>
      <c r="R181" s="5" t="str">
        <f t="shared" si="21"/>
        <v>Qualification</v>
      </c>
      <c r="S181" s="5" t="s">
        <v>3790</v>
      </c>
      <c r="T181" s="4">
        <v>29865</v>
      </c>
      <c r="U181" s="5">
        <f t="shared" si="22"/>
        <v>1981</v>
      </c>
      <c r="V181" s="5" t="s">
        <v>3793</v>
      </c>
      <c r="W181" s="9">
        <f t="shared" si="19"/>
        <v>43</v>
      </c>
      <c r="X181" s="5" t="str">
        <f t="shared" si="23"/>
        <v>[40 - 44 ans]</v>
      </c>
      <c r="Y181" s="5" t="str">
        <f t="shared" si="24"/>
        <v xml:space="preserve"> Mellenials </v>
      </c>
      <c r="Z181" s="9">
        <f t="shared" si="25"/>
        <v>17</v>
      </c>
      <c r="AA181" s="5" t="str">
        <f t="shared" si="26"/>
        <v>RAS</v>
      </c>
      <c r="AB181" s="5" t="s">
        <v>3825</v>
      </c>
      <c r="AC181" s="6" t="s">
        <v>3799</v>
      </c>
      <c r="AE181" s="5" t="s">
        <v>3844</v>
      </c>
      <c r="AF181" s="5" t="s">
        <v>4482</v>
      </c>
      <c r="AG181" s="5" t="s">
        <v>4485</v>
      </c>
      <c r="AH181" s="5" t="s">
        <v>4488</v>
      </c>
      <c r="AI181" s="5" t="s">
        <v>4179</v>
      </c>
      <c r="AJ181" s="5" t="s">
        <v>4180</v>
      </c>
      <c r="AK181" s="5" t="s">
        <v>4181</v>
      </c>
      <c r="AL181" s="5" t="s">
        <v>3858</v>
      </c>
    </row>
    <row r="182" spans="1:38" x14ac:dyDescent="0.3">
      <c r="A182" s="4">
        <v>45716</v>
      </c>
      <c r="B182" s="5" t="s">
        <v>723</v>
      </c>
      <c r="C182" s="5" t="s">
        <v>724</v>
      </c>
      <c r="D182" s="5" t="s">
        <v>725</v>
      </c>
      <c r="E182" s="5" t="s">
        <v>4494</v>
      </c>
      <c r="G182" s="5" t="s">
        <v>88</v>
      </c>
      <c r="H182" s="5" t="s">
        <v>456</v>
      </c>
      <c r="I182" s="5" t="s">
        <v>910</v>
      </c>
      <c r="J182" s="5" t="s">
        <v>883</v>
      </c>
      <c r="K182" s="4">
        <v>40233</v>
      </c>
      <c r="L182" s="4">
        <v>40233</v>
      </c>
      <c r="M182" s="9">
        <f t="shared" si="18"/>
        <v>15</v>
      </c>
      <c r="N182" s="4" t="str">
        <f t="shared" si="20"/>
        <v>] 10 ; 15 ]</v>
      </c>
      <c r="O182" s="5" t="s">
        <v>3780</v>
      </c>
      <c r="P182" s="5" t="s">
        <v>3786</v>
      </c>
      <c r="Q182" s="5">
        <v>1</v>
      </c>
      <c r="R182" s="5" t="str">
        <f t="shared" si="21"/>
        <v>Qualification</v>
      </c>
      <c r="S182" s="5" t="s">
        <v>3790</v>
      </c>
      <c r="T182" s="4">
        <v>31099</v>
      </c>
      <c r="U182" s="5">
        <f t="shared" si="22"/>
        <v>1985</v>
      </c>
      <c r="V182" s="5" t="s">
        <v>3792</v>
      </c>
      <c r="W182" s="9">
        <f t="shared" si="19"/>
        <v>40</v>
      </c>
      <c r="X182" s="5" t="str">
        <f t="shared" si="23"/>
        <v>[40 - 44 ans]</v>
      </c>
      <c r="Y182" s="5" t="str">
        <f t="shared" si="24"/>
        <v xml:space="preserve"> Mellenials </v>
      </c>
      <c r="Z182" s="9">
        <f t="shared" si="25"/>
        <v>20</v>
      </c>
      <c r="AA182" s="5" t="str">
        <f t="shared" si="26"/>
        <v>RAS</v>
      </c>
      <c r="AB182" s="5" t="s">
        <v>3815</v>
      </c>
      <c r="AC182" s="6" t="s">
        <v>3799</v>
      </c>
      <c r="AE182" s="5" t="s">
        <v>3844</v>
      </c>
      <c r="AF182" s="5" t="s">
        <v>4482</v>
      </c>
      <c r="AG182" s="5" t="s">
        <v>4485</v>
      </c>
      <c r="AH182" s="5" t="s">
        <v>4488</v>
      </c>
      <c r="AI182" s="5" t="s">
        <v>4152</v>
      </c>
      <c r="AJ182" s="5" t="s">
        <v>4153</v>
      </c>
      <c r="AK182" s="5" t="s">
        <v>4165</v>
      </c>
      <c r="AL182" s="5" t="s">
        <v>3858</v>
      </c>
    </row>
    <row r="183" spans="1:38" x14ac:dyDescent="0.3">
      <c r="A183" s="4">
        <v>45716</v>
      </c>
      <c r="B183" s="5" t="s">
        <v>726</v>
      </c>
      <c r="C183" s="5" t="s">
        <v>727</v>
      </c>
      <c r="D183" s="5" t="s">
        <v>728</v>
      </c>
      <c r="E183" s="5" t="s">
        <v>4494</v>
      </c>
      <c r="G183" s="5" t="s">
        <v>88</v>
      </c>
      <c r="H183" s="5" t="s">
        <v>456</v>
      </c>
      <c r="I183" s="5" t="s">
        <v>779</v>
      </c>
      <c r="J183" s="5" t="s">
        <v>883</v>
      </c>
      <c r="K183" s="4">
        <v>40233</v>
      </c>
      <c r="L183" s="4">
        <v>40233</v>
      </c>
      <c r="M183" s="9">
        <f t="shared" si="18"/>
        <v>15</v>
      </c>
      <c r="N183" s="4" t="str">
        <f t="shared" si="20"/>
        <v>] 10 ; 15 ]</v>
      </c>
      <c r="O183" s="5" t="s">
        <v>3780</v>
      </c>
      <c r="P183" s="5" t="s">
        <v>3786</v>
      </c>
      <c r="Q183" s="5">
        <v>1</v>
      </c>
      <c r="R183" s="5" t="str">
        <f t="shared" si="21"/>
        <v>Qualification</v>
      </c>
      <c r="S183" s="5" t="s">
        <v>3790</v>
      </c>
      <c r="T183" s="4">
        <v>30702</v>
      </c>
      <c r="U183" s="5">
        <f t="shared" si="22"/>
        <v>1984</v>
      </c>
      <c r="V183" s="5" t="s">
        <v>3793</v>
      </c>
      <c r="W183" s="9">
        <f t="shared" si="19"/>
        <v>41</v>
      </c>
      <c r="X183" s="5" t="str">
        <f t="shared" si="23"/>
        <v>[40 - 44 ans]</v>
      </c>
      <c r="Y183" s="5" t="str">
        <f t="shared" si="24"/>
        <v xml:space="preserve"> Mellenials </v>
      </c>
      <c r="Z183" s="9">
        <f t="shared" si="25"/>
        <v>19</v>
      </c>
      <c r="AA183" s="5" t="str">
        <f t="shared" si="26"/>
        <v>RAS</v>
      </c>
      <c r="AB183" s="5" t="s">
        <v>3819</v>
      </c>
      <c r="AC183" s="6" t="s">
        <v>3802</v>
      </c>
      <c r="AE183" s="5" t="s">
        <v>3844</v>
      </c>
      <c r="AF183" s="5" t="s">
        <v>4482</v>
      </c>
      <c r="AG183" s="5" t="s">
        <v>4485</v>
      </c>
      <c r="AH183" s="5" t="s">
        <v>4488</v>
      </c>
      <c r="AI183" s="5" t="s">
        <v>4161</v>
      </c>
      <c r="AJ183" s="5" t="s">
        <v>3819</v>
      </c>
      <c r="AK183" s="5" t="s">
        <v>4162</v>
      </c>
      <c r="AL183" s="5" t="s">
        <v>3858</v>
      </c>
    </row>
    <row r="184" spans="1:38" x14ac:dyDescent="0.3">
      <c r="A184" s="4">
        <v>45716</v>
      </c>
      <c r="B184" s="5" t="s">
        <v>729</v>
      </c>
      <c r="C184" s="5" t="s">
        <v>730</v>
      </c>
      <c r="D184" s="5" t="s">
        <v>731</v>
      </c>
      <c r="E184" s="5" t="s">
        <v>4494</v>
      </c>
      <c r="G184" s="5" t="s">
        <v>88</v>
      </c>
      <c r="H184" s="5" t="s">
        <v>653</v>
      </c>
      <c r="I184" s="5" t="s">
        <v>883</v>
      </c>
      <c r="J184" s="5" t="s">
        <v>182</v>
      </c>
      <c r="K184" s="4">
        <v>40233</v>
      </c>
      <c r="L184" s="4">
        <v>40233</v>
      </c>
      <c r="M184" s="9">
        <f t="shared" si="18"/>
        <v>15</v>
      </c>
      <c r="N184" s="4" t="str">
        <f t="shared" si="20"/>
        <v>] 10 ; 15 ]</v>
      </c>
      <c r="O184" s="5" t="s">
        <v>3785</v>
      </c>
      <c r="P184" s="5" t="s">
        <v>3785</v>
      </c>
      <c r="Q184" s="5">
        <v>2</v>
      </c>
      <c r="R184" s="5" t="str">
        <f t="shared" si="21"/>
        <v>Specialisation</v>
      </c>
      <c r="S184" s="5" t="s">
        <v>3790</v>
      </c>
      <c r="T184" s="4">
        <v>30027</v>
      </c>
      <c r="U184" s="5">
        <f t="shared" si="22"/>
        <v>1982</v>
      </c>
      <c r="V184" s="5" t="s">
        <v>3793</v>
      </c>
      <c r="W184" s="9">
        <f t="shared" si="19"/>
        <v>42</v>
      </c>
      <c r="X184" s="5" t="str">
        <f t="shared" si="23"/>
        <v>[40 - 44 ans]</v>
      </c>
      <c r="Y184" s="5" t="str">
        <f t="shared" si="24"/>
        <v xml:space="preserve"> Mellenials </v>
      </c>
      <c r="Z184" s="9">
        <f t="shared" si="25"/>
        <v>18</v>
      </c>
      <c r="AA184" s="5" t="str">
        <f t="shared" si="26"/>
        <v>RAS</v>
      </c>
      <c r="AB184" s="5" t="s">
        <v>3826</v>
      </c>
      <c r="AC184" s="6" t="s">
        <v>3799</v>
      </c>
      <c r="AE184" s="5" t="s">
        <v>3845</v>
      </c>
      <c r="AF184" s="5" t="s">
        <v>4481</v>
      </c>
      <c r="AG184" s="5" t="s">
        <v>4485</v>
      </c>
      <c r="AH184" s="5" t="s">
        <v>4488</v>
      </c>
      <c r="AI184" s="5" t="s">
        <v>4182</v>
      </c>
      <c r="AJ184" s="5" t="s">
        <v>3826</v>
      </c>
      <c r="AK184" s="5" t="s">
        <v>4183</v>
      </c>
      <c r="AL184" s="5" t="s">
        <v>3854</v>
      </c>
    </row>
    <row r="185" spans="1:38" x14ac:dyDescent="0.3">
      <c r="A185" s="4">
        <v>45716</v>
      </c>
      <c r="B185" s="5" t="s">
        <v>732</v>
      </c>
      <c r="C185" s="5" t="s">
        <v>733</v>
      </c>
      <c r="D185" s="5" t="s">
        <v>734</v>
      </c>
      <c r="E185" s="5" t="s">
        <v>4494</v>
      </c>
      <c r="G185" s="5" t="s">
        <v>88</v>
      </c>
      <c r="H185" s="5" t="s">
        <v>456</v>
      </c>
      <c r="I185" s="5" t="s">
        <v>1002</v>
      </c>
      <c r="J185" s="5" t="s">
        <v>883</v>
      </c>
      <c r="K185" s="4">
        <v>40233</v>
      </c>
      <c r="L185" s="4">
        <v>40233</v>
      </c>
      <c r="M185" s="9">
        <f t="shared" si="18"/>
        <v>15</v>
      </c>
      <c r="N185" s="4" t="str">
        <f t="shared" si="20"/>
        <v>] 10 ; 15 ]</v>
      </c>
      <c r="O185" s="5" t="s">
        <v>3780</v>
      </c>
      <c r="P185" s="5" t="s">
        <v>3786</v>
      </c>
      <c r="Q185" s="5">
        <v>1</v>
      </c>
      <c r="R185" s="5" t="str">
        <f t="shared" si="21"/>
        <v>Qualification</v>
      </c>
      <c r="S185" s="5" t="s">
        <v>3790</v>
      </c>
      <c r="T185" s="4">
        <v>30800</v>
      </c>
      <c r="U185" s="5">
        <f t="shared" si="22"/>
        <v>1984</v>
      </c>
      <c r="V185" s="5" t="s">
        <v>3793</v>
      </c>
      <c r="W185" s="9">
        <f t="shared" si="19"/>
        <v>40</v>
      </c>
      <c r="X185" s="5" t="str">
        <f t="shared" si="23"/>
        <v>[40 - 44 ans]</v>
      </c>
      <c r="Y185" s="5" t="str">
        <f t="shared" si="24"/>
        <v xml:space="preserve"> Mellenials </v>
      </c>
      <c r="Z185" s="9">
        <f t="shared" si="25"/>
        <v>20</v>
      </c>
      <c r="AA185" s="5" t="str">
        <f t="shared" si="26"/>
        <v>RAS</v>
      </c>
      <c r="AB185" s="5" t="s">
        <v>3818</v>
      </c>
      <c r="AC185" s="6" t="s">
        <v>3799</v>
      </c>
      <c r="AE185" s="5" t="s">
        <v>3844</v>
      </c>
      <c r="AF185" s="5" t="s">
        <v>4482</v>
      </c>
      <c r="AG185" s="5" t="s">
        <v>4485</v>
      </c>
      <c r="AH185" s="5" t="s">
        <v>4488</v>
      </c>
      <c r="AI185" s="5" t="s">
        <v>4149</v>
      </c>
      <c r="AJ185" s="5" t="s">
        <v>4150</v>
      </c>
      <c r="AK185" s="5" t="s">
        <v>4151</v>
      </c>
      <c r="AL185" s="5" t="s">
        <v>3858</v>
      </c>
    </row>
    <row r="186" spans="1:38" x14ac:dyDescent="0.3">
      <c r="A186" s="4">
        <v>45716</v>
      </c>
      <c r="B186" s="5" t="s">
        <v>735</v>
      </c>
      <c r="C186" s="5" t="s">
        <v>736</v>
      </c>
      <c r="D186" s="5" t="s">
        <v>737</v>
      </c>
      <c r="E186" s="5" t="s">
        <v>4494</v>
      </c>
      <c r="G186" s="5" t="s">
        <v>78</v>
      </c>
      <c r="H186" s="5" t="s">
        <v>738</v>
      </c>
      <c r="I186" s="5" t="s">
        <v>701</v>
      </c>
      <c r="J186" s="5" t="s">
        <v>1518</v>
      </c>
      <c r="K186" s="4">
        <v>40233</v>
      </c>
      <c r="L186" s="4">
        <v>40233</v>
      </c>
      <c r="M186" s="9">
        <f t="shared" si="18"/>
        <v>15</v>
      </c>
      <c r="N186" s="4" t="str">
        <f t="shared" si="20"/>
        <v>] 10 ; 15 ]</v>
      </c>
      <c r="O186" s="5" t="s">
        <v>3780</v>
      </c>
      <c r="P186" s="5" t="s">
        <v>3786</v>
      </c>
      <c r="Q186" s="5">
        <v>1</v>
      </c>
      <c r="R186" s="5" t="str">
        <f t="shared" si="21"/>
        <v>Qualification</v>
      </c>
      <c r="S186" s="5" t="s">
        <v>3790</v>
      </c>
      <c r="T186" s="4">
        <v>30746</v>
      </c>
      <c r="U186" s="5">
        <f t="shared" si="22"/>
        <v>1984</v>
      </c>
      <c r="V186" s="5" t="s">
        <v>3793</v>
      </c>
      <c r="W186" s="9">
        <f t="shared" si="19"/>
        <v>40</v>
      </c>
      <c r="X186" s="5" t="str">
        <f t="shared" si="23"/>
        <v>[40 - 44 ans]</v>
      </c>
      <c r="Y186" s="5" t="str">
        <f t="shared" si="24"/>
        <v xml:space="preserve"> Mellenials </v>
      </c>
      <c r="Z186" s="9">
        <f t="shared" si="25"/>
        <v>20</v>
      </c>
      <c r="AA186" s="5" t="str">
        <f t="shared" si="26"/>
        <v>RAS</v>
      </c>
      <c r="AB186" s="5" t="s">
        <v>3818</v>
      </c>
      <c r="AC186" s="6" t="s">
        <v>3799</v>
      </c>
      <c r="AE186" s="5" t="s">
        <v>3844</v>
      </c>
      <c r="AF186" s="5" t="s">
        <v>4482</v>
      </c>
      <c r="AG186" s="5" t="s">
        <v>4485</v>
      </c>
      <c r="AH186" s="5" t="s">
        <v>4488</v>
      </c>
      <c r="AI186" s="5" t="s">
        <v>4174</v>
      </c>
      <c r="AJ186" s="5" t="s">
        <v>4175</v>
      </c>
      <c r="AK186" s="5">
        <v>81310</v>
      </c>
      <c r="AL186" s="5" t="s">
        <v>3858</v>
      </c>
    </row>
    <row r="187" spans="1:38" x14ac:dyDescent="0.3">
      <c r="A187" s="4">
        <v>45716</v>
      </c>
      <c r="B187" s="5" t="s">
        <v>739</v>
      </c>
      <c r="C187" s="5" t="s">
        <v>740</v>
      </c>
      <c r="D187" s="5" t="s">
        <v>741</v>
      </c>
      <c r="E187" s="5" t="s">
        <v>4494</v>
      </c>
      <c r="G187" s="5" t="s">
        <v>88</v>
      </c>
      <c r="H187" s="5" t="s">
        <v>653</v>
      </c>
      <c r="I187" s="5" t="s">
        <v>883</v>
      </c>
      <c r="J187" s="5" t="s">
        <v>182</v>
      </c>
      <c r="K187" s="4">
        <v>40233</v>
      </c>
      <c r="L187" s="4">
        <v>40233</v>
      </c>
      <c r="M187" s="9">
        <f t="shared" si="18"/>
        <v>15</v>
      </c>
      <c r="N187" s="4" t="str">
        <f t="shared" si="20"/>
        <v>] 10 ; 15 ]</v>
      </c>
      <c r="O187" s="5" t="s">
        <v>3785</v>
      </c>
      <c r="P187" s="5" t="s">
        <v>3782</v>
      </c>
      <c r="Q187" s="5">
        <v>1</v>
      </c>
      <c r="R187" s="5" t="str">
        <f t="shared" si="21"/>
        <v>Specialisation</v>
      </c>
      <c r="S187" s="5" t="s">
        <v>3789</v>
      </c>
      <c r="T187" s="4">
        <v>29547</v>
      </c>
      <c r="U187" s="5">
        <f t="shared" si="22"/>
        <v>1980</v>
      </c>
      <c r="V187" s="5" t="s">
        <v>3792</v>
      </c>
      <c r="W187" s="9">
        <f t="shared" si="19"/>
        <v>44</v>
      </c>
      <c r="X187" s="5" t="str">
        <f t="shared" si="23"/>
        <v>[40 - 44 ans]</v>
      </c>
      <c r="Y187" s="5" t="str">
        <f t="shared" si="24"/>
        <v xml:space="preserve"> Generation X </v>
      </c>
      <c r="Z187" s="9">
        <f t="shared" si="25"/>
        <v>16</v>
      </c>
      <c r="AA187" s="5" t="str">
        <f t="shared" si="26"/>
        <v>RAS</v>
      </c>
      <c r="AB187" s="5" t="s">
        <v>3827</v>
      </c>
      <c r="AC187" s="6" t="s">
        <v>3799</v>
      </c>
      <c r="AE187" s="5" t="s">
        <v>3845</v>
      </c>
      <c r="AF187" s="5" t="s">
        <v>4481</v>
      </c>
      <c r="AG187" s="5" t="s">
        <v>4485</v>
      </c>
      <c r="AH187" s="5" t="s">
        <v>4488</v>
      </c>
      <c r="AI187" s="5" t="s">
        <v>4184</v>
      </c>
      <c r="AJ187" s="5" t="s">
        <v>4185</v>
      </c>
      <c r="AK187" s="5">
        <v>11307</v>
      </c>
      <c r="AL187" s="5" t="s">
        <v>3854</v>
      </c>
    </row>
    <row r="188" spans="1:38" x14ac:dyDescent="0.3">
      <c r="A188" s="4">
        <v>45716</v>
      </c>
      <c r="B188" s="5" t="s">
        <v>742</v>
      </c>
      <c r="C188" s="5" t="s">
        <v>743</v>
      </c>
      <c r="D188" s="5" t="s">
        <v>744</v>
      </c>
      <c r="E188" s="5" t="s">
        <v>4494</v>
      </c>
      <c r="G188" s="5" t="s">
        <v>88</v>
      </c>
      <c r="H188" s="5" t="s">
        <v>653</v>
      </c>
      <c r="I188" s="5" t="s">
        <v>883</v>
      </c>
      <c r="J188" s="5" t="s">
        <v>182</v>
      </c>
      <c r="K188" s="4">
        <v>40233</v>
      </c>
      <c r="L188" s="4">
        <v>40233</v>
      </c>
      <c r="M188" s="9">
        <f t="shared" si="18"/>
        <v>15</v>
      </c>
      <c r="N188" s="4" t="str">
        <f t="shared" si="20"/>
        <v>] 10 ; 15 ]</v>
      </c>
      <c r="O188" s="5" t="s">
        <v>3785</v>
      </c>
      <c r="P188" s="5" t="s">
        <v>3782</v>
      </c>
      <c r="Q188" s="5">
        <v>1</v>
      </c>
      <c r="R188" s="5" t="str">
        <f t="shared" si="21"/>
        <v>Specialisation</v>
      </c>
      <c r="S188" s="5" t="s">
        <v>3789</v>
      </c>
      <c r="T188" s="4">
        <v>29600</v>
      </c>
      <c r="U188" s="5">
        <f t="shared" si="22"/>
        <v>1981</v>
      </c>
      <c r="V188" s="5" t="s">
        <v>3793</v>
      </c>
      <c r="W188" s="9">
        <f t="shared" si="19"/>
        <v>44</v>
      </c>
      <c r="X188" s="5" t="str">
        <f t="shared" si="23"/>
        <v>[40 - 44 ans]</v>
      </c>
      <c r="Y188" s="5" t="str">
        <f t="shared" si="24"/>
        <v xml:space="preserve"> Mellenials </v>
      </c>
      <c r="Z188" s="9">
        <f t="shared" si="25"/>
        <v>16</v>
      </c>
      <c r="AA188" s="5" t="str">
        <f t="shared" si="26"/>
        <v>RAS</v>
      </c>
      <c r="AB188" s="5" t="s">
        <v>3828</v>
      </c>
      <c r="AC188" s="6" t="s">
        <v>3799</v>
      </c>
      <c r="AE188" s="5" t="s">
        <v>3845</v>
      </c>
      <c r="AF188" s="5" t="s">
        <v>4481</v>
      </c>
      <c r="AG188" s="5" t="s">
        <v>4485</v>
      </c>
      <c r="AH188" s="5" t="s">
        <v>4488</v>
      </c>
      <c r="AI188" s="5" t="s">
        <v>4186</v>
      </c>
      <c r="AJ188" s="5" t="s">
        <v>4187</v>
      </c>
      <c r="AK188" s="5" t="s">
        <v>4183</v>
      </c>
      <c r="AL188" s="5" t="s">
        <v>3854</v>
      </c>
    </row>
    <row r="189" spans="1:38" x14ac:dyDescent="0.3">
      <c r="A189" s="4">
        <v>45716</v>
      </c>
      <c r="B189" s="5" t="s">
        <v>745</v>
      </c>
      <c r="C189" s="5" t="s">
        <v>746</v>
      </c>
      <c r="D189" s="5" t="s">
        <v>747</v>
      </c>
      <c r="E189" s="5" t="s">
        <v>4494</v>
      </c>
      <c r="G189" s="5" t="s">
        <v>88</v>
      </c>
      <c r="H189" s="5" t="s">
        <v>456</v>
      </c>
      <c r="I189" s="5" t="s">
        <v>1814</v>
      </c>
      <c r="J189" s="5" t="s">
        <v>883</v>
      </c>
      <c r="K189" s="4">
        <v>40233</v>
      </c>
      <c r="L189" s="4">
        <v>40233</v>
      </c>
      <c r="M189" s="9">
        <f t="shared" si="18"/>
        <v>15</v>
      </c>
      <c r="N189" s="4" t="str">
        <f t="shared" si="20"/>
        <v>] 10 ; 15 ]</v>
      </c>
      <c r="O189" s="5" t="s">
        <v>3780</v>
      </c>
      <c r="P189" s="5" t="s">
        <v>3786</v>
      </c>
      <c r="Q189" s="5">
        <v>1</v>
      </c>
      <c r="R189" s="5" t="str">
        <f t="shared" si="21"/>
        <v>Qualification</v>
      </c>
      <c r="S189" s="5" t="s">
        <v>3790</v>
      </c>
      <c r="T189" s="4">
        <v>28539</v>
      </c>
      <c r="U189" s="5">
        <f t="shared" si="22"/>
        <v>1978</v>
      </c>
      <c r="V189" s="5" t="s">
        <v>3793</v>
      </c>
      <c r="W189" s="9">
        <f t="shared" si="19"/>
        <v>47</v>
      </c>
      <c r="X189" s="5" t="str">
        <f t="shared" si="23"/>
        <v>[45 - 49 ans]</v>
      </c>
      <c r="Y189" s="5" t="str">
        <f t="shared" si="24"/>
        <v xml:space="preserve"> Generation X </v>
      </c>
      <c r="Z189" s="9">
        <f t="shared" si="25"/>
        <v>13</v>
      </c>
      <c r="AA189" s="5" t="str">
        <f t="shared" si="26"/>
        <v>RAS</v>
      </c>
      <c r="AB189" s="5" t="s">
        <v>3813</v>
      </c>
      <c r="AC189" s="6" t="s">
        <v>3799</v>
      </c>
      <c r="AE189" s="5" t="s">
        <v>3844</v>
      </c>
      <c r="AF189" s="5" t="s">
        <v>4482</v>
      </c>
      <c r="AG189" s="5" t="s">
        <v>4485</v>
      </c>
      <c r="AH189" s="5" t="s">
        <v>4488</v>
      </c>
      <c r="AI189" s="5" t="s">
        <v>4188</v>
      </c>
      <c r="AJ189" s="5" t="s">
        <v>4068</v>
      </c>
      <c r="AK189" s="5" t="s">
        <v>4069</v>
      </c>
      <c r="AL189" s="5" t="s">
        <v>3858</v>
      </c>
    </row>
    <row r="190" spans="1:38" x14ac:dyDescent="0.3">
      <c r="A190" s="4">
        <v>45716</v>
      </c>
      <c r="B190" s="5" t="s">
        <v>748</v>
      </c>
      <c r="C190" s="5" t="s">
        <v>749</v>
      </c>
      <c r="D190" s="5" t="s">
        <v>750</v>
      </c>
      <c r="E190" s="5" t="s">
        <v>4494</v>
      </c>
      <c r="G190" s="5" t="s">
        <v>88</v>
      </c>
      <c r="H190" s="5" t="s">
        <v>456</v>
      </c>
      <c r="I190" s="5" t="s">
        <v>2079</v>
      </c>
      <c r="J190" s="5" t="s">
        <v>883</v>
      </c>
      <c r="K190" s="4">
        <v>40233</v>
      </c>
      <c r="L190" s="4">
        <v>40233</v>
      </c>
      <c r="M190" s="9">
        <f t="shared" si="18"/>
        <v>15</v>
      </c>
      <c r="N190" s="4" t="str">
        <f t="shared" si="20"/>
        <v>] 10 ; 15 ]</v>
      </c>
      <c r="O190" s="5" t="s">
        <v>3780</v>
      </c>
      <c r="P190" s="5" t="s">
        <v>3786</v>
      </c>
      <c r="Q190" s="5">
        <v>1</v>
      </c>
      <c r="R190" s="5" t="str">
        <f t="shared" si="21"/>
        <v>Qualification</v>
      </c>
      <c r="S190" s="5" t="s">
        <v>3789</v>
      </c>
      <c r="T190" s="4">
        <v>31208</v>
      </c>
      <c r="U190" s="5">
        <f t="shared" si="22"/>
        <v>1985</v>
      </c>
      <c r="V190" s="5" t="s">
        <v>3793</v>
      </c>
      <c r="W190" s="9">
        <f t="shared" si="19"/>
        <v>39</v>
      </c>
      <c r="X190" s="5" t="str">
        <f t="shared" si="23"/>
        <v>[35 - 39 ans ]</v>
      </c>
      <c r="Y190" s="5" t="str">
        <f t="shared" si="24"/>
        <v xml:space="preserve"> Mellenials </v>
      </c>
      <c r="Z190" s="9">
        <f t="shared" si="25"/>
        <v>21</v>
      </c>
      <c r="AA190" s="5" t="str">
        <f t="shared" si="26"/>
        <v>RAS</v>
      </c>
      <c r="AB190" s="5" t="s">
        <v>3824</v>
      </c>
      <c r="AC190" s="6" t="s">
        <v>3799</v>
      </c>
      <c r="AE190" s="5" t="s">
        <v>3844</v>
      </c>
      <c r="AF190" s="5" t="s">
        <v>4482</v>
      </c>
      <c r="AG190" s="5" t="s">
        <v>4485</v>
      </c>
      <c r="AH190" s="5" t="s">
        <v>4488</v>
      </c>
      <c r="AI190" s="5" t="s">
        <v>4176</v>
      </c>
      <c r="AJ190" s="5" t="s">
        <v>4177</v>
      </c>
      <c r="AK190" s="5" t="s">
        <v>4178</v>
      </c>
      <c r="AL190" s="5" t="s">
        <v>3858</v>
      </c>
    </row>
    <row r="191" spans="1:38" x14ac:dyDescent="0.3">
      <c r="A191" s="4">
        <v>45716</v>
      </c>
      <c r="B191" s="5" t="s">
        <v>751</v>
      </c>
      <c r="C191" s="5" t="s">
        <v>752</v>
      </c>
      <c r="D191" s="5" t="s">
        <v>753</v>
      </c>
      <c r="E191" s="5" t="s">
        <v>4494</v>
      </c>
      <c r="G191" s="5" t="s">
        <v>88</v>
      </c>
      <c r="H191" s="5" t="s">
        <v>456</v>
      </c>
      <c r="I191" s="5" t="s">
        <v>1002</v>
      </c>
      <c r="J191" s="5" t="s">
        <v>883</v>
      </c>
      <c r="K191" s="4">
        <v>40233</v>
      </c>
      <c r="L191" s="4">
        <v>40233</v>
      </c>
      <c r="M191" s="9">
        <f t="shared" si="18"/>
        <v>15</v>
      </c>
      <c r="N191" s="4" t="str">
        <f t="shared" si="20"/>
        <v>] 10 ; 15 ]</v>
      </c>
      <c r="O191" s="5" t="s">
        <v>3780</v>
      </c>
      <c r="P191" s="5" t="s">
        <v>3786</v>
      </c>
      <c r="Q191" s="5">
        <v>1</v>
      </c>
      <c r="R191" s="5" t="str">
        <f t="shared" si="21"/>
        <v>Qualification</v>
      </c>
      <c r="S191" s="5" t="s">
        <v>3790</v>
      </c>
      <c r="T191" s="4">
        <v>31260</v>
      </c>
      <c r="U191" s="5">
        <f t="shared" si="22"/>
        <v>1985</v>
      </c>
      <c r="V191" s="5" t="s">
        <v>3793</v>
      </c>
      <c r="W191" s="9">
        <f t="shared" si="19"/>
        <v>39</v>
      </c>
      <c r="X191" s="5" t="str">
        <f t="shared" si="23"/>
        <v>[35 - 39 ans ]</v>
      </c>
      <c r="Y191" s="5" t="str">
        <f t="shared" si="24"/>
        <v xml:space="preserve"> Mellenials </v>
      </c>
      <c r="Z191" s="9">
        <f t="shared" si="25"/>
        <v>21</v>
      </c>
      <c r="AA191" s="5" t="str">
        <f t="shared" si="26"/>
        <v>RAS</v>
      </c>
      <c r="AB191" s="5" t="s">
        <v>3818</v>
      </c>
      <c r="AC191" s="6" t="s">
        <v>3799</v>
      </c>
      <c r="AE191" s="5" t="s">
        <v>3844</v>
      </c>
      <c r="AF191" s="5" t="s">
        <v>4482</v>
      </c>
      <c r="AG191" s="5" t="s">
        <v>4485</v>
      </c>
      <c r="AH191" s="5" t="s">
        <v>4488</v>
      </c>
      <c r="AI191" s="5" t="s">
        <v>4149</v>
      </c>
      <c r="AJ191" s="5" t="s">
        <v>4150</v>
      </c>
      <c r="AK191" s="5" t="s">
        <v>4151</v>
      </c>
      <c r="AL191" s="5" t="s">
        <v>3858</v>
      </c>
    </row>
    <row r="192" spans="1:38" x14ac:dyDescent="0.3">
      <c r="A192" s="4">
        <v>45716</v>
      </c>
      <c r="B192" s="5" t="s">
        <v>754</v>
      </c>
      <c r="C192" s="5" t="s">
        <v>755</v>
      </c>
      <c r="D192" s="5" t="s">
        <v>756</v>
      </c>
      <c r="E192" s="5" t="s">
        <v>4494</v>
      </c>
      <c r="G192" s="5" t="s">
        <v>88</v>
      </c>
      <c r="H192" s="5" t="s">
        <v>706</v>
      </c>
      <c r="I192" s="5" t="s">
        <v>3772</v>
      </c>
      <c r="J192" s="5" t="s">
        <v>883</v>
      </c>
      <c r="K192" s="4">
        <v>40233</v>
      </c>
      <c r="L192" s="4">
        <v>40233</v>
      </c>
      <c r="M192" s="9">
        <f t="shared" si="18"/>
        <v>15</v>
      </c>
      <c r="N192" s="4" t="str">
        <f t="shared" si="20"/>
        <v>] 10 ; 15 ]</v>
      </c>
      <c r="O192" s="5" t="s">
        <v>3786</v>
      </c>
      <c r="P192" s="5" t="s">
        <v>3786</v>
      </c>
      <c r="Q192" s="5">
        <v>2</v>
      </c>
      <c r="R192" s="5" t="str">
        <f t="shared" si="21"/>
        <v>Specialisation</v>
      </c>
      <c r="S192" s="5" t="s">
        <v>3790</v>
      </c>
      <c r="T192" s="4">
        <v>31355</v>
      </c>
      <c r="U192" s="5">
        <f t="shared" si="22"/>
        <v>1985</v>
      </c>
      <c r="V192" s="5" t="s">
        <v>3793</v>
      </c>
      <c r="W192" s="9">
        <f t="shared" si="19"/>
        <v>39</v>
      </c>
      <c r="X192" s="5" t="str">
        <f t="shared" si="23"/>
        <v>[35 - 39 ans ]</v>
      </c>
      <c r="Y192" s="5" t="str">
        <f t="shared" si="24"/>
        <v xml:space="preserve"> Mellenials </v>
      </c>
      <c r="Z192" s="9">
        <f t="shared" si="25"/>
        <v>21</v>
      </c>
      <c r="AA192" s="5" t="str">
        <f t="shared" si="26"/>
        <v>RAS</v>
      </c>
      <c r="AB192" s="5" t="s">
        <v>3823</v>
      </c>
      <c r="AC192" s="6" t="s">
        <v>3800</v>
      </c>
      <c r="AE192" s="5" t="s">
        <v>3844</v>
      </c>
      <c r="AF192" s="5" t="s">
        <v>4482</v>
      </c>
      <c r="AG192" s="5" t="s">
        <v>4485</v>
      </c>
      <c r="AH192" s="5" t="s">
        <v>4488</v>
      </c>
      <c r="AI192" s="5" t="s">
        <v>4169</v>
      </c>
      <c r="AJ192" s="5" t="s">
        <v>4170</v>
      </c>
      <c r="AK192" s="5" t="s">
        <v>4171</v>
      </c>
      <c r="AL192" s="5" t="s">
        <v>3858</v>
      </c>
    </row>
    <row r="193" spans="1:38" x14ac:dyDescent="0.3">
      <c r="A193" s="4">
        <v>45716</v>
      </c>
      <c r="B193" s="5" t="s">
        <v>757</v>
      </c>
      <c r="C193" s="5" t="s">
        <v>758</v>
      </c>
      <c r="D193" s="5" t="s">
        <v>759</v>
      </c>
      <c r="E193" s="5" t="s">
        <v>4494</v>
      </c>
      <c r="G193" s="5" t="s">
        <v>88</v>
      </c>
      <c r="H193" s="5" t="s">
        <v>760</v>
      </c>
      <c r="I193" s="5" t="s">
        <v>1986</v>
      </c>
      <c r="J193" s="5" t="s">
        <v>2724</v>
      </c>
      <c r="K193" s="4">
        <v>40233</v>
      </c>
      <c r="L193" s="4">
        <v>40233</v>
      </c>
      <c r="M193" s="9">
        <f t="shared" ref="M193:M256" si="27">DATEDIF(L193,A193,"y")</f>
        <v>15</v>
      </c>
      <c r="N193" s="4" t="str">
        <f t="shared" si="20"/>
        <v>] 10 ; 15 ]</v>
      </c>
      <c r="O193" s="5" t="s">
        <v>3783</v>
      </c>
      <c r="P193" s="5" t="s">
        <v>3783</v>
      </c>
      <c r="Q193" s="5">
        <v>2</v>
      </c>
      <c r="R193" s="5" t="str">
        <f t="shared" si="21"/>
        <v>Specialisation</v>
      </c>
      <c r="S193" s="5" t="s">
        <v>3789</v>
      </c>
      <c r="T193" s="4">
        <v>30221</v>
      </c>
      <c r="U193" s="5">
        <f t="shared" si="22"/>
        <v>1982</v>
      </c>
      <c r="V193" s="5" t="s">
        <v>3793</v>
      </c>
      <c r="W193" s="9">
        <f t="shared" ref="W193:W256" si="28">DATEDIF(T193,A193,"y")</f>
        <v>42</v>
      </c>
      <c r="X193" s="5" t="str">
        <f t="shared" si="23"/>
        <v>[40 - 44 ans]</v>
      </c>
      <c r="Y193" s="5" t="str">
        <f t="shared" si="24"/>
        <v xml:space="preserve"> Mellenials </v>
      </c>
      <c r="Z193" s="9">
        <f t="shared" si="25"/>
        <v>18</v>
      </c>
      <c r="AA193" s="5" t="str">
        <f t="shared" si="26"/>
        <v>RAS</v>
      </c>
      <c r="AB193" s="5" t="s">
        <v>3806</v>
      </c>
      <c r="AC193" s="6" t="s">
        <v>3799</v>
      </c>
      <c r="AE193" s="5" t="s">
        <v>3844</v>
      </c>
      <c r="AF193" s="5" t="s">
        <v>4482</v>
      </c>
      <c r="AG193" s="5" t="s">
        <v>4485</v>
      </c>
      <c r="AH193" s="5" t="s">
        <v>4488</v>
      </c>
      <c r="AI193" s="5" t="s">
        <v>4189</v>
      </c>
      <c r="AJ193" s="5" t="s">
        <v>4190</v>
      </c>
      <c r="AK193" s="5">
        <v>11100</v>
      </c>
      <c r="AL193" s="5" t="s">
        <v>3858</v>
      </c>
    </row>
    <row r="194" spans="1:38" x14ac:dyDescent="0.3">
      <c r="A194" s="4">
        <v>45716</v>
      </c>
      <c r="B194" s="5" t="s">
        <v>761</v>
      </c>
      <c r="C194" s="5" t="s">
        <v>762</v>
      </c>
      <c r="D194" s="5" t="s">
        <v>763</v>
      </c>
      <c r="E194" s="5" t="s">
        <v>4494</v>
      </c>
      <c r="G194" s="5" t="s">
        <v>137</v>
      </c>
      <c r="H194" s="5" t="s">
        <v>764</v>
      </c>
      <c r="I194" s="5" t="s">
        <v>401</v>
      </c>
      <c r="J194" s="5" t="s">
        <v>1346</v>
      </c>
      <c r="K194" s="4">
        <v>40233</v>
      </c>
      <c r="L194" s="4">
        <v>40233</v>
      </c>
      <c r="M194" s="9">
        <f t="shared" si="27"/>
        <v>15</v>
      </c>
      <c r="N194" s="4" t="str">
        <f t="shared" ref="N194:N257" si="29">IF(M194&lt;=2," ] 0 ; 2 ]",IF(AND(M194&gt;2,M194&lt;=5),"] 2 ; 5 ]",IF(AND(M194&gt;5,M194&lt;=8),"] 5 ; 8 ]",IF(AND(M194&gt;8,M194&lt;=10),"] 8 ; 10 ]",IF(AND(M194&gt;10,M194&lt;=15),"] 10 ; 15 ]","] 15 ; +oo [")))))</f>
        <v>] 10 ; 15 ]</v>
      </c>
      <c r="O194" s="5" t="s">
        <v>3786</v>
      </c>
      <c r="P194" s="5" t="s">
        <v>3786</v>
      </c>
      <c r="Q194" s="5">
        <v>2</v>
      </c>
      <c r="R194" s="5" t="str">
        <f t="shared" ref="R194:R257" si="30">IF(OR(O194="A",O194="B",O194="C",O194="D"),"Qualification",IF(OR(O194="E",O194="F",O194="G"),"Specialisation","Management &amp; Expertise"))</f>
        <v>Specialisation</v>
      </c>
      <c r="S194" s="5" t="s">
        <v>3790</v>
      </c>
      <c r="T194" s="4">
        <v>31134</v>
      </c>
      <c r="U194" s="5">
        <f t="shared" ref="U194:U257" si="31">YEAR(T194)</f>
        <v>1985</v>
      </c>
      <c r="V194" s="5" t="s">
        <v>3793</v>
      </c>
      <c r="W194" s="9">
        <f t="shared" si="28"/>
        <v>39</v>
      </c>
      <c r="X194" s="5" t="str">
        <f t="shared" ref="X194:X257" si="32">IF(W194&lt;30,"[20 - 29 ans[",IF(AND(W194&gt;=30,W194&lt;35),"[30 - 34 ans]",IF(AND(W194&gt;=35,W194&lt;40),"[35 - 39 ans ]",IF(AND(W194&gt;=40,W194&lt;45),"[40 - 44 ans]",IF(AND(W194&gt;=45,W194&lt;50),"[45 - 49 ans]","[50 ans, +oo [")))))</f>
        <v>[35 - 39 ans ]</v>
      </c>
      <c r="Y194" s="5" t="str">
        <f t="shared" ref="Y194:Y257" si="33">IF(AND(U194&gt;1946,U194&lt;=1965)," Baby - Boomers ",IF(AND(U194&gt;1965,U194&lt;=1980)," Generation X ",IF(AND(U194&gt;1980,U194&lt;1996)," Mellenials ",IF(AND(U194&gt;1996,U194&lt;2012)," Gen Z "," Gen Alpha"))))</f>
        <v xml:space="preserve"> Mellenials </v>
      </c>
      <c r="Z194" s="9">
        <f t="shared" ref="Z194:Z257" si="34">60-W194</f>
        <v>21</v>
      </c>
      <c r="AA194" s="5" t="str">
        <f t="shared" ref="AA194:AA257" si="35">IF(Z194&lt;=5,"Départ à la Retraite 5ans","RAS")</f>
        <v>RAS</v>
      </c>
      <c r="AB194" s="5" t="s">
        <v>3806</v>
      </c>
      <c r="AC194" s="6" t="s">
        <v>3799</v>
      </c>
      <c r="AE194" s="5" t="s">
        <v>3844</v>
      </c>
      <c r="AF194" s="5" t="s">
        <v>4482</v>
      </c>
      <c r="AG194" s="5" t="s">
        <v>4485</v>
      </c>
      <c r="AH194" s="5" t="s">
        <v>4487</v>
      </c>
      <c r="AI194" s="5" t="s">
        <v>4191</v>
      </c>
      <c r="AJ194" s="5" t="s">
        <v>4192</v>
      </c>
      <c r="AK194" s="5" t="s">
        <v>4193</v>
      </c>
      <c r="AL194" s="5" t="s">
        <v>3858</v>
      </c>
    </row>
    <row r="195" spans="1:38" x14ac:dyDescent="0.3">
      <c r="A195" s="4">
        <v>45716</v>
      </c>
      <c r="B195" s="5" t="s">
        <v>765</v>
      </c>
      <c r="C195" s="5" t="s">
        <v>766</v>
      </c>
      <c r="D195" s="5" t="s">
        <v>767</v>
      </c>
      <c r="E195" s="5" t="s">
        <v>4494</v>
      </c>
      <c r="G195" s="5" t="s">
        <v>88</v>
      </c>
      <c r="H195" s="5" t="s">
        <v>456</v>
      </c>
      <c r="I195" s="5" t="s">
        <v>910</v>
      </c>
      <c r="J195" s="5" t="s">
        <v>883</v>
      </c>
      <c r="K195" s="4">
        <v>40233</v>
      </c>
      <c r="L195" s="4">
        <v>40233</v>
      </c>
      <c r="M195" s="9">
        <f t="shared" si="27"/>
        <v>15</v>
      </c>
      <c r="N195" s="4" t="str">
        <f t="shared" si="29"/>
        <v>] 10 ; 15 ]</v>
      </c>
      <c r="O195" s="5" t="s">
        <v>3780</v>
      </c>
      <c r="P195" s="5" t="s">
        <v>3786</v>
      </c>
      <c r="Q195" s="5">
        <v>1</v>
      </c>
      <c r="R195" s="5" t="str">
        <f t="shared" si="30"/>
        <v>Qualification</v>
      </c>
      <c r="S195" s="5" t="s">
        <v>3790</v>
      </c>
      <c r="T195" s="4">
        <v>31248</v>
      </c>
      <c r="U195" s="5">
        <f t="shared" si="31"/>
        <v>1985</v>
      </c>
      <c r="V195" s="5" t="s">
        <v>3793</v>
      </c>
      <c r="W195" s="9">
        <f t="shared" si="28"/>
        <v>39</v>
      </c>
      <c r="X195" s="5" t="str">
        <f t="shared" si="32"/>
        <v>[35 - 39 ans ]</v>
      </c>
      <c r="Y195" s="5" t="str">
        <f t="shared" si="33"/>
        <v xml:space="preserve"> Mellenials </v>
      </c>
      <c r="Z195" s="9">
        <f t="shared" si="34"/>
        <v>21</v>
      </c>
      <c r="AA195" s="5" t="str">
        <f t="shared" si="35"/>
        <v>RAS</v>
      </c>
      <c r="AB195" s="5" t="s">
        <v>3821</v>
      </c>
      <c r="AC195" s="6" t="s">
        <v>3799</v>
      </c>
      <c r="AE195" s="5" t="s">
        <v>3844</v>
      </c>
      <c r="AF195" s="5" t="s">
        <v>4482</v>
      </c>
      <c r="AG195" s="5" t="s">
        <v>4485</v>
      </c>
      <c r="AH195" s="5" t="s">
        <v>4488</v>
      </c>
      <c r="AI195" s="5" t="s">
        <v>4163</v>
      </c>
      <c r="AJ195" s="5" t="s">
        <v>4164</v>
      </c>
      <c r="AK195" s="5" t="s">
        <v>4165</v>
      </c>
      <c r="AL195" s="5" t="s">
        <v>3858</v>
      </c>
    </row>
    <row r="196" spans="1:38" x14ac:dyDescent="0.3">
      <c r="A196" s="4">
        <v>45716</v>
      </c>
      <c r="B196" s="5" t="s">
        <v>768</v>
      </c>
      <c r="C196" s="5" t="s">
        <v>769</v>
      </c>
      <c r="D196" s="5" t="s">
        <v>770</v>
      </c>
      <c r="E196" s="5" t="s">
        <v>4494</v>
      </c>
      <c r="G196" s="5" t="s">
        <v>88</v>
      </c>
      <c r="H196" s="5" t="s">
        <v>653</v>
      </c>
      <c r="I196" s="5" t="s">
        <v>883</v>
      </c>
      <c r="J196" s="5" t="s">
        <v>182</v>
      </c>
      <c r="K196" s="4">
        <v>40233</v>
      </c>
      <c r="L196" s="4">
        <v>40233</v>
      </c>
      <c r="M196" s="9">
        <f t="shared" si="27"/>
        <v>15</v>
      </c>
      <c r="N196" s="4" t="str">
        <f t="shared" si="29"/>
        <v>] 10 ; 15 ]</v>
      </c>
      <c r="O196" s="5" t="s">
        <v>3785</v>
      </c>
      <c r="P196" s="5" t="s">
        <v>3782</v>
      </c>
      <c r="Q196" s="5">
        <v>1</v>
      </c>
      <c r="R196" s="5" t="str">
        <f t="shared" si="30"/>
        <v>Specialisation</v>
      </c>
      <c r="S196" s="5" t="s">
        <v>3790</v>
      </c>
      <c r="T196" s="4">
        <v>30112</v>
      </c>
      <c r="U196" s="5">
        <f t="shared" si="31"/>
        <v>1982</v>
      </c>
      <c r="V196" s="5" t="s">
        <v>3793</v>
      </c>
      <c r="W196" s="9">
        <f t="shared" si="28"/>
        <v>42</v>
      </c>
      <c r="X196" s="5" t="str">
        <f t="shared" si="32"/>
        <v>[40 - 44 ans]</v>
      </c>
      <c r="Y196" s="5" t="str">
        <f t="shared" si="33"/>
        <v xml:space="preserve"> Mellenials </v>
      </c>
      <c r="Z196" s="9">
        <f t="shared" si="34"/>
        <v>18</v>
      </c>
      <c r="AA196" s="5" t="str">
        <f t="shared" si="35"/>
        <v>RAS</v>
      </c>
      <c r="AB196" s="5" t="s">
        <v>3814</v>
      </c>
      <c r="AC196" s="6" t="s">
        <v>3799</v>
      </c>
      <c r="AE196" s="5" t="s">
        <v>3845</v>
      </c>
      <c r="AF196" s="5" t="s">
        <v>4481</v>
      </c>
      <c r="AG196" s="5" t="s">
        <v>4485</v>
      </c>
      <c r="AH196" s="5" t="s">
        <v>4488</v>
      </c>
      <c r="AI196" s="5" t="s">
        <v>4075</v>
      </c>
      <c r="AJ196" s="5" t="s">
        <v>4076</v>
      </c>
      <c r="AK196" s="5" t="s">
        <v>4077</v>
      </c>
      <c r="AL196" s="5" t="s">
        <v>3854</v>
      </c>
    </row>
    <row r="197" spans="1:38" x14ac:dyDescent="0.3">
      <c r="A197" s="4">
        <v>45716</v>
      </c>
      <c r="B197" s="5" t="s">
        <v>771</v>
      </c>
      <c r="C197" s="5" t="s">
        <v>772</v>
      </c>
      <c r="D197" s="5" t="s">
        <v>773</v>
      </c>
      <c r="E197" s="5" t="s">
        <v>4494</v>
      </c>
      <c r="G197" s="5" t="s">
        <v>24</v>
      </c>
      <c r="H197" s="5" t="s">
        <v>256</v>
      </c>
      <c r="I197" s="5" t="s">
        <v>1317</v>
      </c>
      <c r="J197" s="5" t="s">
        <v>23</v>
      </c>
      <c r="K197" s="4">
        <v>40233</v>
      </c>
      <c r="L197" s="4">
        <v>40233</v>
      </c>
      <c r="M197" s="9">
        <f t="shared" si="27"/>
        <v>15</v>
      </c>
      <c r="N197" s="4" t="str">
        <f t="shared" si="29"/>
        <v>] 10 ; 15 ]</v>
      </c>
      <c r="O197" s="5" t="s">
        <v>3786</v>
      </c>
      <c r="P197" s="5" t="s">
        <v>3786</v>
      </c>
      <c r="Q197" s="5">
        <v>1</v>
      </c>
      <c r="R197" s="5" t="str">
        <f t="shared" si="30"/>
        <v>Specialisation</v>
      </c>
      <c r="S197" s="5" t="s">
        <v>3790</v>
      </c>
      <c r="T197" s="4">
        <v>31407</v>
      </c>
      <c r="U197" s="5">
        <f t="shared" si="31"/>
        <v>1985</v>
      </c>
      <c r="V197" s="5" t="s">
        <v>3793</v>
      </c>
      <c r="W197" s="9">
        <f t="shared" si="28"/>
        <v>39</v>
      </c>
      <c r="X197" s="5" t="str">
        <f t="shared" si="32"/>
        <v>[35 - 39 ans ]</v>
      </c>
      <c r="Y197" s="5" t="str">
        <f t="shared" si="33"/>
        <v xml:space="preserve"> Mellenials </v>
      </c>
      <c r="Z197" s="9">
        <f t="shared" si="34"/>
        <v>21</v>
      </c>
      <c r="AA197" s="5" t="str">
        <f t="shared" si="35"/>
        <v>RAS</v>
      </c>
      <c r="AB197" s="5" t="s">
        <v>3805</v>
      </c>
      <c r="AC197" s="6" t="s">
        <v>3799</v>
      </c>
      <c r="AE197" s="5" t="s">
        <v>3844</v>
      </c>
      <c r="AF197" s="5" t="s">
        <v>4482</v>
      </c>
      <c r="AG197" s="5" t="s">
        <v>4485</v>
      </c>
      <c r="AH197" s="5" t="s">
        <v>4488</v>
      </c>
      <c r="AI197" s="5" t="s">
        <v>4133</v>
      </c>
      <c r="AJ197" s="5" t="s">
        <v>4134</v>
      </c>
      <c r="AK197" s="5" t="s">
        <v>3983</v>
      </c>
      <c r="AL197" s="5" t="s">
        <v>3858</v>
      </c>
    </row>
    <row r="198" spans="1:38" x14ac:dyDescent="0.3">
      <c r="A198" s="4">
        <v>45716</v>
      </c>
      <c r="B198" s="5" t="s">
        <v>774</v>
      </c>
      <c r="C198" s="5" t="s">
        <v>775</v>
      </c>
      <c r="D198" s="5" t="s">
        <v>776</v>
      </c>
      <c r="E198" s="5" t="s">
        <v>4494</v>
      </c>
      <c r="G198" s="5" t="s">
        <v>88</v>
      </c>
      <c r="H198" s="5" t="s">
        <v>101</v>
      </c>
      <c r="I198" s="5" t="s">
        <v>945</v>
      </c>
      <c r="J198" s="5" t="s">
        <v>879</v>
      </c>
      <c r="K198" s="4">
        <v>40233</v>
      </c>
      <c r="L198" s="4">
        <v>40233</v>
      </c>
      <c r="M198" s="9">
        <f t="shared" si="27"/>
        <v>15</v>
      </c>
      <c r="N198" s="4" t="str">
        <f t="shared" si="29"/>
        <v>] 10 ; 15 ]</v>
      </c>
      <c r="O198" s="5" t="s">
        <v>3783</v>
      </c>
      <c r="P198" s="5" t="s">
        <v>3783</v>
      </c>
      <c r="Q198" s="5">
        <v>1</v>
      </c>
      <c r="R198" s="5" t="str">
        <f t="shared" si="30"/>
        <v>Specialisation</v>
      </c>
      <c r="S198" s="5" t="s">
        <v>3789</v>
      </c>
      <c r="T198" s="4">
        <v>30503</v>
      </c>
      <c r="U198" s="5">
        <f t="shared" si="31"/>
        <v>1983</v>
      </c>
      <c r="V198" s="5" t="s">
        <v>3793</v>
      </c>
      <c r="W198" s="9">
        <f t="shared" si="28"/>
        <v>41</v>
      </c>
      <c r="X198" s="5" t="str">
        <f t="shared" si="32"/>
        <v>[40 - 44 ans]</v>
      </c>
      <c r="Y198" s="5" t="str">
        <f t="shared" si="33"/>
        <v xml:space="preserve"> Mellenials </v>
      </c>
      <c r="Z198" s="9">
        <f t="shared" si="34"/>
        <v>19</v>
      </c>
      <c r="AA198" s="5" t="str">
        <f t="shared" si="35"/>
        <v>RAS</v>
      </c>
      <c r="AB198" s="5" t="s">
        <v>3806</v>
      </c>
      <c r="AC198" s="6" t="s">
        <v>3799</v>
      </c>
      <c r="AE198" s="5" t="s">
        <v>3844</v>
      </c>
      <c r="AF198" s="5" t="s">
        <v>4482</v>
      </c>
      <c r="AG198" s="5" t="s">
        <v>4485</v>
      </c>
      <c r="AH198" s="5" t="s">
        <v>4488</v>
      </c>
      <c r="AI198" s="5" t="s">
        <v>3904</v>
      </c>
      <c r="AJ198" s="5" t="s">
        <v>3905</v>
      </c>
      <c r="AK198" s="5">
        <v>11152</v>
      </c>
      <c r="AL198" s="5" t="s">
        <v>3858</v>
      </c>
    </row>
    <row r="199" spans="1:38" x14ac:dyDescent="0.3">
      <c r="A199" s="4">
        <v>45716</v>
      </c>
      <c r="B199" s="5" t="s">
        <v>777</v>
      </c>
      <c r="C199" s="5" t="s">
        <v>778</v>
      </c>
      <c r="D199" s="5" t="s">
        <v>779</v>
      </c>
      <c r="E199" s="5" t="s">
        <v>4494</v>
      </c>
      <c r="G199" s="5" t="s">
        <v>88</v>
      </c>
      <c r="H199" s="5" t="s">
        <v>653</v>
      </c>
      <c r="I199" s="5" t="s">
        <v>883</v>
      </c>
      <c r="J199" s="5" t="s">
        <v>182</v>
      </c>
      <c r="K199" s="4">
        <v>40234</v>
      </c>
      <c r="L199" s="4">
        <v>40234</v>
      </c>
      <c r="M199" s="9">
        <f t="shared" si="27"/>
        <v>15</v>
      </c>
      <c r="N199" s="4" t="str">
        <f t="shared" si="29"/>
        <v>] 10 ; 15 ]</v>
      </c>
      <c r="O199" s="5" t="s">
        <v>3785</v>
      </c>
      <c r="P199" s="5" t="s">
        <v>3782</v>
      </c>
      <c r="Q199" s="5">
        <v>1</v>
      </c>
      <c r="R199" s="5" t="str">
        <f t="shared" si="30"/>
        <v>Specialisation</v>
      </c>
      <c r="S199" s="5" t="s">
        <v>3789</v>
      </c>
      <c r="T199" s="4">
        <v>28087</v>
      </c>
      <c r="U199" s="5">
        <f t="shared" si="31"/>
        <v>1976</v>
      </c>
      <c r="V199" s="5" t="s">
        <v>3793</v>
      </c>
      <c r="W199" s="9">
        <f t="shared" si="28"/>
        <v>48</v>
      </c>
      <c r="X199" s="5" t="str">
        <f t="shared" si="32"/>
        <v>[45 - 49 ans]</v>
      </c>
      <c r="Y199" s="5" t="str">
        <f t="shared" si="33"/>
        <v xml:space="preserve"> Generation X </v>
      </c>
      <c r="Z199" s="9">
        <f t="shared" si="34"/>
        <v>12</v>
      </c>
      <c r="AA199" s="5" t="str">
        <f t="shared" si="35"/>
        <v>RAS</v>
      </c>
      <c r="AB199" s="5" t="s">
        <v>3819</v>
      </c>
      <c r="AC199" s="6" t="s">
        <v>3802</v>
      </c>
      <c r="AE199" s="5" t="s">
        <v>3845</v>
      </c>
      <c r="AF199" s="5" t="s">
        <v>4481</v>
      </c>
      <c r="AG199" s="5" t="s">
        <v>4485</v>
      </c>
      <c r="AH199" s="5" t="s">
        <v>4488</v>
      </c>
      <c r="AI199" s="5" t="s">
        <v>4161</v>
      </c>
      <c r="AJ199" s="5" t="s">
        <v>4134</v>
      </c>
      <c r="AK199" s="5" t="s">
        <v>4162</v>
      </c>
      <c r="AL199" s="5" t="s">
        <v>3854</v>
      </c>
    </row>
    <row r="200" spans="1:38" x14ac:dyDescent="0.3">
      <c r="A200" s="4">
        <v>45716</v>
      </c>
      <c r="B200" s="5" t="s">
        <v>780</v>
      </c>
      <c r="C200" s="5" t="s">
        <v>781</v>
      </c>
      <c r="D200" s="5" t="s">
        <v>782</v>
      </c>
      <c r="E200" s="5" t="s">
        <v>4494</v>
      </c>
      <c r="G200" s="5" t="s">
        <v>29</v>
      </c>
      <c r="H200" s="5" t="s">
        <v>783</v>
      </c>
      <c r="I200" s="5" t="s">
        <v>65</v>
      </c>
      <c r="J200" s="5" t="s">
        <v>69</v>
      </c>
      <c r="K200" s="4">
        <v>40238</v>
      </c>
      <c r="L200" s="4">
        <v>36831</v>
      </c>
      <c r="M200" s="9">
        <f t="shared" si="27"/>
        <v>24</v>
      </c>
      <c r="N200" s="4" t="str">
        <f t="shared" si="29"/>
        <v>] 15 ; +oo [</v>
      </c>
      <c r="O200" s="5" t="s">
        <v>3786</v>
      </c>
      <c r="P200" s="5" t="s">
        <v>3783</v>
      </c>
      <c r="Q200" s="5">
        <v>1</v>
      </c>
      <c r="R200" s="5" t="str">
        <f t="shared" si="30"/>
        <v>Specialisation</v>
      </c>
      <c r="S200" s="5" t="s">
        <v>3790</v>
      </c>
      <c r="T200" s="4">
        <v>24935</v>
      </c>
      <c r="U200" s="5">
        <f t="shared" si="31"/>
        <v>1968</v>
      </c>
      <c r="V200" s="5" t="s">
        <v>3793</v>
      </c>
      <c r="W200" s="9">
        <f t="shared" si="28"/>
        <v>56</v>
      </c>
      <c r="X200" s="5" t="str">
        <f t="shared" si="32"/>
        <v>[50 ans, +oo [</v>
      </c>
      <c r="Y200" s="5" t="str">
        <f t="shared" si="33"/>
        <v xml:space="preserve"> Generation X </v>
      </c>
      <c r="Z200" s="9">
        <f t="shared" si="34"/>
        <v>4</v>
      </c>
      <c r="AA200" s="5" t="str">
        <f t="shared" si="35"/>
        <v>Départ à la Retraite 5ans</v>
      </c>
      <c r="AB200" s="5" t="s">
        <v>3806</v>
      </c>
      <c r="AC200" s="6" t="s">
        <v>3799</v>
      </c>
      <c r="AE200" s="5" t="s">
        <v>3844</v>
      </c>
      <c r="AF200" s="5" t="s">
        <v>4482</v>
      </c>
      <c r="AG200" s="5" t="s">
        <v>4485</v>
      </c>
      <c r="AH200" s="5" t="s">
        <v>4487</v>
      </c>
      <c r="AI200" s="5" t="s">
        <v>3880</v>
      </c>
      <c r="AJ200" s="5" t="s">
        <v>4134</v>
      </c>
      <c r="AK200" s="5" t="s">
        <v>3882</v>
      </c>
      <c r="AL200" s="5" t="s">
        <v>3858</v>
      </c>
    </row>
    <row r="201" spans="1:38" x14ac:dyDescent="0.3">
      <c r="A201" s="4">
        <v>45716</v>
      </c>
      <c r="B201" s="5" t="s">
        <v>784</v>
      </c>
      <c r="C201" s="5" t="s">
        <v>785</v>
      </c>
      <c r="D201" s="5" t="s">
        <v>786</v>
      </c>
      <c r="E201" s="5" t="s">
        <v>4494</v>
      </c>
      <c r="G201" s="5" t="s">
        <v>787</v>
      </c>
      <c r="H201" s="5" t="s">
        <v>788</v>
      </c>
      <c r="I201" s="5" t="s">
        <v>3419</v>
      </c>
      <c r="J201" s="5" t="s">
        <v>2841</v>
      </c>
      <c r="K201" s="4">
        <v>40238</v>
      </c>
      <c r="L201" s="4">
        <v>40238</v>
      </c>
      <c r="M201" s="9">
        <f t="shared" si="27"/>
        <v>14</v>
      </c>
      <c r="N201" s="4" t="str">
        <f t="shared" si="29"/>
        <v>] 10 ; 15 ]</v>
      </c>
      <c r="O201" s="5" t="s">
        <v>3782</v>
      </c>
      <c r="P201" s="5" t="s">
        <v>3782</v>
      </c>
      <c r="Q201" s="5">
        <v>1</v>
      </c>
      <c r="R201" s="5" t="str">
        <f t="shared" si="30"/>
        <v>Management &amp; Expertise</v>
      </c>
      <c r="S201" s="5" t="s">
        <v>3790</v>
      </c>
      <c r="T201" s="4">
        <v>28243</v>
      </c>
      <c r="U201" s="5">
        <f t="shared" si="31"/>
        <v>1977</v>
      </c>
      <c r="V201" s="5" t="s">
        <v>3793</v>
      </c>
      <c r="W201" s="9">
        <f t="shared" si="28"/>
        <v>47</v>
      </c>
      <c r="X201" s="5" t="str">
        <f t="shared" si="32"/>
        <v>[45 - 49 ans]</v>
      </c>
      <c r="Y201" s="5" t="str">
        <f t="shared" si="33"/>
        <v xml:space="preserve"> Generation X </v>
      </c>
      <c r="Z201" s="9">
        <f t="shared" si="34"/>
        <v>13</v>
      </c>
      <c r="AA201" s="5" t="str">
        <f t="shared" si="35"/>
        <v>RAS</v>
      </c>
      <c r="AB201" s="5" t="s">
        <v>3806</v>
      </c>
      <c r="AC201" s="6" t="s">
        <v>3799</v>
      </c>
      <c r="AE201" s="5" t="s">
        <v>3844</v>
      </c>
      <c r="AF201" s="5" t="s">
        <v>4481</v>
      </c>
      <c r="AG201" s="5" t="s">
        <v>4485</v>
      </c>
      <c r="AH201" s="5" t="s">
        <v>4487</v>
      </c>
      <c r="AI201" s="5" t="s">
        <v>4194</v>
      </c>
      <c r="AJ201" s="5" t="s">
        <v>4134</v>
      </c>
      <c r="AK201" s="5" t="s">
        <v>4195</v>
      </c>
      <c r="AL201" s="5" t="s">
        <v>3858</v>
      </c>
    </row>
    <row r="202" spans="1:38" x14ac:dyDescent="0.3">
      <c r="A202" s="4">
        <v>45716</v>
      </c>
      <c r="B202" s="5" t="s">
        <v>789</v>
      </c>
      <c r="C202" s="5" t="s">
        <v>790</v>
      </c>
      <c r="D202" s="5" t="s">
        <v>791</v>
      </c>
      <c r="E202" s="5" t="s">
        <v>4494</v>
      </c>
      <c r="G202" s="5" t="s">
        <v>137</v>
      </c>
      <c r="H202" s="5" t="s">
        <v>792</v>
      </c>
      <c r="I202" s="5" t="s">
        <v>381</v>
      </c>
      <c r="J202" s="5" t="s">
        <v>1346</v>
      </c>
      <c r="K202" s="4">
        <v>40238</v>
      </c>
      <c r="L202" s="4">
        <v>40238</v>
      </c>
      <c r="M202" s="9">
        <f t="shared" si="27"/>
        <v>14</v>
      </c>
      <c r="N202" s="4" t="str">
        <f t="shared" si="29"/>
        <v>] 10 ; 15 ]</v>
      </c>
      <c r="O202" s="5" t="s">
        <v>3782</v>
      </c>
      <c r="P202" s="5" t="s">
        <v>3784</v>
      </c>
      <c r="Q202" s="5">
        <v>1</v>
      </c>
      <c r="R202" s="5" t="str">
        <f t="shared" si="30"/>
        <v>Management &amp; Expertise</v>
      </c>
      <c r="S202" s="5" t="s">
        <v>3790</v>
      </c>
      <c r="T202" s="4">
        <v>25958</v>
      </c>
      <c r="U202" s="5">
        <f t="shared" si="31"/>
        <v>1971</v>
      </c>
      <c r="V202" s="5" t="s">
        <v>3792</v>
      </c>
      <c r="W202" s="9">
        <f t="shared" si="28"/>
        <v>54</v>
      </c>
      <c r="X202" s="5" t="str">
        <f t="shared" si="32"/>
        <v>[50 ans, +oo [</v>
      </c>
      <c r="Y202" s="5" t="str">
        <f t="shared" si="33"/>
        <v xml:space="preserve"> Generation X </v>
      </c>
      <c r="Z202" s="9">
        <f t="shared" si="34"/>
        <v>6</v>
      </c>
      <c r="AA202" s="5" t="str">
        <f t="shared" si="35"/>
        <v>RAS</v>
      </c>
      <c r="AB202" s="5" t="s">
        <v>3806</v>
      </c>
      <c r="AC202" s="6" t="s">
        <v>3799</v>
      </c>
      <c r="AE202" s="5" t="s">
        <v>3846</v>
      </c>
      <c r="AF202" s="5" t="s">
        <v>4481</v>
      </c>
      <c r="AG202" s="5" t="s">
        <v>4485</v>
      </c>
      <c r="AH202" s="5" t="s">
        <v>4487</v>
      </c>
      <c r="AI202" s="5" t="s">
        <v>4036</v>
      </c>
      <c r="AJ202" s="5" t="s">
        <v>4196</v>
      </c>
      <c r="AK202" s="5">
        <v>71200</v>
      </c>
      <c r="AL202" s="5" t="s">
        <v>3854</v>
      </c>
    </row>
    <row r="203" spans="1:38" x14ac:dyDescent="0.3">
      <c r="A203" s="4">
        <v>45716</v>
      </c>
      <c r="B203" s="5" t="s">
        <v>793</v>
      </c>
      <c r="C203" s="5" t="s">
        <v>794</v>
      </c>
      <c r="D203" s="5" t="s">
        <v>795</v>
      </c>
      <c r="E203" s="5" t="s">
        <v>4494</v>
      </c>
      <c r="G203" s="5" t="s">
        <v>88</v>
      </c>
      <c r="H203" s="5" t="s">
        <v>796</v>
      </c>
      <c r="I203" s="5" t="s">
        <v>879</v>
      </c>
      <c r="J203" s="5" t="s">
        <v>182</v>
      </c>
      <c r="K203" s="4">
        <v>40238</v>
      </c>
      <c r="L203" s="4">
        <v>40238</v>
      </c>
      <c r="M203" s="9">
        <f t="shared" si="27"/>
        <v>14</v>
      </c>
      <c r="N203" s="4" t="str">
        <f t="shared" si="29"/>
        <v>] 10 ; 15 ]</v>
      </c>
      <c r="O203" s="5" t="s">
        <v>3782</v>
      </c>
      <c r="P203" s="5" t="s">
        <v>3784</v>
      </c>
      <c r="Q203" s="5">
        <v>1</v>
      </c>
      <c r="R203" s="5" t="str">
        <f t="shared" si="30"/>
        <v>Management &amp; Expertise</v>
      </c>
      <c r="S203" s="5" t="s">
        <v>3789</v>
      </c>
      <c r="T203" s="4">
        <v>28000</v>
      </c>
      <c r="U203" s="5">
        <f t="shared" si="31"/>
        <v>1976</v>
      </c>
      <c r="V203" s="5" t="s">
        <v>3793</v>
      </c>
      <c r="W203" s="9">
        <f t="shared" si="28"/>
        <v>48</v>
      </c>
      <c r="X203" s="5" t="str">
        <f t="shared" si="32"/>
        <v>[45 - 49 ans]</v>
      </c>
      <c r="Y203" s="5" t="str">
        <f t="shared" si="33"/>
        <v xml:space="preserve"> Generation X </v>
      </c>
      <c r="Z203" s="9">
        <f t="shared" si="34"/>
        <v>12</v>
      </c>
      <c r="AA203" s="5" t="str">
        <f t="shared" si="35"/>
        <v>RAS</v>
      </c>
      <c r="AB203" s="5" t="s">
        <v>3819</v>
      </c>
      <c r="AC203" s="6" t="s">
        <v>3802</v>
      </c>
      <c r="AE203" s="5" t="s">
        <v>3845</v>
      </c>
      <c r="AF203" s="5" t="s">
        <v>4481</v>
      </c>
      <c r="AG203" s="5" t="s">
        <v>4485</v>
      </c>
      <c r="AH203" s="5" t="s">
        <v>4488</v>
      </c>
      <c r="AI203" s="5" t="s">
        <v>4197</v>
      </c>
      <c r="AJ203" s="5" t="s">
        <v>4134</v>
      </c>
      <c r="AK203" s="5" t="s">
        <v>4198</v>
      </c>
      <c r="AL203" s="5" t="s">
        <v>3854</v>
      </c>
    </row>
    <row r="204" spans="1:38" x14ac:dyDescent="0.3">
      <c r="A204" s="4">
        <v>45716</v>
      </c>
      <c r="B204" s="5" t="s">
        <v>797</v>
      </c>
      <c r="C204" s="5" t="s">
        <v>798</v>
      </c>
      <c r="D204" s="5" t="s">
        <v>799</v>
      </c>
      <c r="E204" s="5" t="s">
        <v>4494</v>
      </c>
      <c r="G204" s="5" t="s">
        <v>39</v>
      </c>
      <c r="H204" s="5" t="s">
        <v>800</v>
      </c>
      <c r="I204" s="5" t="s">
        <v>1372</v>
      </c>
      <c r="J204" s="5" t="s">
        <v>2821</v>
      </c>
      <c r="K204" s="4">
        <v>40238</v>
      </c>
      <c r="L204" s="4">
        <v>40238</v>
      </c>
      <c r="M204" s="9">
        <f t="shared" si="27"/>
        <v>14</v>
      </c>
      <c r="N204" s="4" t="str">
        <f t="shared" si="29"/>
        <v>] 10 ; 15 ]</v>
      </c>
      <c r="O204" s="5" t="s">
        <v>3782</v>
      </c>
      <c r="P204" s="5" t="s">
        <v>3782</v>
      </c>
      <c r="Q204" s="5">
        <v>2</v>
      </c>
      <c r="R204" s="5" t="str">
        <f t="shared" si="30"/>
        <v>Management &amp; Expertise</v>
      </c>
      <c r="S204" s="5" t="s">
        <v>3789</v>
      </c>
      <c r="T204" s="4">
        <v>26069</v>
      </c>
      <c r="U204" s="5">
        <f t="shared" si="31"/>
        <v>1971</v>
      </c>
      <c r="V204" s="5" t="s">
        <v>3793</v>
      </c>
      <c r="W204" s="9">
        <f t="shared" si="28"/>
        <v>53</v>
      </c>
      <c r="X204" s="5" t="str">
        <f t="shared" si="32"/>
        <v>[50 ans, +oo [</v>
      </c>
      <c r="Y204" s="5" t="str">
        <f t="shared" si="33"/>
        <v xml:space="preserve"> Generation X </v>
      </c>
      <c r="Z204" s="9">
        <f t="shared" si="34"/>
        <v>7</v>
      </c>
      <c r="AA204" s="5" t="str">
        <f t="shared" si="35"/>
        <v>RAS</v>
      </c>
      <c r="AB204" s="5" t="s">
        <v>3805</v>
      </c>
      <c r="AC204" s="6" t="s">
        <v>3799</v>
      </c>
      <c r="AE204" s="5" t="s">
        <v>3845</v>
      </c>
      <c r="AF204" s="5" t="s">
        <v>4481</v>
      </c>
      <c r="AG204" s="5" t="s">
        <v>4485</v>
      </c>
      <c r="AH204" s="5" t="s">
        <v>4489</v>
      </c>
      <c r="AI204" s="5" t="s">
        <v>4199</v>
      </c>
      <c r="AJ204" s="5" t="s">
        <v>4134</v>
      </c>
      <c r="AK204" s="5" t="s">
        <v>4200</v>
      </c>
      <c r="AL204" s="5" t="s">
        <v>3854</v>
      </c>
    </row>
    <row r="205" spans="1:38" x14ac:dyDescent="0.3">
      <c r="A205" s="4">
        <v>45716</v>
      </c>
      <c r="B205" s="5" t="s">
        <v>801</v>
      </c>
      <c r="C205" s="5" t="s">
        <v>802</v>
      </c>
      <c r="D205" s="5" t="s">
        <v>803</v>
      </c>
      <c r="E205" s="5" t="s">
        <v>4494</v>
      </c>
      <c r="G205" s="5" t="s">
        <v>88</v>
      </c>
      <c r="H205" s="5" t="s">
        <v>456</v>
      </c>
      <c r="I205" s="5" t="s">
        <v>741</v>
      </c>
      <c r="J205" s="5" t="s">
        <v>883</v>
      </c>
      <c r="K205" s="4">
        <v>40238</v>
      </c>
      <c r="L205" s="4">
        <v>40238</v>
      </c>
      <c r="M205" s="9">
        <f t="shared" si="27"/>
        <v>14</v>
      </c>
      <c r="N205" s="4" t="str">
        <f t="shared" si="29"/>
        <v>] 10 ; 15 ]</v>
      </c>
      <c r="O205" s="5" t="s">
        <v>3780</v>
      </c>
      <c r="P205" s="5" t="s">
        <v>3786</v>
      </c>
      <c r="Q205" s="5">
        <v>1</v>
      </c>
      <c r="R205" s="5" t="str">
        <f t="shared" si="30"/>
        <v>Qualification</v>
      </c>
      <c r="S205" s="5" t="s">
        <v>3790</v>
      </c>
      <c r="T205" s="4">
        <v>30554</v>
      </c>
      <c r="U205" s="5">
        <f t="shared" si="31"/>
        <v>1983</v>
      </c>
      <c r="V205" s="5" t="s">
        <v>3793</v>
      </c>
      <c r="W205" s="9">
        <f t="shared" si="28"/>
        <v>41</v>
      </c>
      <c r="X205" s="5" t="str">
        <f t="shared" si="32"/>
        <v>[40 - 44 ans]</v>
      </c>
      <c r="Y205" s="5" t="str">
        <f t="shared" si="33"/>
        <v xml:space="preserve"> Mellenials </v>
      </c>
      <c r="Z205" s="9">
        <f t="shared" si="34"/>
        <v>19</v>
      </c>
      <c r="AA205" s="5" t="str">
        <f t="shared" si="35"/>
        <v>RAS</v>
      </c>
      <c r="AB205" s="5" t="s">
        <v>3825</v>
      </c>
      <c r="AC205" s="6" t="s">
        <v>3799</v>
      </c>
      <c r="AE205" s="5" t="s">
        <v>3844</v>
      </c>
      <c r="AF205" s="5" t="s">
        <v>4482</v>
      </c>
      <c r="AG205" s="5" t="s">
        <v>4485</v>
      </c>
      <c r="AH205" s="5" t="s">
        <v>4488</v>
      </c>
      <c r="AI205" s="5" t="s">
        <v>4179</v>
      </c>
      <c r="AJ205" s="5" t="s">
        <v>4134</v>
      </c>
      <c r="AK205" s="5" t="s">
        <v>4181</v>
      </c>
      <c r="AL205" s="5" t="s">
        <v>3858</v>
      </c>
    </row>
    <row r="206" spans="1:38" x14ac:dyDescent="0.3">
      <c r="A206" s="4">
        <v>45716</v>
      </c>
      <c r="B206" s="5" t="s">
        <v>804</v>
      </c>
      <c r="C206" s="5" t="s">
        <v>805</v>
      </c>
      <c r="D206" s="5" t="s">
        <v>806</v>
      </c>
      <c r="E206" s="5" t="s">
        <v>4494</v>
      </c>
      <c r="G206" s="5" t="s">
        <v>29</v>
      </c>
      <c r="H206" s="5" t="s">
        <v>807</v>
      </c>
      <c r="I206" s="5" t="s">
        <v>2355</v>
      </c>
      <c r="J206" s="5" t="s">
        <v>2841</v>
      </c>
      <c r="K206" s="4">
        <v>40238</v>
      </c>
      <c r="L206" s="4">
        <v>40238</v>
      </c>
      <c r="M206" s="9">
        <f t="shared" si="27"/>
        <v>14</v>
      </c>
      <c r="N206" s="4" t="str">
        <f t="shared" si="29"/>
        <v>] 10 ; 15 ]</v>
      </c>
      <c r="O206" s="5" t="s">
        <v>3784</v>
      </c>
      <c r="P206" s="5" t="s">
        <v>3784</v>
      </c>
      <c r="Q206" s="5">
        <v>1</v>
      </c>
      <c r="R206" s="5" t="str">
        <f t="shared" si="30"/>
        <v>Management &amp; Expertise</v>
      </c>
      <c r="S206" s="5" t="s">
        <v>3789</v>
      </c>
      <c r="T206" s="4">
        <v>30663</v>
      </c>
      <c r="U206" s="5">
        <f t="shared" si="31"/>
        <v>1983</v>
      </c>
      <c r="V206" s="5" t="s">
        <v>3792</v>
      </c>
      <c r="W206" s="9">
        <f t="shared" si="28"/>
        <v>41</v>
      </c>
      <c r="X206" s="5" t="str">
        <f t="shared" si="32"/>
        <v>[40 - 44 ans]</v>
      </c>
      <c r="Y206" s="5" t="str">
        <f t="shared" si="33"/>
        <v xml:space="preserve"> Mellenials </v>
      </c>
      <c r="Z206" s="9">
        <f t="shared" si="34"/>
        <v>19</v>
      </c>
      <c r="AA206" s="5" t="str">
        <f t="shared" si="35"/>
        <v>RAS</v>
      </c>
      <c r="AB206" s="5" t="s">
        <v>3806</v>
      </c>
      <c r="AC206" s="6" t="s">
        <v>3799</v>
      </c>
      <c r="AE206" s="5" t="s">
        <v>3845</v>
      </c>
      <c r="AF206" s="5" t="s">
        <v>4481</v>
      </c>
      <c r="AG206" s="5" t="s">
        <v>4485</v>
      </c>
      <c r="AH206" s="5" t="s">
        <v>4487</v>
      </c>
      <c r="AI206" s="5" t="s">
        <v>4111</v>
      </c>
      <c r="AJ206" s="5" t="s">
        <v>4112</v>
      </c>
      <c r="AK206" s="5" t="s">
        <v>4201</v>
      </c>
      <c r="AL206" s="5" t="s">
        <v>4202</v>
      </c>
    </row>
    <row r="207" spans="1:38" x14ac:dyDescent="0.3">
      <c r="A207" s="4">
        <v>45716</v>
      </c>
      <c r="B207" s="5" t="s">
        <v>808</v>
      </c>
      <c r="C207" s="5" t="s">
        <v>809</v>
      </c>
      <c r="D207" s="5" t="s">
        <v>810</v>
      </c>
      <c r="E207" s="5" t="s">
        <v>4494</v>
      </c>
      <c r="G207" s="5" t="s">
        <v>57</v>
      </c>
      <c r="H207" s="5" t="s">
        <v>811</v>
      </c>
      <c r="I207" s="5" t="s">
        <v>56</v>
      </c>
      <c r="J207" s="5" t="s">
        <v>2841</v>
      </c>
      <c r="K207" s="4">
        <v>40238</v>
      </c>
      <c r="L207" s="4">
        <v>40238</v>
      </c>
      <c r="M207" s="9">
        <f t="shared" si="27"/>
        <v>14</v>
      </c>
      <c r="N207" s="4" t="str">
        <f t="shared" si="29"/>
        <v>] 10 ; 15 ]</v>
      </c>
      <c r="O207" s="5" t="s">
        <v>3784</v>
      </c>
      <c r="P207" s="5" t="s">
        <v>3784</v>
      </c>
      <c r="Q207" s="5">
        <v>1</v>
      </c>
      <c r="R207" s="5" t="str">
        <f t="shared" si="30"/>
        <v>Management &amp; Expertise</v>
      </c>
      <c r="S207" s="5" t="s">
        <v>3789</v>
      </c>
      <c r="T207" s="4">
        <v>28637</v>
      </c>
      <c r="U207" s="5">
        <f t="shared" si="31"/>
        <v>1978</v>
      </c>
      <c r="V207" s="5" t="s">
        <v>3793</v>
      </c>
      <c r="W207" s="9">
        <f t="shared" si="28"/>
        <v>46</v>
      </c>
      <c r="X207" s="5" t="str">
        <f t="shared" si="32"/>
        <v>[45 - 49 ans]</v>
      </c>
      <c r="Y207" s="5" t="str">
        <f t="shared" si="33"/>
        <v xml:space="preserve"> Generation X </v>
      </c>
      <c r="Z207" s="9">
        <f t="shared" si="34"/>
        <v>14</v>
      </c>
      <c r="AA207" s="5" t="str">
        <f t="shared" si="35"/>
        <v>RAS</v>
      </c>
      <c r="AB207" s="5" t="s">
        <v>3806</v>
      </c>
      <c r="AC207" s="6" t="s">
        <v>3799</v>
      </c>
      <c r="AE207" s="5" t="s">
        <v>3845</v>
      </c>
      <c r="AF207" s="5" t="s">
        <v>4481</v>
      </c>
      <c r="AG207" s="5" t="s">
        <v>4485</v>
      </c>
      <c r="AH207" s="5" t="s">
        <v>4487</v>
      </c>
      <c r="AI207" s="5" t="s">
        <v>4067</v>
      </c>
      <c r="AJ207" s="5" t="s">
        <v>4134</v>
      </c>
      <c r="AK207" s="5">
        <v>41410</v>
      </c>
      <c r="AL207" s="5" t="s">
        <v>3854</v>
      </c>
    </row>
    <row r="208" spans="1:38" x14ac:dyDescent="0.3">
      <c r="A208" s="4">
        <v>45716</v>
      </c>
      <c r="B208" s="5" t="s">
        <v>812</v>
      </c>
      <c r="C208" s="5" t="s">
        <v>813</v>
      </c>
      <c r="D208" s="5" t="s">
        <v>814</v>
      </c>
      <c r="E208" s="5" t="s">
        <v>4494</v>
      </c>
      <c r="G208" s="5" t="s">
        <v>78</v>
      </c>
      <c r="H208" s="5" t="s">
        <v>815</v>
      </c>
      <c r="I208" s="5" t="s">
        <v>491</v>
      </c>
      <c r="J208" s="5" t="s">
        <v>1823</v>
      </c>
      <c r="K208" s="4">
        <v>40238</v>
      </c>
      <c r="L208" s="4">
        <v>40238</v>
      </c>
      <c r="M208" s="9">
        <f t="shared" si="27"/>
        <v>14</v>
      </c>
      <c r="N208" s="4" t="str">
        <f t="shared" si="29"/>
        <v>] 10 ; 15 ]</v>
      </c>
      <c r="O208" s="5" t="s">
        <v>3786</v>
      </c>
      <c r="P208" s="5" t="s">
        <v>3783</v>
      </c>
      <c r="Q208" s="5">
        <v>1</v>
      </c>
      <c r="R208" s="5" t="str">
        <f t="shared" si="30"/>
        <v>Specialisation</v>
      </c>
      <c r="S208" s="5" t="s">
        <v>3789</v>
      </c>
      <c r="T208" s="4">
        <v>28788</v>
      </c>
      <c r="U208" s="5">
        <f t="shared" si="31"/>
        <v>1978</v>
      </c>
      <c r="V208" s="5" t="s">
        <v>3793</v>
      </c>
      <c r="W208" s="9">
        <f t="shared" si="28"/>
        <v>46</v>
      </c>
      <c r="X208" s="5" t="str">
        <f t="shared" si="32"/>
        <v>[45 - 49 ans]</v>
      </c>
      <c r="Y208" s="5" t="str">
        <f t="shared" si="33"/>
        <v xml:space="preserve"> Generation X </v>
      </c>
      <c r="Z208" s="9">
        <f t="shared" si="34"/>
        <v>14</v>
      </c>
      <c r="AA208" s="5" t="str">
        <f t="shared" si="35"/>
        <v>RAS</v>
      </c>
      <c r="AB208" s="5" t="s">
        <v>3808</v>
      </c>
      <c r="AC208" s="6" t="s">
        <v>3799</v>
      </c>
      <c r="AE208" s="5" t="s">
        <v>3844</v>
      </c>
      <c r="AF208" s="5" t="s">
        <v>4482</v>
      </c>
      <c r="AG208" s="5" t="s">
        <v>4485</v>
      </c>
      <c r="AH208" s="5" t="s">
        <v>4488</v>
      </c>
      <c r="AI208" s="5" t="s">
        <v>4091</v>
      </c>
      <c r="AJ208" s="5" t="s">
        <v>4134</v>
      </c>
      <c r="AK208" s="5" t="s">
        <v>3946</v>
      </c>
      <c r="AL208" s="5" t="s">
        <v>3858</v>
      </c>
    </row>
    <row r="209" spans="1:38" x14ac:dyDescent="0.3">
      <c r="A209" s="4">
        <v>45716</v>
      </c>
      <c r="B209" s="5" t="s">
        <v>816</v>
      </c>
      <c r="C209" s="5" t="s">
        <v>817</v>
      </c>
      <c r="D209" s="5" t="s">
        <v>818</v>
      </c>
      <c r="E209" s="5" t="s">
        <v>4494</v>
      </c>
      <c r="G209" s="5" t="s">
        <v>78</v>
      </c>
      <c r="H209" s="5" t="s">
        <v>527</v>
      </c>
      <c r="I209" s="5" t="s">
        <v>701</v>
      </c>
      <c r="J209" s="5" t="s">
        <v>1518</v>
      </c>
      <c r="K209" s="4">
        <v>40239</v>
      </c>
      <c r="L209" s="4">
        <v>40239</v>
      </c>
      <c r="M209" s="9">
        <f t="shared" si="27"/>
        <v>14</v>
      </c>
      <c r="N209" s="4" t="str">
        <f t="shared" si="29"/>
        <v>] 10 ; 15 ]</v>
      </c>
      <c r="O209" s="5" t="s">
        <v>3780</v>
      </c>
      <c r="P209" s="5" t="s">
        <v>3780</v>
      </c>
      <c r="Q209" s="5">
        <v>2</v>
      </c>
      <c r="R209" s="5" t="str">
        <f t="shared" si="30"/>
        <v>Qualification</v>
      </c>
      <c r="S209" s="5" t="s">
        <v>3790</v>
      </c>
      <c r="T209" s="4">
        <v>29307</v>
      </c>
      <c r="U209" s="5">
        <f t="shared" si="31"/>
        <v>1980</v>
      </c>
      <c r="V209" s="5" t="s">
        <v>3793</v>
      </c>
      <c r="W209" s="9">
        <f t="shared" si="28"/>
        <v>44</v>
      </c>
      <c r="X209" s="5" t="str">
        <f t="shared" si="32"/>
        <v>[40 - 44 ans]</v>
      </c>
      <c r="Y209" s="5" t="str">
        <f t="shared" si="33"/>
        <v xml:space="preserve"> Generation X </v>
      </c>
      <c r="Z209" s="9">
        <f t="shared" si="34"/>
        <v>16</v>
      </c>
      <c r="AA209" s="5" t="str">
        <f t="shared" si="35"/>
        <v>RAS</v>
      </c>
      <c r="AB209" s="5" t="s">
        <v>3810</v>
      </c>
      <c r="AC209" s="6" t="s">
        <v>3801</v>
      </c>
      <c r="AE209" s="5" t="s">
        <v>3844</v>
      </c>
      <c r="AF209" s="5" t="s">
        <v>4482</v>
      </c>
      <c r="AG209" s="5" t="s">
        <v>4485</v>
      </c>
      <c r="AH209" s="5" t="s">
        <v>4488</v>
      </c>
      <c r="AI209" s="5" t="s">
        <v>4174</v>
      </c>
      <c r="AJ209" s="5" t="s">
        <v>4134</v>
      </c>
      <c r="AK209" s="5">
        <v>81310</v>
      </c>
      <c r="AL209" s="5" t="s">
        <v>3858</v>
      </c>
    </row>
    <row r="210" spans="1:38" x14ac:dyDescent="0.3">
      <c r="A210" s="4">
        <v>45716</v>
      </c>
      <c r="B210" s="5" t="s">
        <v>819</v>
      </c>
      <c r="C210" s="5" t="s">
        <v>820</v>
      </c>
      <c r="D210" s="5" t="s">
        <v>821</v>
      </c>
      <c r="E210" s="5" t="s">
        <v>4494</v>
      </c>
      <c r="G210" s="5" t="s">
        <v>39</v>
      </c>
      <c r="H210" s="5" t="s">
        <v>260</v>
      </c>
      <c r="I210" s="5" t="s">
        <v>205</v>
      </c>
      <c r="J210" s="5" t="s">
        <v>1372</v>
      </c>
      <c r="K210" s="4">
        <v>40239</v>
      </c>
      <c r="L210" s="4">
        <v>40239</v>
      </c>
      <c r="M210" s="9">
        <f t="shared" si="27"/>
        <v>14</v>
      </c>
      <c r="N210" s="4" t="str">
        <f t="shared" si="29"/>
        <v>] 10 ; 15 ]</v>
      </c>
      <c r="O210" s="5" t="s">
        <v>3786</v>
      </c>
      <c r="P210" s="5" t="s">
        <v>3783</v>
      </c>
      <c r="Q210" s="5">
        <v>1</v>
      </c>
      <c r="R210" s="5" t="str">
        <f t="shared" si="30"/>
        <v>Specialisation</v>
      </c>
      <c r="S210" s="5" t="s">
        <v>3789</v>
      </c>
      <c r="T210" s="4">
        <v>28194</v>
      </c>
      <c r="U210" s="5">
        <f t="shared" si="31"/>
        <v>1977</v>
      </c>
      <c r="V210" s="5" t="s">
        <v>3793</v>
      </c>
      <c r="W210" s="9">
        <f t="shared" si="28"/>
        <v>47</v>
      </c>
      <c r="X210" s="5" t="str">
        <f t="shared" si="32"/>
        <v>[45 - 49 ans]</v>
      </c>
      <c r="Y210" s="5" t="str">
        <f t="shared" si="33"/>
        <v xml:space="preserve"> Generation X </v>
      </c>
      <c r="Z210" s="9">
        <f t="shared" si="34"/>
        <v>13</v>
      </c>
      <c r="AA210" s="5" t="str">
        <f t="shared" si="35"/>
        <v>RAS</v>
      </c>
      <c r="AB210" s="5" t="s">
        <v>3805</v>
      </c>
      <c r="AC210" s="6" t="s">
        <v>3799</v>
      </c>
      <c r="AE210" s="5" t="s">
        <v>3844</v>
      </c>
      <c r="AF210" s="5" t="s">
        <v>4482</v>
      </c>
      <c r="AG210" s="5" t="s">
        <v>4485</v>
      </c>
      <c r="AH210" s="5" t="s">
        <v>4489</v>
      </c>
      <c r="AI210" s="5" t="s">
        <v>3954</v>
      </c>
      <c r="AJ210" s="5" t="s">
        <v>4134</v>
      </c>
      <c r="AK210" s="5" t="s">
        <v>3956</v>
      </c>
      <c r="AL210" s="5" t="s">
        <v>3858</v>
      </c>
    </row>
    <row r="211" spans="1:38" x14ac:dyDescent="0.3">
      <c r="A211" s="4">
        <v>45716</v>
      </c>
      <c r="B211" s="5" t="s">
        <v>822</v>
      </c>
      <c r="C211" s="5" t="s">
        <v>823</v>
      </c>
      <c r="D211" s="5" t="s">
        <v>824</v>
      </c>
      <c r="E211" s="5" t="s">
        <v>4494</v>
      </c>
      <c r="G211" s="5" t="s">
        <v>39</v>
      </c>
      <c r="H211" s="5" t="s">
        <v>825</v>
      </c>
      <c r="I211" s="5" t="s">
        <v>205</v>
      </c>
      <c r="J211" s="5" t="s">
        <v>1372</v>
      </c>
      <c r="K211" s="4">
        <v>40241</v>
      </c>
      <c r="L211" s="4">
        <v>40241</v>
      </c>
      <c r="M211" s="9">
        <f t="shared" si="27"/>
        <v>14</v>
      </c>
      <c r="N211" s="4" t="str">
        <f t="shared" si="29"/>
        <v>] 10 ; 15 ]</v>
      </c>
      <c r="O211" s="5" t="s">
        <v>3786</v>
      </c>
      <c r="P211" s="5" t="s">
        <v>3786</v>
      </c>
      <c r="Q211" s="5">
        <v>2</v>
      </c>
      <c r="R211" s="5" t="str">
        <f t="shared" si="30"/>
        <v>Specialisation</v>
      </c>
      <c r="S211" s="5" t="s">
        <v>3789</v>
      </c>
      <c r="T211" s="4">
        <v>31276</v>
      </c>
      <c r="U211" s="5">
        <f t="shared" si="31"/>
        <v>1985</v>
      </c>
      <c r="V211" s="5" t="s">
        <v>3793</v>
      </c>
      <c r="W211" s="9">
        <f t="shared" si="28"/>
        <v>39</v>
      </c>
      <c r="X211" s="5" t="str">
        <f t="shared" si="32"/>
        <v>[35 - 39 ans ]</v>
      </c>
      <c r="Y211" s="5" t="str">
        <f t="shared" si="33"/>
        <v xml:space="preserve"> Mellenials </v>
      </c>
      <c r="Z211" s="9">
        <f t="shared" si="34"/>
        <v>21</v>
      </c>
      <c r="AA211" s="5" t="str">
        <f t="shared" si="35"/>
        <v>RAS</v>
      </c>
      <c r="AB211" s="5" t="s">
        <v>3805</v>
      </c>
      <c r="AC211" s="6" t="s">
        <v>3799</v>
      </c>
      <c r="AE211" s="5" t="s">
        <v>3844</v>
      </c>
      <c r="AF211" s="5" t="s">
        <v>4482</v>
      </c>
      <c r="AG211" s="5" t="s">
        <v>4485</v>
      </c>
      <c r="AH211" s="5" t="s">
        <v>4489</v>
      </c>
      <c r="AI211" s="5" t="s">
        <v>3954</v>
      </c>
      <c r="AJ211" s="5" t="s">
        <v>4134</v>
      </c>
      <c r="AK211" s="5" t="s">
        <v>3956</v>
      </c>
      <c r="AL211" s="5" t="s">
        <v>3858</v>
      </c>
    </row>
    <row r="212" spans="1:38" x14ac:dyDescent="0.3">
      <c r="A212" s="4">
        <v>45716</v>
      </c>
      <c r="B212" s="5" t="s">
        <v>826</v>
      </c>
      <c r="C212" s="5" t="s">
        <v>827</v>
      </c>
      <c r="D212" s="5" t="s">
        <v>828</v>
      </c>
      <c r="E212" s="5" t="s">
        <v>4494</v>
      </c>
      <c r="G212" s="5" t="s">
        <v>39</v>
      </c>
      <c r="H212" s="5" t="s">
        <v>829</v>
      </c>
      <c r="I212" s="5" t="s">
        <v>1702</v>
      </c>
      <c r="J212" s="5" t="s">
        <v>120</v>
      </c>
      <c r="K212" s="4">
        <v>40238</v>
      </c>
      <c r="L212" s="4">
        <v>39412.041666666664</v>
      </c>
      <c r="M212" s="9">
        <f t="shared" si="27"/>
        <v>17</v>
      </c>
      <c r="N212" s="4" t="str">
        <f t="shared" si="29"/>
        <v>] 15 ; +oo [</v>
      </c>
      <c r="O212" s="5" t="s">
        <v>3786</v>
      </c>
      <c r="P212" s="5" t="s">
        <v>3783</v>
      </c>
      <c r="Q212" s="5">
        <v>1</v>
      </c>
      <c r="R212" s="5" t="str">
        <f t="shared" si="30"/>
        <v>Specialisation</v>
      </c>
      <c r="S212" s="5" t="s">
        <v>3789</v>
      </c>
      <c r="T212" s="4">
        <v>30776</v>
      </c>
      <c r="U212" s="5">
        <f t="shared" si="31"/>
        <v>1984</v>
      </c>
      <c r="V212" s="5" t="s">
        <v>3793</v>
      </c>
      <c r="W212" s="9">
        <f t="shared" si="28"/>
        <v>40</v>
      </c>
      <c r="X212" s="5" t="str">
        <f t="shared" si="32"/>
        <v>[40 - 44 ans]</v>
      </c>
      <c r="Y212" s="5" t="str">
        <f t="shared" si="33"/>
        <v xml:space="preserve"> Mellenials </v>
      </c>
      <c r="Z212" s="9">
        <f t="shared" si="34"/>
        <v>20</v>
      </c>
      <c r="AA212" s="5" t="str">
        <f t="shared" si="35"/>
        <v>RAS</v>
      </c>
      <c r="AB212" s="5" t="s">
        <v>3807</v>
      </c>
      <c r="AC212" s="6" t="s">
        <v>3799</v>
      </c>
      <c r="AE212" s="5" t="s">
        <v>3844</v>
      </c>
      <c r="AF212" s="5" t="s">
        <v>4482</v>
      </c>
      <c r="AG212" s="5" t="s">
        <v>4485</v>
      </c>
      <c r="AH212" s="5" t="s">
        <v>4489</v>
      </c>
      <c r="AI212" s="5" t="s">
        <v>4203</v>
      </c>
      <c r="AJ212" s="5" t="s">
        <v>4134</v>
      </c>
      <c r="AK212" s="5" t="s">
        <v>3917</v>
      </c>
      <c r="AL212" s="5" t="s">
        <v>3858</v>
      </c>
    </row>
    <row r="213" spans="1:38" x14ac:dyDescent="0.3">
      <c r="A213" s="4">
        <v>45716</v>
      </c>
      <c r="B213" s="5" t="s">
        <v>830</v>
      </c>
      <c r="C213" s="5" t="s">
        <v>831</v>
      </c>
      <c r="D213" s="5" t="s">
        <v>832</v>
      </c>
      <c r="E213" s="5" t="s">
        <v>4494</v>
      </c>
      <c r="G213" s="5" t="s">
        <v>554</v>
      </c>
      <c r="H213" s="5" t="s">
        <v>833</v>
      </c>
      <c r="I213" s="5" t="s">
        <v>2412</v>
      </c>
      <c r="J213" s="5" t="s">
        <v>2841</v>
      </c>
      <c r="K213" s="4">
        <v>40238</v>
      </c>
      <c r="L213" s="4">
        <v>40148</v>
      </c>
      <c r="M213" s="9">
        <f t="shared" si="27"/>
        <v>15</v>
      </c>
      <c r="N213" s="4" t="str">
        <f t="shared" si="29"/>
        <v>] 10 ; 15 ]</v>
      </c>
      <c r="O213" s="5" t="s">
        <v>3782</v>
      </c>
      <c r="P213" s="5" t="s">
        <v>3784</v>
      </c>
      <c r="Q213" s="5">
        <v>1</v>
      </c>
      <c r="R213" s="5" t="str">
        <f t="shared" si="30"/>
        <v>Management &amp; Expertise</v>
      </c>
      <c r="S213" s="5" t="s">
        <v>3789</v>
      </c>
      <c r="T213" s="4">
        <v>24686</v>
      </c>
      <c r="U213" s="5">
        <f t="shared" si="31"/>
        <v>1967</v>
      </c>
      <c r="V213" s="5" t="s">
        <v>3793</v>
      </c>
      <c r="W213" s="9">
        <f t="shared" si="28"/>
        <v>57</v>
      </c>
      <c r="X213" s="5" t="str">
        <f t="shared" si="32"/>
        <v>[50 ans, +oo [</v>
      </c>
      <c r="Y213" s="5" t="str">
        <f t="shared" si="33"/>
        <v xml:space="preserve"> Generation X </v>
      </c>
      <c r="Z213" s="9">
        <f t="shared" si="34"/>
        <v>3</v>
      </c>
      <c r="AA213" s="5" t="str">
        <f t="shared" si="35"/>
        <v>Départ à la Retraite 5ans</v>
      </c>
      <c r="AB213" s="5" t="s">
        <v>3806</v>
      </c>
      <c r="AC213" s="6" t="s">
        <v>3799</v>
      </c>
      <c r="AE213" s="5" t="s">
        <v>3846</v>
      </c>
      <c r="AF213" s="5" t="s">
        <v>4481</v>
      </c>
      <c r="AG213" s="5" t="s">
        <v>4485</v>
      </c>
      <c r="AH213" s="5" t="s">
        <v>4487</v>
      </c>
      <c r="AI213" s="5" t="s">
        <v>4119</v>
      </c>
      <c r="AJ213" s="5" t="s">
        <v>4120</v>
      </c>
      <c r="AK213" s="5" t="s">
        <v>4121</v>
      </c>
      <c r="AL213" s="5" t="s">
        <v>3858</v>
      </c>
    </row>
    <row r="214" spans="1:38" x14ac:dyDescent="0.3">
      <c r="A214" s="4">
        <v>45716</v>
      </c>
      <c r="B214" s="5" t="s">
        <v>834</v>
      </c>
      <c r="C214" s="5" t="s">
        <v>835</v>
      </c>
      <c r="D214" s="5" t="s">
        <v>836</v>
      </c>
      <c r="E214" s="5" t="s">
        <v>4494</v>
      </c>
      <c r="G214" s="5" t="s">
        <v>39</v>
      </c>
      <c r="H214" s="5" t="s">
        <v>837</v>
      </c>
      <c r="I214" s="5" t="s">
        <v>799</v>
      </c>
      <c r="J214" s="5" t="s">
        <v>1372</v>
      </c>
      <c r="K214" s="4">
        <v>40238</v>
      </c>
      <c r="L214" s="4">
        <v>37742.041666666664</v>
      </c>
      <c r="M214" s="9">
        <f t="shared" si="27"/>
        <v>21</v>
      </c>
      <c r="N214" s="4" t="str">
        <f t="shared" si="29"/>
        <v>] 15 ; +oo [</v>
      </c>
      <c r="O214" s="5" t="s">
        <v>3786</v>
      </c>
      <c r="P214" s="5" t="s">
        <v>3783</v>
      </c>
      <c r="Q214" s="5">
        <v>1</v>
      </c>
      <c r="R214" s="5" t="str">
        <f t="shared" si="30"/>
        <v>Specialisation</v>
      </c>
      <c r="S214" s="5" t="s">
        <v>3789</v>
      </c>
      <c r="T214" s="4">
        <v>27463</v>
      </c>
      <c r="U214" s="5">
        <f t="shared" si="31"/>
        <v>1975</v>
      </c>
      <c r="V214" s="5" t="s">
        <v>3793</v>
      </c>
      <c r="W214" s="9">
        <f t="shared" si="28"/>
        <v>49</v>
      </c>
      <c r="X214" s="5" t="str">
        <f t="shared" si="32"/>
        <v>[45 - 49 ans]</v>
      </c>
      <c r="Y214" s="5" t="str">
        <f t="shared" si="33"/>
        <v xml:space="preserve"> Generation X </v>
      </c>
      <c r="Z214" s="9">
        <f t="shared" si="34"/>
        <v>11</v>
      </c>
      <c r="AA214" s="5" t="str">
        <f t="shared" si="35"/>
        <v>RAS</v>
      </c>
      <c r="AB214" s="5" t="s">
        <v>3805</v>
      </c>
      <c r="AC214" s="6" t="s">
        <v>3799</v>
      </c>
      <c r="AE214" s="5" t="s">
        <v>3844</v>
      </c>
      <c r="AF214" s="5" t="s">
        <v>4482</v>
      </c>
      <c r="AG214" s="5" t="s">
        <v>4485</v>
      </c>
      <c r="AH214" s="5" t="s">
        <v>4489</v>
      </c>
      <c r="AI214" s="5" t="s">
        <v>4199</v>
      </c>
      <c r="AJ214" s="5" t="s">
        <v>4134</v>
      </c>
      <c r="AK214" s="5" t="s">
        <v>4200</v>
      </c>
      <c r="AL214" s="5" t="s">
        <v>3858</v>
      </c>
    </row>
    <row r="215" spans="1:38" x14ac:dyDescent="0.3">
      <c r="A215" s="4">
        <v>45716</v>
      </c>
      <c r="B215" s="5" t="s">
        <v>838</v>
      </c>
      <c r="C215" s="5" t="s">
        <v>839</v>
      </c>
      <c r="D215" s="5" t="s">
        <v>840</v>
      </c>
      <c r="E215" s="5" t="s">
        <v>4494</v>
      </c>
      <c r="G215" s="5" t="s">
        <v>178</v>
      </c>
      <c r="H215" s="5" t="s">
        <v>841</v>
      </c>
      <c r="I215" s="5" t="s">
        <v>1810</v>
      </c>
      <c r="J215" s="5" t="s">
        <v>435</v>
      </c>
      <c r="K215" s="4">
        <v>40238</v>
      </c>
      <c r="L215" s="4">
        <v>39041</v>
      </c>
      <c r="M215" s="9">
        <f t="shared" si="27"/>
        <v>18</v>
      </c>
      <c r="N215" s="4" t="str">
        <f t="shared" si="29"/>
        <v>] 15 ; +oo [</v>
      </c>
      <c r="O215" s="5" t="s">
        <v>3785</v>
      </c>
      <c r="P215" s="5" t="s">
        <v>3785</v>
      </c>
      <c r="Q215" s="5">
        <v>2</v>
      </c>
      <c r="R215" s="5" t="str">
        <f t="shared" si="30"/>
        <v>Specialisation</v>
      </c>
      <c r="S215" s="5" t="s">
        <v>3789</v>
      </c>
      <c r="T215" s="4">
        <v>29912</v>
      </c>
      <c r="U215" s="5">
        <f t="shared" si="31"/>
        <v>1981</v>
      </c>
      <c r="V215" s="5" t="s">
        <v>3793</v>
      </c>
      <c r="W215" s="9">
        <f t="shared" si="28"/>
        <v>43</v>
      </c>
      <c r="X215" s="5" t="str">
        <f t="shared" si="32"/>
        <v>[40 - 44 ans]</v>
      </c>
      <c r="Y215" s="5" t="str">
        <f t="shared" si="33"/>
        <v xml:space="preserve"> Mellenials </v>
      </c>
      <c r="Z215" s="9">
        <f t="shared" si="34"/>
        <v>17</v>
      </c>
      <c r="AA215" s="5" t="str">
        <f t="shared" si="35"/>
        <v>RAS</v>
      </c>
      <c r="AB215" s="5" t="s">
        <v>3806</v>
      </c>
      <c r="AC215" s="6" t="s">
        <v>3799</v>
      </c>
      <c r="AE215" s="5" t="s">
        <v>3844</v>
      </c>
      <c r="AF215" s="5" t="s">
        <v>4481</v>
      </c>
      <c r="AG215" s="5" t="s">
        <v>4485</v>
      </c>
      <c r="AH215" s="5" t="s">
        <v>4488</v>
      </c>
      <c r="AI215" s="5" t="s">
        <v>4204</v>
      </c>
      <c r="AJ215" s="5" t="s">
        <v>4134</v>
      </c>
      <c r="AK215" s="5" t="s">
        <v>3962</v>
      </c>
      <c r="AL215" s="5" t="s">
        <v>3858</v>
      </c>
    </row>
    <row r="216" spans="1:38" x14ac:dyDescent="0.3">
      <c r="A216" s="4">
        <v>45716</v>
      </c>
      <c r="B216" s="5" t="s">
        <v>842</v>
      </c>
      <c r="C216" s="5" t="s">
        <v>843</v>
      </c>
      <c r="D216" s="5" t="s">
        <v>844</v>
      </c>
      <c r="E216" s="5" t="s">
        <v>4494</v>
      </c>
      <c r="G216" s="5" t="s">
        <v>137</v>
      </c>
      <c r="H216" s="5" t="s">
        <v>845</v>
      </c>
      <c r="I216" s="5" t="s">
        <v>1486</v>
      </c>
      <c r="J216" s="5" t="s">
        <v>1346</v>
      </c>
      <c r="K216" s="4">
        <v>40245</v>
      </c>
      <c r="L216" s="4">
        <v>40245</v>
      </c>
      <c r="M216" s="9">
        <f t="shared" si="27"/>
        <v>14</v>
      </c>
      <c r="N216" s="4" t="str">
        <f t="shared" si="29"/>
        <v>] 10 ; 15 ]</v>
      </c>
      <c r="O216" s="5" t="s">
        <v>3788</v>
      </c>
      <c r="P216" s="5" t="s">
        <v>3788</v>
      </c>
      <c r="Q216" s="5">
        <v>3</v>
      </c>
      <c r="R216" s="5" t="str">
        <f t="shared" si="30"/>
        <v>Qualification</v>
      </c>
      <c r="S216" s="5" t="s">
        <v>3790</v>
      </c>
      <c r="T216" s="4">
        <v>30338</v>
      </c>
      <c r="U216" s="5">
        <f t="shared" si="31"/>
        <v>1983</v>
      </c>
      <c r="V216" s="5" t="s">
        <v>3793</v>
      </c>
      <c r="W216" s="9">
        <f t="shared" si="28"/>
        <v>42</v>
      </c>
      <c r="X216" s="5" t="str">
        <f t="shared" si="32"/>
        <v>[40 - 44 ans]</v>
      </c>
      <c r="Y216" s="5" t="str">
        <f t="shared" si="33"/>
        <v xml:space="preserve"> Mellenials </v>
      </c>
      <c r="Z216" s="9">
        <f t="shared" si="34"/>
        <v>18</v>
      </c>
      <c r="AA216" s="5" t="str">
        <f t="shared" si="35"/>
        <v>RAS</v>
      </c>
      <c r="AB216" s="5" t="s">
        <v>3806</v>
      </c>
      <c r="AC216" s="6" t="s">
        <v>3799</v>
      </c>
      <c r="AE216" s="5" t="s">
        <v>3844</v>
      </c>
      <c r="AF216" s="5" t="s">
        <v>4482</v>
      </c>
      <c r="AG216" s="5" t="s">
        <v>4485</v>
      </c>
      <c r="AH216" s="5" t="s">
        <v>4487</v>
      </c>
      <c r="AI216" s="5" t="s">
        <v>4205</v>
      </c>
      <c r="AJ216" s="5" t="s">
        <v>4134</v>
      </c>
      <c r="AK216" s="5" t="s">
        <v>3925</v>
      </c>
      <c r="AL216" s="5" t="s">
        <v>3858</v>
      </c>
    </row>
    <row r="217" spans="1:38" x14ac:dyDescent="0.3">
      <c r="A217" s="4">
        <v>45716</v>
      </c>
      <c r="B217" s="5" t="s">
        <v>846</v>
      </c>
      <c r="C217" s="5" t="s">
        <v>847</v>
      </c>
      <c r="D217" s="5" t="s">
        <v>848</v>
      </c>
      <c r="E217" s="5" t="s">
        <v>4494</v>
      </c>
      <c r="G217" s="5" t="s">
        <v>137</v>
      </c>
      <c r="H217" s="5" t="s">
        <v>440</v>
      </c>
      <c r="I217" s="5" t="s">
        <v>290</v>
      </c>
      <c r="J217" s="5" t="s">
        <v>1346</v>
      </c>
      <c r="K217" s="4">
        <v>40245</v>
      </c>
      <c r="L217" s="4">
        <v>40245</v>
      </c>
      <c r="M217" s="9">
        <f t="shared" si="27"/>
        <v>14</v>
      </c>
      <c r="N217" s="4" t="str">
        <f t="shared" si="29"/>
        <v>] 10 ; 15 ]</v>
      </c>
      <c r="O217" s="5" t="s">
        <v>3787</v>
      </c>
      <c r="P217" s="5" t="s">
        <v>3788</v>
      </c>
      <c r="Q217" s="5">
        <v>1</v>
      </c>
      <c r="R217" s="5" t="str">
        <f t="shared" si="30"/>
        <v>Qualification</v>
      </c>
      <c r="S217" s="5" t="s">
        <v>3789</v>
      </c>
      <c r="T217" s="4">
        <v>28649</v>
      </c>
      <c r="U217" s="5">
        <f t="shared" si="31"/>
        <v>1978</v>
      </c>
      <c r="V217" s="5" t="s">
        <v>3793</v>
      </c>
      <c r="W217" s="9">
        <f t="shared" si="28"/>
        <v>46</v>
      </c>
      <c r="X217" s="5" t="str">
        <f t="shared" si="32"/>
        <v>[45 - 49 ans]</v>
      </c>
      <c r="Y217" s="5" t="str">
        <f t="shared" si="33"/>
        <v xml:space="preserve"> Generation X </v>
      </c>
      <c r="Z217" s="9">
        <f t="shared" si="34"/>
        <v>14</v>
      </c>
      <c r="AA217" s="5" t="str">
        <f t="shared" si="35"/>
        <v>RAS</v>
      </c>
      <c r="AB217" s="5" t="s">
        <v>3812</v>
      </c>
      <c r="AC217" s="6" t="s">
        <v>3799</v>
      </c>
      <c r="AE217" s="5" t="s">
        <v>3844</v>
      </c>
      <c r="AF217" s="5" t="s">
        <v>4482</v>
      </c>
      <c r="AG217" s="5" t="s">
        <v>4485</v>
      </c>
      <c r="AH217" s="5" t="s">
        <v>4487</v>
      </c>
      <c r="AI217" s="5" t="s">
        <v>4064</v>
      </c>
      <c r="AJ217" s="5" t="s">
        <v>4134</v>
      </c>
      <c r="AK217" s="5" t="s">
        <v>4066</v>
      </c>
      <c r="AL217" s="5" t="s">
        <v>3858</v>
      </c>
    </row>
    <row r="218" spans="1:38" x14ac:dyDescent="0.3">
      <c r="A218" s="4">
        <v>45716</v>
      </c>
      <c r="B218" s="5" t="s">
        <v>849</v>
      </c>
      <c r="C218" s="5" t="s">
        <v>850</v>
      </c>
      <c r="D218" s="5" t="s">
        <v>851</v>
      </c>
      <c r="E218" s="5" t="s">
        <v>4494</v>
      </c>
      <c r="G218" s="5" t="s">
        <v>137</v>
      </c>
      <c r="H218" s="5" t="s">
        <v>852</v>
      </c>
      <c r="I218" s="5" t="s">
        <v>855</v>
      </c>
      <c r="J218" s="5" t="s">
        <v>290</v>
      </c>
      <c r="K218" s="4">
        <v>40245</v>
      </c>
      <c r="L218" s="4">
        <v>39252</v>
      </c>
      <c r="M218" s="9">
        <f t="shared" si="27"/>
        <v>17</v>
      </c>
      <c r="N218" s="4" t="str">
        <f t="shared" si="29"/>
        <v>] 15 ; +oo [</v>
      </c>
      <c r="O218" s="5" t="s">
        <v>3781</v>
      </c>
      <c r="P218" s="5" t="s">
        <v>3787</v>
      </c>
      <c r="Q218" s="5">
        <v>1</v>
      </c>
      <c r="R218" s="5" t="str">
        <f t="shared" si="30"/>
        <v>Qualification</v>
      </c>
      <c r="S218" s="5" t="s">
        <v>3789</v>
      </c>
      <c r="T218" s="4">
        <v>25823</v>
      </c>
      <c r="U218" s="5">
        <f t="shared" si="31"/>
        <v>1970</v>
      </c>
      <c r="V218" s="5" t="s">
        <v>3793</v>
      </c>
      <c r="W218" s="9">
        <f t="shared" si="28"/>
        <v>54</v>
      </c>
      <c r="X218" s="5" t="str">
        <f t="shared" si="32"/>
        <v>[50 ans, +oo [</v>
      </c>
      <c r="Y218" s="5" t="str">
        <f t="shared" si="33"/>
        <v xml:space="preserve"> Generation X </v>
      </c>
      <c r="Z218" s="9">
        <f t="shared" si="34"/>
        <v>6</v>
      </c>
      <c r="AA218" s="5" t="str">
        <f t="shared" si="35"/>
        <v>RAS</v>
      </c>
      <c r="AB218" s="5" t="s">
        <v>3812</v>
      </c>
      <c r="AC218" s="6" t="s">
        <v>3799</v>
      </c>
      <c r="AE218" s="5" t="s">
        <v>3844</v>
      </c>
      <c r="AF218" s="5" t="s">
        <v>4482</v>
      </c>
      <c r="AG218" s="5" t="s">
        <v>4485</v>
      </c>
      <c r="AH218" s="5" t="s">
        <v>4487</v>
      </c>
      <c r="AI218" s="5" t="s">
        <v>4206</v>
      </c>
      <c r="AJ218" s="5" t="s">
        <v>4134</v>
      </c>
      <c r="AK218" s="5" t="s">
        <v>4066</v>
      </c>
      <c r="AL218" s="5" t="s">
        <v>3858</v>
      </c>
    </row>
    <row r="219" spans="1:38" x14ac:dyDescent="0.3">
      <c r="A219" s="4">
        <v>45716</v>
      </c>
      <c r="B219" s="5" t="s">
        <v>853</v>
      </c>
      <c r="C219" s="5" t="s">
        <v>854</v>
      </c>
      <c r="D219" s="5" t="s">
        <v>855</v>
      </c>
      <c r="E219" s="5" t="s">
        <v>4494</v>
      </c>
      <c r="G219" s="5" t="s">
        <v>137</v>
      </c>
      <c r="H219" s="5" t="s">
        <v>856</v>
      </c>
      <c r="I219" s="5" t="s">
        <v>290</v>
      </c>
      <c r="J219" s="5" t="s">
        <v>1346</v>
      </c>
      <c r="K219" s="4">
        <v>40245</v>
      </c>
      <c r="L219" s="4">
        <v>40245</v>
      </c>
      <c r="M219" s="9">
        <f t="shared" si="27"/>
        <v>14</v>
      </c>
      <c r="N219" s="4" t="str">
        <f t="shared" si="29"/>
        <v>] 10 ; 15 ]</v>
      </c>
      <c r="O219" s="5" t="s">
        <v>3783</v>
      </c>
      <c r="P219" s="5" t="s">
        <v>3785</v>
      </c>
      <c r="Q219" s="5">
        <v>1</v>
      </c>
      <c r="R219" s="5" t="str">
        <f t="shared" si="30"/>
        <v>Specialisation</v>
      </c>
      <c r="S219" s="5" t="s">
        <v>3789</v>
      </c>
      <c r="T219" s="4">
        <v>28616</v>
      </c>
      <c r="U219" s="5">
        <f t="shared" si="31"/>
        <v>1978</v>
      </c>
      <c r="V219" s="5" t="s">
        <v>3793</v>
      </c>
      <c r="W219" s="9">
        <f t="shared" si="28"/>
        <v>46</v>
      </c>
      <c r="X219" s="5" t="str">
        <f t="shared" si="32"/>
        <v>[45 - 49 ans]</v>
      </c>
      <c r="Y219" s="5" t="str">
        <f t="shared" si="33"/>
        <v xml:space="preserve"> Generation X </v>
      </c>
      <c r="Z219" s="9">
        <f t="shared" si="34"/>
        <v>14</v>
      </c>
      <c r="AA219" s="5" t="str">
        <f t="shared" si="35"/>
        <v>RAS</v>
      </c>
      <c r="AB219" s="5" t="s">
        <v>3812</v>
      </c>
      <c r="AC219" s="6" t="s">
        <v>3799</v>
      </c>
      <c r="AE219" s="5" t="s">
        <v>3845</v>
      </c>
      <c r="AF219" s="5" t="s">
        <v>4482</v>
      </c>
      <c r="AG219" s="5" t="s">
        <v>4485</v>
      </c>
      <c r="AH219" s="5" t="s">
        <v>4487</v>
      </c>
      <c r="AI219" s="5" t="s">
        <v>4206</v>
      </c>
      <c r="AJ219" s="5" t="s">
        <v>4134</v>
      </c>
      <c r="AK219" s="5" t="s">
        <v>4066</v>
      </c>
      <c r="AL219" s="5" t="s">
        <v>3854</v>
      </c>
    </row>
    <row r="220" spans="1:38" x14ac:dyDescent="0.3">
      <c r="A220" s="4">
        <v>45716</v>
      </c>
      <c r="B220" s="5" t="s">
        <v>857</v>
      </c>
      <c r="C220" s="5" t="s">
        <v>858</v>
      </c>
      <c r="D220" s="5" t="s">
        <v>859</v>
      </c>
      <c r="E220" s="5" t="s">
        <v>4494</v>
      </c>
      <c r="G220" s="5" t="s">
        <v>137</v>
      </c>
      <c r="H220" s="5" t="s">
        <v>860</v>
      </c>
      <c r="I220" s="5" t="s">
        <v>562</v>
      </c>
      <c r="J220" s="5" t="s">
        <v>1346</v>
      </c>
      <c r="K220" s="4">
        <v>40245</v>
      </c>
      <c r="L220" s="4">
        <v>40057</v>
      </c>
      <c r="M220" s="9">
        <f t="shared" si="27"/>
        <v>15</v>
      </c>
      <c r="N220" s="4" t="str">
        <f t="shared" si="29"/>
        <v>] 10 ; 15 ]</v>
      </c>
      <c r="O220" s="5" t="s">
        <v>3787</v>
      </c>
      <c r="P220" s="5" t="s">
        <v>3788</v>
      </c>
      <c r="Q220" s="5">
        <v>1</v>
      </c>
      <c r="R220" s="5" t="str">
        <f t="shared" si="30"/>
        <v>Qualification</v>
      </c>
      <c r="S220" s="5" t="s">
        <v>3790</v>
      </c>
      <c r="T220" s="4">
        <v>29779</v>
      </c>
      <c r="U220" s="5">
        <f t="shared" si="31"/>
        <v>1981</v>
      </c>
      <c r="V220" s="5" t="s">
        <v>3792</v>
      </c>
      <c r="W220" s="9">
        <f t="shared" si="28"/>
        <v>43</v>
      </c>
      <c r="X220" s="5" t="str">
        <f t="shared" si="32"/>
        <v>[40 - 44 ans]</v>
      </c>
      <c r="Y220" s="5" t="str">
        <f t="shared" si="33"/>
        <v xml:space="preserve"> Mellenials </v>
      </c>
      <c r="Z220" s="9">
        <f t="shared" si="34"/>
        <v>17</v>
      </c>
      <c r="AA220" s="5" t="str">
        <f t="shared" si="35"/>
        <v>RAS</v>
      </c>
      <c r="AB220" s="5" t="s">
        <v>3806</v>
      </c>
      <c r="AC220" s="6" t="s">
        <v>3799</v>
      </c>
      <c r="AE220" s="5" t="s">
        <v>3844</v>
      </c>
      <c r="AF220" s="5" t="s">
        <v>4482</v>
      </c>
      <c r="AG220" s="5" t="s">
        <v>4485</v>
      </c>
      <c r="AH220" s="5" t="s">
        <v>4487</v>
      </c>
      <c r="AI220" s="5" t="s">
        <v>4125</v>
      </c>
      <c r="AJ220" s="5" t="s">
        <v>4134</v>
      </c>
      <c r="AK220" s="5" t="s">
        <v>4127</v>
      </c>
      <c r="AL220" s="5" t="s">
        <v>3858</v>
      </c>
    </row>
    <row r="221" spans="1:38" x14ac:dyDescent="0.3">
      <c r="A221" s="4">
        <v>45716</v>
      </c>
      <c r="B221" s="5" t="s">
        <v>861</v>
      </c>
      <c r="C221" s="5" t="s">
        <v>862</v>
      </c>
      <c r="D221" s="5" t="s">
        <v>863</v>
      </c>
      <c r="E221" s="5" t="s">
        <v>4494</v>
      </c>
      <c r="G221" s="5" t="s">
        <v>44</v>
      </c>
      <c r="H221" s="5" t="s">
        <v>864</v>
      </c>
      <c r="I221" s="5" t="s">
        <v>217</v>
      </c>
      <c r="J221" s="5" t="s">
        <v>2337</v>
      </c>
      <c r="K221" s="4">
        <v>40245</v>
      </c>
      <c r="L221" s="4">
        <v>37803</v>
      </c>
      <c r="M221" s="9">
        <f t="shared" si="27"/>
        <v>21</v>
      </c>
      <c r="N221" s="4" t="str">
        <f t="shared" si="29"/>
        <v>] 15 ; +oo [</v>
      </c>
      <c r="O221" s="5" t="s">
        <v>3781</v>
      </c>
      <c r="P221" s="5" t="s">
        <v>3781</v>
      </c>
      <c r="Q221" s="5">
        <v>3</v>
      </c>
      <c r="R221" s="5" t="str">
        <f t="shared" si="30"/>
        <v>Qualification</v>
      </c>
      <c r="S221" s="5" t="s">
        <v>3790</v>
      </c>
      <c r="T221" s="4">
        <v>28113</v>
      </c>
      <c r="U221" s="5">
        <f t="shared" si="31"/>
        <v>1976</v>
      </c>
      <c r="V221" s="5" t="s">
        <v>3794</v>
      </c>
      <c r="W221" s="9">
        <f t="shared" si="28"/>
        <v>48</v>
      </c>
      <c r="X221" s="5" t="str">
        <f t="shared" si="32"/>
        <v>[45 - 49 ans]</v>
      </c>
      <c r="Y221" s="5" t="str">
        <f t="shared" si="33"/>
        <v xml:space="preserve"> Generation X </v>
      </c>
      <c r="Z221" s="9">
        <f t="shared" si="34"/>
        <v>12</v>
      </c>
      <c r="AA221" s="5" t="str">
        <f t="shared" si="35"/>
        <v>RAS</v>
      </c>
      <c r="AB221" s="5" t="s">
        <v>3806</v>
      </c>
      <c r="AC221" s="6" t="s">
        <v>3799</v>
      </c>
      <c r="AE221" s="5" t="s">
        <v>3844</v>
      </c>
      <c r="AF221" s="5" t="s">
        <v>4482</v>
      </c>
      <c r="AG221" s="5" t="s">
        <v>4485</v>
      </c>
      <c r="AH221" s="5" t="s">
        <v>4487</v>
      </c>
      <c r="AI221" s="5" t="s">
        <v>3963</v>
      </c>
      <c r="AJ221" s="5" t="s">
        <v>3964</v>
      </c>
      <c r="AK221" s="5" t="s">
        <v>3867</v>
      </c>
      <c r="AL221" s="5" t="s">
        <v>3858</v>
      </c>
    </row>
    <row r="222" spans="1:38" x14ac:dyDescent="0.3">
      <c r="A222" s="4">
        <v>45716</v>
      </c>
      <c r="B222" s="5" t="s">
        <v>865</v>
      </c>
      <c r="C222" s="5" t="s">
        <v>866</v>
      </c>
      <c r="D222" s="5" t="s">
        <v>867</v>
      </c>
      <c r="E222" s="5" t="s">
        <v>4494</v>
      </c>
      <c r="G222" s="5" t="s">
        <v>137</v>
      </c>
      <c r="H222" s="5" t="s">
        <v>868</v>
      </c>
      <c r="I222" s="5" t="s">
        <v>161</v>
      </c>
      <c r="J222" s="5" t="s">
        <v>381</v>
      </c>
      <c r="K222" s="4">
        <v>40245</v>
      </c>
      <c r="L222" s="4">
        <v>38895.041666666664</v>
      </c>
      <c r="M222" s="9">
        <f t="shared" si="27"/>
        <v>18</v>
      </c>
      <c r="N222" s="4" t="str">
        <f t="shared" si="29"/>
        <v>] 15 ; +oo [</v>
      </c>
      <c r="O222" s="5" t="s">
        <v>3786</v>
      </c>
      <c r="P222" s="5" t="s">
        <v>3786</v>
      </c>
      <c r="Q222" s="5">
        <v>1</v>
      </c>
      <c r="R222" s="5" t="str">
        <f t="shared" si="30"/>
        <v>Specialisation</v>
      </c>
      <c r="S222" s="5" t="s">
        <v>3790</v>
      </c>
      <c r="T222" s="4">
        <v>30012</v>
      </c>
      <c r="U222" s="5">
        <f t="shared" si="31"/>
        <v>1982</v>
      </c>
      <c r="V222" s="5" t="s">
        <v>3793</v>
      </c>
      <c r="W222" s="9">
        <f t="shared" si="28"/>
        <v>42</v>
      </c>
      <c r="X222" s="5" t="str">
        <f t="shared" si="32"/>
        <v>[40 - 44 ans]</v>
      </c>
      <c r="Y222" s="5" t="str">
        <f t="shared" si="33"/>
        <v xml:space="preserve"> Mellenials </v>
      </c>
      <c r="Z222" s="9">
        <f t="shared" si="34"/>
        <v>18</v>
      </c>
      <c r="AA222" s="5" t="str">
        <f t="shared" si="35"/>
        <v>RAS</v>
      </c>
      <c r="AB222" s="5" t="s">
        <v>3806</v>
      </c>
      <c r="AC222" s="6" t="s">
        <v>3799</v>
      </c>
      <c r="AE222" s="5" t="s">
        <v>3844</v>
      </c>
      <c r="AF222" s="5" t="s">
        <v>4482</v>
      </c>
      <c r="AG222" s="5" t="s">
        <v>4485</v>
      </c>
      <c r="AH222" s="5" t="s">
        <v>4487</v>
      </c>
      <c r="AI222" s="5" t="s">
        <v>3938</v>
      </c>
      <c r="AJ222" s="5" t="s">
        <v>4134</v>
      </c>
      <c r="AK222" s="5" t="s">
        <v>3940</v>
      </c>
      <c r="AL222" s="5" t="s">
        <v>3858</v>
      </c>
    </row>
    <row r="223" spans="1:38" x14ac:dyDescent="0.3">
      <c r="A223" s="4">
        <v>45716</v>
      </c>
      <c r="B223" s="5" t="s">
        <v>869</v>
      </c>
      <c r="C223" s="5" t="s">
        <v>870</v>
      </c>
      <c r="D223" s="5" t="s">
        <v>871</v>
      </c>
      <c r="E223" s="5" t="s">
        <v>4494</v>
      </c>
      <c r="G223" s="5" t="s">
        <v>137</v>
      </c>
      <c r="H223" s="5" t="s">
        <v>872</v>
      </c>
      <c r="I223" s="5" t="s">
        <v>1346</v>
      </c>
      <c r="J223" s="5" t="s">
        <v>2841</v>
      </c>
      <c r="K223" s="4">
        <v>40245</v>
      </c>
      <c r="L223" s="4">
        <v>37803</v>
      </c>
      <c r="M223" s="9">
        <f t="shared" si="27"/>
        <v>21</v>
      </c>
      <c r="N223" s="4" t="str">
        <f t="shared" si="29"/>
        <v>] 15 ; +oo [</v>
      </c>
      <c r="O223" s="5" t="s">
        <v>3782</v>
      </c>
      <c r="P223" s="5" t="s">
        <v>3782</v>
      </c>
      <c r="Q223" s="5">
        <v>2</v>
      </c>
      <c r="R223" s="5" t="str">
        <f t="shared" si="30"/>
        <v>Management &amp; Expertise</v>
      </c>
      <c r="S223" s="5" t="s">
        <v>3789</v>
      </c>
      <c r="T223" s="4">
        <v>26580</v>
      </c>
      <c r="U223" s="5">
        <f t="shared" si="31"/>
        <v>1972</v>
      </c>
      <c r="V223" s="5" t="s">
        <v>3793</v>
      </c>
      <c r="W223" s="9">
        <f t="shared" si="28"/>
        <v>52</v>
      </c>
      <c r="X223" s="5" t="str">
        <f t="shared" si="32"/>
        <v>[50 ans, +oo [</v>
      </c>
      <c r="Y223" s="5" t="str">
        <f t="shared" si="33"/>
        <v xml:space="preserve"> Generation X </v>
      </c>
      <c r="Z223" s="9">
        <f t="shared" si="34"/>
        <v>8</v>
      </c>
      <c r="AA223" s="5" t="str">
        <f t="shared" si="35"/>
        <v>RAS</v>
      </c>
      <c r="AB223" s="5" t="s">
        <v>3806</v>
      </c>
      <c r="AC223" s="6" t="s">
        <v>3799</v>
      </c>
      <c r="AE223" s="5" t="s">
        <v>3845</v>
      </c>
      <c r="AF223" s="5" t="s">
        <v>4481</v>
      </c>
      <c r="AG223" s="5" t="s">
        <v>4485</v>
      </c>
      <c r="AH223" s="5" t="s">
        <v>4487</v>
      </c>
      <c r="AI223" s="5" t="s">
        <v>4207</v>
      </c>
      <c r="AJ223" s="5" t="s">
        <v>4134</v>
      </c>
      <c r="AK223" s="5" t="s">
        <v>4208</v>
      </c>
      <c r="AL223" s="5" t="s">
        <v>3854</v>
      </c>
    </row>
    <row r="224" spans="1:38" x14ac:dyDescent="0.3">
      <c r="A224" s="4">
        <v>45716</v>
      </c>
      <c r="B224" s="5" t="s">
        <v>873</v>
      </c>
      <c r="C224" s="5" t="s">
        <v>874</v>
      </c>
      <c r="D224" s="5" t="s">
        <v>875</v>
      </c>
      <c r="E224" s="5" t="s">
        <v>4494</v>
      </c>
      <c r="G224" s="5" t="s">
        <v>178</v>
      </c>
      <c r="H224" s="5" t="s">
        <v>876</v>
      </c>
      <c r="I224" s="5" t="s">
        <v>982</v>
      </c>
      <c r="J224" s="5" t="s">
        <v>435</v>
      </c>
      <c r="K224" s="4">
        <v>40245</v>
      </c>
      <c r="L224" s="4">
        <v>40245</v>
      </c>
      <c r="M224" s="9">
        <f t="shared" si="27"/>
        <v>14</v>
      </c>
      <c r="N224" s="4" t="str">
        <f t="shared" si="29"/>
        <v>] 10 ; 15 ]</v>
      </c>
      <c r="O224" s="5" t="s">
        <v>3783</v>
      </c>
      <c r="P224" s="5" t="s">
        <v>3783</v>
      </c>
      <c r="Q224" s="5">
        <v>2</v>
      </c>
      <c r="R224" s="5" t="str">
        <f t="shared" si="30"/>
        <v>Specialisation</v>
      </c>
      <c r="S224" s="5" t="s">
        <v>3790</v>
      </c>
      <c r="T224" s="4">
        <v>29629</v>
      </c>
      <c r="U224" s="5">
        <f t="shared" si="31"/>
        <v>1981</v>
      </c>
      <c r="V224" s="5" t="s">
        <v>3792</v>
      </c>
      <c r="W224" s="9">
        <f t="shared" si="28"/>
        <v>44</v>
      </c>
      <c r="X224" s="5" t="str">
        <f t="shared" si="32"/>
        <v>[40 - 44 ans]</v>
      </c>
      <c r="Y224" s="5" t="str">
        <f t="shared" si="33"/>
        <v xml:space="preserve"> Mellenials </v>
      </c>
      <c r="Z224" s="9">
        <f t="shared" si="34"/>
        <v>16</v>
      </c>
      <c r="AA224" s="5" t="str">
        <f t="shared" si="35"/>
        <v>RAS</v>
      </c>
      <c r="AB224" s="5" t="s">
        <v>3806</v>
      </c>
      <c r="AC224" s="6" t="s">
        <v>3799</v>
      </c>
      <c r="AE224" s="5" t="s">
        <v>3844</v>
      </c>
      <c r="AF224" s="5" t="s">
        <v>4482</v>
      </c>
      <c r="AG224" s="5" t="s">
        <v>4485</v>
      </c>
      <c r="AH224" s="5" t="s">
        <v>4488</v>
      </c>
      <c r="AI224" s="5" t="s">
        <v>4209</v>
      </c>
      <c r="AJ224" s="5" t="s">
        <v>4134</v>
      </c>
      <c r="AK224" s="5" t="s">
        <v>3962</v>
      </c>
      <c r="AL224" s="5" t="s">
        <v>3858</v>
      </c>
    </row>
    <row r="225" spans="1:38" x14ac:dyDescent="0.3">
      <c r="A225" s="4">
        <v>45716</v>
      </c>
      <c r="B225" s="5" t="s">
        <v>877</v>
      </c>
      <c r="C225" s="5" t="s">
        <v>878</v>
      </c>
      <c r="D225" s="5" t="s">
        <v>879</v>
      </c>
      <c r="E225" s="5" t="s">
        <v>4494</v>
      </c>
      <c r="G225" s="5" t="s">
        <v>88</v>
      </c>
      <c r="H225" s="5" t="s">
        <v>880</v>
      </c>
      <c r="I225" s="5" t="s">
        <v>182</v>
      </c>
      <c r="J225" s="5" t="s">
        <v>1857</v>
      </c>
      <c r="K225" s="4">
        <v>40245</v>
      </c>
      <c r="L225" s="4">
        <v>40245</v>
      </c>
      <c r="M225" s="9">
        <f t="shared" si="27"/>
        <v>14</v>
      </c>
      <c r="N225" s="4" t="str">
        <f t="shared" si="29"/>
        <v>] 10 ; 15 ]</v>
      </c>
      <c r="O225" s="5" t="s">
        <v>3784</v>
      </c>
      <c r="P225" s="5" t="s">
        <v>3784</v>
      </c>
      <c r="Q225" s="5">
        <v>2</v>
      </c>
      <c r="R225" s="5" t="str">
        <f t="shared" si="30"/>
        <v>Management &amp; Expertise</v>
      </c>
      <c r="S225" s="5" t="s">
        <v>3789</v>
      </c>
      <c r="T225" s="4">
        <v>26989</v>
      </c>
      <c r="U225" s="5">
        <f t="shared" si="31"/>
        <v>1973</v>
      </c>
      <c r="V225" s="5" t="s">
        <v>3793</v>
      </c>
      <c r="W225" s="9">
        <f t="shared" si="28"/>
        <v>51</v>
      </c>
      <c r="X225" s="5" t="str">
        <f t="shared" si="32"/>
        <v>[50 ans, +oo [</v>
      </c>
      <c r="Y225" s="5" t="str">
        <f t="shared" si="33"/>
        <v xml:space="preserve"> Generation X </v>
      </c>
      <c r="Z225" s="9">
        <f t="shared" si="34"/>
        <v>9</v>
      </c>
      <c r="AA225" s="5" t="str">
        <f t="shared" si="35"/>
        <v>RAS</v>
      </c>
      <c r="AB225" s="5" t="s">
        <v>3806</v>
      </c>
      <c r="AC225" s="6" t="s">
        <v>3799</v>
      </c>
      <c r="AE225" s="5" t="s">
        <v>3845</v>
      </c>
      <c r="AF225" s="5" t="s">
        <v>4481</v>
      </c>
      <c r="AG225" s="5" t="s">
        <v>4485</v>
      </c>
      <c r="AH225" s="5" t="s">
        <v>4488</v>
      </c>
      <c r="AI225" s="5" t="s">
        <v>4210</v>
      </c>
      <c r="AJ225" s="5" t="s">
        <v>4134</v>
      </c>
      <c r="AK225" s="5" t="s">
        <v>4211</v>
      </c>
      <c r="AL225" s="5" t="s">
        <v>3854</v>
      </c>
    </row>
    <row r="226" spans="1:38" x14ac:dyDescent="0.3">
      <c r="A226" s="4">
        <v>45716</v>
      </c>
      <c r="B226" s="5" t="s">
        <v>881</v>
      </c>
      <c r="C226" s="5" t="s">
        <v>882</v>
      </c>
      <c r="D226" s="5" t="s">
        <v>883</v>
      </c>
      <c r="E226" s="5" t="s">
        <v>4494</v>
      </c>
      <c r="G226" s="5" t="s">
        <v>88</v>
      </c>
      <c r="H226" s="5" t="s">
        <v>884</v>
      </c>
      <c r="I226" s="5" t="s">
        <v>182</v>
      </c>
      <c r="J226" s="5" t="s">
        <v>1857</v>
      </c>
      <c r="K226" s="4">
        <v>40245</v>
      </c>
      <c r="L226" s="4">
        <v>40245</v>
      </c>
      <c r="M226" s="9">
        <f t="shared" si="27"/>
        <v>14</v>
      </c>
      <c r="N226" s="4" t="str">
        <f t="shared" si="29"/>
        <v>] 10 ; 15 ]</v>
      </c>
      <c r="O226" s="5" t="s">
        <v>3784</v>
      </c>
      <c r="P226" s="5" t="s">
        <v>3784</v>
      </c>
      <c r="Q226" s="5">
        <v>1</v>
      </c>
      <c r="R226" s="5" t="str">
        <f t="shared" si="30"/>
        <v>Management &amp; Expertise</v>
      </c>
      <c r="S226" s="5" t="s">
        <v>3789</v>
      </c>
      <c r="T226" s="4">
        <v>29427</v>
      </c>
      <c r="U226" s="5">
        <f t="shared" si="31"/>
        <v>1980</v>
      </c>
      <c r="V226" s="5" t="s">
        <v>3793</v>
      </c>
      <c r="W226" s="9">
        <f t="shared" si="28"/>
        <v>44</v>
      </c>
      <c r="X226" s="5" t="str">
        <f t="shared" si="32"/>
        <v>[40 - 44 ans]</v>
      </c>
      <c r="Y226" s="5" t="str">
        <f t="shared" si="33"/>
        <v xml:space="preserve"> Generation X </v>
      </c>
      <c r="Z226" s="9">
        <f t="shared" si="34"/>
        <v>16</v>
      </c>
      <c r="AA226" s="5" t="str">
        <f t="shared" si="35"/>
        <v>RAS</v>
      </c>
      <c r="AB226" s="5" t="s">
        <v>3806</v>
      </c>
      <c r="AC226" s="6" t="s">
        <v>3799</v>
      </c>
      <c r="AE226" s="5" t="s">
        <v>3845</v>
      </c>
      <c r="AF226" s="5" t="s">
        <v>4481</v>
      </c>
      <c r="AG226" s="5" t="s">
        <v>4485</v>
      </c>
      <c r="AH226" s="5" t="s">
        <v>4488</v>
      </c>
      <c r="AI226" s="5" t="s">
        <v>4212</v>
      </c>
      <c r="AJ226" s="5" t="s">
        <v>4134</v>
      </c>
      <c r="AK226" s="5" t="s">
        <v>4213</v>
      </c>
      <c r="AL226" s="5" t="s">
        <v>3854</v>
      </c>
    </row>
    <row r="227" spans="1:38" x14ac:dyDescent="0.3">
      <c r="A227" s="4">
        <v>45716</v>
      </c>
      <c r="B227" s="5" t="s">
        <v>885</v>
      </c>
      <c r="C227" s="5" t="s">
        <v>886</v>
      </c>
      <c r="D227" s="5" t="s">
        <v>887</v>
      </c>
      <c r="E227" s="5" t="s">
        <v>4494</v>
      </c>
      <c r="G227" s="5" t="s">
        <v>88</v>
      </c>
      <c r="H227" s="5" t="s">
        <v>888</v>
      </c>
      <c r="I227" s="5" t="s">
        <v>2229</v>
      </c>
      <c r="J227" s="5" t="s">
        <v>2724</v>
      </c>
      <c r="K227" s="4">
        <v>40245</v>
      </c>
      <c r="L227" s="4">
        <v>40245</v>
      </c>
      <c r="M227" s="9">
        <f t="shared" si="27"/>
        <v>14</v>
      </c>
      <c r="N227" s="4" t="str">
        <f t="shared" si="29"/>
        <v>] 10 ; 15 ]</v>
      </c>
      <c r="O227" s="5" t="s">
        <v>3786</v>
      </c>
      <c r="P227" s="5" t="s">
        <v>3783</v>
      </c>
      <c r="Q227" s="5">
        <v>1</v>
      </c>
      <c r="R227" s="5" t="str">
        <f t="shared" si="30"/>
        <v>Specialisation</v>
      </c>
      <c r="S227" s="5" t="s">
        <v>3790</v>
      </c>
      <c r="T227" s="4">
        <v>30787</v>
      </c>
      <c r="U227" s="5">
        <f t="shared" si="31"/>
        <v>1984</v>
      </c>
      <c r="V227" s="5" t="s">
        <v>3792</v>
      </c>
      <c r="W227" s="9">
        <f t="shared" si="28"/>
        <v>40</v>
      </c>
      <c r="X227" s="5" t="str">
        <f t="shared" si="32"/>
        <v>[40 - 44 ans]</v>
      </c>
      <c r="Y227" s="5" t="str">
        <f t="shared" si="33"/>
        <v xml:space="preserve"> Mellenials </v>
      </c>
      <c r="Z227" s="9">
        <f t="shared" si="34"/>
        <v>20</v>
      </c>
      <c r="AA227" s="5" t="str">
        <f t="shared" si="35"/>
        <v>RAS</v>
      </c>
      <c r="AB227" s="5" t="s">
        <v>3806</v>
      </c>
      <c r="AC227" s="6" t="s">
        <v>3799</v>
      </c>
      <c r="AE227" s="5" t="s">
        <v>3844</v>
      </c>
      <c r="AF227" s="5" t="s">
        <v>4482</v>
      </c>
      <c r="AG227" s="5" t="s">
        <v>4485</v>
      </c>
      <c r="AH227" s="5" t="s">
        <v>4488</v>
      </c>
      <c r="AI227" s="5" t="s">
        <v>4214</v>
      </c>
      <c r="AJ227" s="5" t="s">
        <v>4134</v>
      </c>
      <c r="AK227" s="5" t="s">
        <v>4215</v>
      </c>
      <c r="AL227" s="5" t="s">
        <v>3858</v>
      </c>
    </row>
    <row r="228" spans="1:38" x14ac:dyDescent="0.3">
      <c r="A228" s="4">
        <v>45716</v>
      </c>
      <c r="B228" s="5" t="s">
        <v>889</v>
      </c>
      <c r="C228" s="5" t="s">
        <v>890</v>
      </c>
      <c r="D228" s="5" t="s">
        <v>891</v>
      </c>
      <c r="E228" s="5" t="s">
        <v>4494</v>
      </c>
      <c r="G228" s="5" t="s">
        <v>88</v>
      </c>
      <c r="H228" s="5" t="s">
        <v>892</v>
      </c>
      <c r="I228" s="5" t="s">
        <v>141</v>
      </c>
      <c r="J228" s="5" t="s">
        <v>879</v>
      </c>
      <c r="K228" s="4">
        <v>40245</v>
      </c>
      <c r="L228" s="4">
        <v>38139</v>
      </c>
      <c r="M228" s="9">
        <f t="shared" si="27"/>
        <v>20</v>
      </c>
      <c r="N228" s="4" t="str">
        <f t="shared" si="29"/>
        <v>] 15 ; +oo [</v>
      </c>
      <c r="O228" s="5" t="s">
        <v>3783</v>
      </c>
      <c r="P228" s="5" t="s">
        <v>3785</v>
      </c>
      <c r="Q228" s="5">
        <v>1</v>
      </c>
      <c r="R228" s="5" t="str">
        <f t="shared" si="30"/>
        <v>Specialisation</v>
      </c>
      <c r="S228" s="5" t="s">
        <v>3789</v>
      </c>
      <c r="T228" s="4">
        <v>28012</v>
      </c>
      <c r="U228" s="5">
        <f t="shared" si="31"/>
        <v>1976</v>
      </c>
      <c r="V228" s="5" t="s">
        <v>3793</v>
      </c>
      <c r="W228" s="9">
        <f t="shared" si="28"/>
        <v>48</v>
      </c>
      <c r="X228" s="5" t="str">
        <f t="shared" si="32"/>
        <v>[45 - 49 ans]</v>
      </c>
      <c r="Y228" s="5" t="str">
        <f t="shared" si="33"/>
        <v xml:space="preserve"> Generation X </v>
      </c>
      <c r="Z228" s="9">
        <f t="shared" si="34"/>
        <v>12</v>
      </c>
      <c r="AA228" s="5" t="str">
        <f t="shared" si="35"/>
        <v>RAS</v>
      </c>
      <c r="AB228" s="5" t="s">
        <v>3806</v>
      </c>
      <c r="AC228" s="6" t="s">
        <v>3799</v>
      </c>
      <c r="AE228" s="5" t="s">
        <v>3844</v>
      </c>
      <c r="AF228" s="5" t="s">
        <v>4482</v>
      </c>
      <c r="AG228" s="5" t="s">
        <v>4485</v>
      </c>
      <c r="AH228" s="5" t="s">
        <v>4488</v>
      </c>
      <c r="AI228" s="5" t="s">
        <v>3926</v>
      </c>
      <c r="AJ228" s="5" t="s">
        <v>4134</v>
      </c>
      <c r="AK228" s="5" t="s">
        <v>3928</v>
      </c>
      <c r="AL228" s="5" t="s">
        <v>3858</v>
      </c>
    </row>
    <row r="229" spans="1:38" x14ac:dyDescent="0.3">
      <c r="A229" s="4">
        <v>45716</v>
      </c>
      <c r="B229" s="5" t="s">
        <v>893</v>
      </c>
      <c r="C229" s="5" t="s">
        <v>894</v>
      </c>
      <c r="D229" s="5" t="s">
        <v>895</v>
      </c>
      <c r="E229" s="5" t="s">
        <v>4494</v>
      </c>
      <c r="G229" s="5" t="s">
        <v>88</v>
      </c>
      <c r="H229" s="5" t="s">
        <v>896</v>
      </c>
      <c r="I229" s="5" t="s">
        <v>2724</v>
      </c>
      <c r="J229" s="5" t="s">
        <v>182</v>
      </c>
      <c r="K229" s="4">
        <v>40247</v>
      </c>
      <c r="L229" s="4">
        <v>40247</v>
      </c>
      <c r="M229" s="9">
        <f t="shared" si="27"/>
        <v>14</v>
      </c>
      <c r="N229" s="4" t="str">
        <f t="shared" si="29"/>
        <v>] 10 ; 15 ]</v>
      </c>
      <c r="O229" s="5" t="s">
        <v>3782</v>
      </c>
      <c r="P229" s="5" t="s">
        <v>3782</v>
      </c>
      <c r="Q229" s="5">
        <v>2</v>
      </c>
      <c r="R229" s="5" t="str">
        <f t="shared" si="30"/>
        <v>Management &amp; Expertise</v>
      </c>
      <c r="S229" s="5" t="s">
        <v>3789</v>
      </c>
      <c r="T229" s="4">
        <v>28014</v>
      </c>
      <c r="U229" s="5">
        <f t="shared" si="31"/>
        <v>1976</v>
      </c>
      <c r="V229" s="5" t="s">
        <v>3793</v>
      </c>
      <c r="W229" s="9">
        <f t="shared" si="28"/>
        <v>48</v>
      </c>
      <c r="X229" s="5" t="str">
        <f t="shared" si="32"/>
        <v>[45 - 49 ans]</v>
      </c>
      <c r="Y229" s="5" t="str">
        <f t="shared" si="33"/>
        <v xml:space="preserve"> Generation X </v>
      </c>
      <c r="Z229" s="9">
        <f t="shared" si="34"/>
        <v>12</v>
      </c>
      <c r="AA229" s="5" t="str">
        <f t="shared" si="35"/>
        <v>RAS</v>
      </c>
      <c r="AB229" s="5" t="s">
        <v>3806</v>
      </c>
      <c r="AC229" s="6" t="s">
        <v>3799</v>
      </c>
      <c r="AE229" s="5" t="s">
        <v>3846</v>
      </c>
      <c r="AF229" s="5" t="s">
        <v>4481</v>
      </c>
      <c r="AG229" s="5" t="s">
        <v>4485</v>
      </c>
      <c r="AH229" s="5" t="s">
        <v>4488</v>
      </c>
      <c r="AI229" s="5" t="s">
        <v>4216</v>
      </c>
      <c r="AJ229" s="5" t="s">
        <v>4217</v>
      </c>
      <c r="AK229" s="5">
        <v>11100</v>
      </c>
      <c r="AL229" s="5" t="s">
        <v>3858</v>
      </c>
    </row>
    <row r="230" spans="1:38" x14ac:dyDescent="0.3">
      <c r="A230" s="4">
        <v>45716</v>
      </c>
      <c r="B230" s="5" t="s">
        <v>897</v>
      </c>
      <c r="C230" s="5" t="s">
        <v>898</v>
      </c>
      <c r="D230" s="5" t="s">
        <v>899</v>
      </c>
      <c r="E230" s="5" t="s">
        <v>4494</v>
      </c>
      <c r="G230" s="5" t="s">
        <v>24</v>
      </c>
      <c r="H230" s="5" t="s">
        <v>900</v>
      </c>
      <c r="I230" s="5" t="s">
        <v>23</v>
      </c>
      <c r="J230" s="5" t="s">
        <v>2841</v>
      </c>
      <c r="K230" s="4">
        <v>40248</v>
      </c>
      <c r="L230" s="4">
        <v>40248</v>
      </c>
      <c r="M230" s="9">
        <f t="shared" si="27"/>
        <v>14</v>
      </c>
      <c r="N230" s="4" t="str">
        <f t="shared" si="29"/>
        <v>] 10 ; 15 ]</v>
      </c>
      <c r="O230" s="5" t="s">
        <v>3782</v>
      </c>
      <c r="P230" s="5" t="s">
        <v>3782</v>
      </c>
      <c r="Q230" s="5">
        <v>2</v>
      </c>
      <c r="R230" s="5" t="str">
        <f t="shared" si="30"/>
        <v>Management &amp; Expertise</v>
      </c>
      <c r="S230" s="5" t="s">
        <v>3789</v>
      </c>
      <c r="T230" s="4">
        <v>29927</v>
      </c>
      <c r="U230" s="5">
        <f t="shared" si="31"/>
        <v>1981</v>
      </c>
      <c r="V230" s="5" t="s">
        <v>3793</v>
      </c>
      <c r="W230" s="9">
        <f t="shared" si="28"/>
        <v>43</v>
      </c>
      <c r="X230" s="5" t="str">
        <f t="shared" si="32"/>
        <v>[40 - 44 ans]</v>
      </c>
      <c r="Y230" s="5" t="str">
        <f t="shared" si="33"/>
        <v xml:space="preserve"> Mellenials </v>
      </c>
      <c r="Z230" s="9">
        <f t="shared" si="34"/>
        <v>17</v>
      </c>
      <c r="AA230" s="5" t="str">
        <f t="shared" si="35"/>
        <v>RAS</v>
      </c>
      <c r="AB230" s="5" t="s">
        <v>3805</v>
      </c>
      <c r="AC230" s="6" t="s">
        <v>3799</v>
      </c>
      <c r="AE230" s="5" t="s">
        <v>3845</v>
      </c>
      <c r="AF230" s="5" t="s">
        <v>4481</v>
      </c>
      <c r="AG230" s="5" t="s">
        <v>4485</v>
      </c>
      <c r="AH230" s="5" t="s">
        <v>4488</v>
      </c>
      <c r="AI230" s="5" t="s">
        <v>4218</v>
      </c>
      <c r="AJ230" s="5" t="s">
        <v>4134</v>
      </c>
      <c r="AK230" s="5" t="s">
        <v>3983</v>
      </c>
      <c r="AL230" s="5" t="s">
        <v>3854</v>
      </c>
    </row>
    <row r="231" spans="1:38" x14ac:dyDescent="0.3">
      <c r="A231" s="4">
        <v>45716</v>
      </c>
      <c r="B231" s="5" t="s">
        <v>901</v>
      </c>
      <c r="C231" s="5" t="s">
        <v>902</v>
      </c>
      <c r="D231" s="5" t="s">
        <v>903</v>
      </c>
      <c r="E231" s="5" t="s">
        <v>4494</v>
      </c>
      <c r="G231" s="5" t="s">
        <v>88</v>
      </c>
      <c r="H231" s="5" t="s">
        <v>904</v>
      </c>
      <c r="I231" s="5" t="s">
        <v>1020</v>
      </c>
      <c r="J231" s="5" t="s">
        <v>2739</v>
      </c>
      <c r="K231" s="4">
        <v>40182</v>
      </c>
      <c r="L231" s="4">
        <v>35662</v>
      </c>
      <c r="M231" s="9">
        <f t="shared" si="27"/>
        <v>27</v>
      </c>
      <c r="N231" s="4" t="str">
        <f t="shared" si="29"/>
        <v>] 15 ; +oo [</v>
      </c>
      <c r="O231" s="5" t="s">
        <v>3780</v>
      </c>
      <c r="P231" s="5" t="s">
        <v>3786</v>
      </c>
      <c r="Q231" s="5">
        <v>1</v>
      </c>
      <c r="R231" s="5" t="str">
        <f t="shared" si="30"/>
        <v>Qualification</v>
      </c>
      <c r="S231" s="5" t="s">
        <v>3790</v>
      </c>
      <c r="T231" s="4">
        <v>26729</v>
      </c>
      <c r="U231" s="5">
        <f t="shared" si="31"/>
        <v>1973</v>
      </c>
      <c r="V231" s="5" t="s">
        <v>3793</v>
      </c>
      <c r="W231" s="9">
        <f t="shared" si="28"/>
        <v>51</v>
      </c>
      <c r="X231" s="5" t="str">
        <f t="shared" si="32"/>
        <v>[50 ans, +oo [</v>
      </c>
      <c r="Y231" s="5" t="str">
        <f t="shared" si="33"/>
        <v xml:space="preserve"> Generation X </v>
      </c>
      <c r="Z231" s="9">
        <f t="shared" si="34"/>
        <v>9</v>
      </c>
      <c r="AA231" s="5" t="str">
        <f t="shared" si="35"/>
        <v>RAS</v>
      </c>
      <c r="AB231" s="5" t="s">
        <v>3806</v>
      </c>
      <c r="AC231" s="6" t="s">
        <v>3799</v>
      </c>
      <c r="AE231" s="5" t="s">
        <v>3844</v>
      </c>
      <c r="AF231" s="5" t="s">
        <v>4482</v>
      </c>
      <c r="AG231" s="5" t="s">
        <v>4485</v>
      </c>
      <c r="AH231" s="5" t="s">
        <v>4488</v>
      </c>
      <c r="AI231" s="5" t="s">
        <v>4219</v>
      </c>
      <c r="AJ231" s="5" t="s">
        <v>4134</v>
      </c>
      <c r="AK231" s="5">
        <v>11140</v>
      </c>
      <c r="AL231" s="5" t="s">
        <v>3858</v>
      </c>
    </row>
    <row r="232" spans="1:38" x14ac:dyDescent="0.3">
      <c r="A232" s="4">
        <v>45716</v>
      </c>
      <c r="B232" s="5" t="s">
        <v>905</v>
      </c>
      <c r="C232" s="5" t="s">
        <v>906</v>
      </c>
      <c r="D232" s="5" t="s">
        <v>907</v>
      </c>
      <c r="E232" s="5" t="s">
        <v>4494</v>
      </c>
      <c r="G232" s="5" t="s">
        <v>88</v>
      </c>
      <c r="H232" s="5" t="s">
        <v>456</v>
      </c>
      <c r="I232" s="5" t="s">
        <v>2079</v>
      </c>
      <c r="J232" s="5" t="s">
        <v>883</v>
      </c>
      <c r="K232" s="4">
        <v>40249</v>
      </c>
      <c r="L232" s="4">
        <v>40249</v>
      </c>
      <c r="M232" s="9">
        <f t="shared" si="27"/>
        <v>14</v>
      </c>
      <c r="N232" s="4" t="str">
        <f t="shared" si="29"/>
        <v>] 10 ; 15 ]</v>
      </c>
      <c r="O232" s="5" t="s">
        <v>3780</v>
      </c>
      <c r="P232" s="5" t="s">
        <v>3786</v>
      </c>
      <c r="Q232" s="5">
        <v>1</v>
      </c>
      <c r="R232" s="5" t="str">
        <f t="shared" si="30"/>
        <v>Qualification</v>
      </c>
      <c r="S232" s="5" t="s">
        <v>3789</v>
      </c>
      <c r="T232" s="4">
        <v>30247</v>
      </c>
      <c r="U232" s="5">
        <f t="shared" si="31"/>
        <v>1982</v>
      </c>
      <c r="V232" s="5" t="s">
        <v>3793</v>
      </c>
      <c r="W232" s="9">
        <f t="shared" si="28"/>
        <v>42</v>
      </c>
      <c r="X232" s="5" t="str">
        <f t="shared" si="32"/>
        <v>[40 - 44 ans]</v>
      </c>
      <c r="Y232" s="5" t="str">
        <f t="shared" si="33"/>
        <v xml:space="preserve"> Mellenials </v>
      </c>
      <c r="Z232" s="9">
        <f t="shared" si="34"/>
        <v>18</v>
      </c>
      <c r="AA232" s="5" t="str">
        <f t="shared" si="35"/>
        <v>RAS</v>
      </c>
      <c r="AB232" s="5" t="s">
        <v>3824</v>
      </c>
      <c r="AC232" s="6" t="s">
        <v>3799</v>
      </c>
      <c r="AE232" s="5" t="s">
        <v>3844</v>
      </c>
      <c r="AF232" s="5" t="s">
        <v>4482</v>
      </c>
      <c r="AG232" s="5" t="s">
        <v>4485</v>
      </c>
      <c r="AH232" s="5" t="s">
        <v>4488</v>
      </c>
      <c r="AI232" s="5" t="s">
        <v>4176</v>
      </c>
      <c r="AJ232" s="5" t="s">
        <v>4134</v>
      </c>
      <c r="AK232" s="5" t="s">
        <v>4178</v>
      </c>
      <c r="AL232" s="5" t="s">
        <v>3858</v>
      </c>
    </row>
    <row r="233" spans="1:38" x14ac:dyDescent="0.3">
      <c r="A233" s="4">
        <v>45716</v>
      </c>
      <c r="B233" s="5" t="s">
        <v>908</v>
      </c>
      <c r="C233" s="5" t="s">
        <v>909</v>
      </c>
      <c r="D233" s="5" t="s">
        <v>910</v>
      </c>
      <c r="E233" s="5" t="s">
        <v>4494</v>
      </c>
      <c r="G233" s="5" t="s">
        <v>88</v>
      </c>
      <c r="H233" s="5" t="s">
        <v>653</v>
      </c>
      <c r="I233" s="5" t="s">
        <v>883</v>
      </c>
      <c r="J233" s="5" t="s">
        <v>182</v>
      </c>
      <c r="K233" s="4">
        <v>40249</v>
      </c>
      <c r="L233" s="4">
        <v>40261</v>
      </c>
      <c r="M233" s="9">
        <f t="shared" si="27"/>
        <v>14</v>
      </c>
      <c r="N233" s="4" t="str">
        <f t="shared" si="29"/>
        <v>] 10 ; 15 ]</v>
      </c>
      <c r="O233" s="5" t="s">
        <v>3785</v>
      </c>
      <c r="P233" s="5" t="s">
        <v>3782</v>
      </c>
      <c r="Q233" s="5">
        <v>1</v>
      </c>
      <c r="R233" s="5" t="str">
        <f t="shared" si="30"/>
        <v>Specialisation</v>
      </c>
      <c r="S233" s="5" t="s">
        <v>3789</v>
      </c>
      <c r="T233" s="4">
        <v>30221</v>
      </c>
      <c r="U233" s="5">
        <f t="shared" si="31"/>
        <v>1982</v>
      </c>
      <c r="V233" s="5" t="s">
        <v>3793</v>
      </c>
      <c r="W233" s="9">
        <f t="shared" si="28"/>
        <v>42</v>
      </c>
      <c r="X233" s="5" t="str">
        <f t="shared" si="32"/>
        <v>[40 - 44 ans]</v>
      </c>
      <c r="Y233" s="5" t="str">
        <f t="shared" si="33"/>
        <v xml:space="preserve"> Mellenials </v>
      </c>
      <c r="Z233" s="9">
        <f t="shared" si="34"/>
        <v>18</v>
      </c>
      <c r="AA233" s="5" t="str">
        <f t="shared" si="35"/>
        <v>RAS</v>
      </c>
      <c r="AB233" s="5" t="s">
        <v>3821</v>
      </c>
      <c r="AC233" s="6" t="s">
        <v>3799</v>
      </c>
      <c r="AE233" s="5" t="s">
        <v>3845</v>
      </c>
      <c r="AF233" s="5" t="s">
        <v>4481</v>
      </c>
      <c r="AG233" s="5" t="s">
        <v>4485</v>
      </c>
      <c r="AH233" s="5" t="s">
        <v>4488</v>
      </c>
      <c r="AI233" s="5" t="s">
        <v>4163</v>
      </c>
      <c r="AJ233" s="5" t="s">
        <v>4134</v>
      </c>
      <c r="AK233" s="5" t="s">
        <v>4165</v>
      </c>
      <c r="AL233" s="5" t="s">
        <v>3854</v>
      </c>
    </row>
    <row r="234" spans="1:38" x14ac:dyDescent="0.3">
      <c r="A234" s="4">
        <v>45716</v>
      </c>
      <c r="B234" s="5" t="s">
        <v>911</v>
      </c>
      <c r="C234" s="5" t="s">
        <v>912</v>
      </c>
      <c r="D234" s="5" t="s">
        <v>913</v>
      </c>
      <c r="E234" s="5" t="s">
        <v>4494</v>
      </c>
      <c r="G234" s="5" t="s">
        <v>88</v>
      </c>
      <c r="H234" s="5" t="s">
        <v>456</v>
      </c>
      <c r="I234" s="5" t="s">
        <v>1814</v>
      </c>
      <c r="J234" s="5" t="s">
        <v>883</v>
      </c>
      <c r="K234" s="4">
        <v>40249</v>
      </c>
      <c r="L234" s="4">
        <v>40249</v>
      </c>
      <c r="M234" s="9">
        <f t="shared" si="27"/>
        <v>14</v>
      </c>
      <c r="N234" s="4" t="str">
        <f t="shared" si="29"/>
        <v>] 10 ; 15 ]</v>
      </c>
      <c r="O234" s="5" t="s">
        <v>3780</v>
      </c>
      <c r="P234" s="5" t="s">
        <v>3786</v>
      </c>
      <c r="Q234" s="5">
        <v>1</v>
      </c>
      <c r="R234" s="5" t="str">
        <f t="shared" si="30"/>
        <v>Qualification</v>
      </c>
      <c r="S234" s="5" t="s">
        <v>3789</v>
      </c>
      <c r="T234" s="4">
        <v>29664</v>
      </c>
      <c r="U234" s="5">
        <f t="shared" si="31"/>
        <v>1981</v>
      </c>
      <c r="V234" s="5" t="s">
        <v>3793</v>
      </c>
      <c r="W234" s="9">
        <f t="shared" si="28"/>
        <v>43</v>
      </c>
      <c r="X234" s="5" t="str">
        <f t="shared" si="32"/>
        <v>[40 - 44 ans]</v>
      </c>
      <c r="Y234" s="5" t="str">
        <f t="shared" si="33"/>
        <v xml:space="preserve"> Mellenials </v>
      </c>
      <c r="Z234" s="9">
        <f t="shared" si="34"/>
        <v>17</v>
      </c>
      <c r="AA234" s="5" t="str">
        <f t="shared" si="35"/>
        <v>RAS</v>
      </c>
      <c r="AB234" s="5" t="s">
        <v>3813</v>
      </c>
      <c r="AC234" s="6" t="s">
        <v>3799</v>
      </c>
      <c r="AE234" s="5" t="s">
        <v>3844</v>
      </c>
      <c r="AF234" s="5" t="s">
        <v>4482</v>
      </c>
      <c r="AG234" s="5" t="s">
        <v>4485</v>
      </c>
      <c r="AH234" s="5" t="s">
        <v>4488</v>
      </c>
      <c r="AI234" s="5" t="s">
        <v>4188</v>
      </c>
      <c r="AJ234" s="5" t="s">
        <v>4134</v>
      </c>
      <c r="AK234" s="5" t="s">
        <v>4069</v>
      </c>
      <c r="AL234" s="5" t="s">
        <v>3858</v>
      </c>
    </row>
    <row r="235" spans="1:38" x14ac:dyDescent="0.3">
      <c r="A235" s="4">
        <v>45716</v>
      </c>
      <c r="B235" s="5" t="s">
        <v>914</v>
      </c>
      <c r="C235" s="5" t="s">
        <v>915</v>
      </c>
      <c r="D235" s="5" t="s">
        <v>916</v>
      </c>
      <c r="E235" s="5" t="s">
        <v>4494</v>
      </c>
      <c r="G235" s="5" t="s">
        <v>88</v>
      </c>
      <c r="H235" s="5" t="s">
        <v>456</v>
      </c>
      <c r="I235" s="5" t="s">
        <v>1002</v>
      </c>
      <c r="J235" s="5" t="s">
        <v>883</v>
      </c>
      <c r="K235" s="4">
        <v>40249</v>
      </c>
      <c r="L235" s="4">
        <v>40249</v>
      </c>
      <c r="M235" s="9">
        <f t="shared" si="27"/>
        <v>14</v>
      </c>
      <c r="N235" s="4" t="str">
        <f t="shared" si="29"/>
        <v>] 10 ; 15 ]</v>
      </c>
      <c r="O235" s="5" t="s">
        <v>3780</v>
      </c>
      <c r="P235" s="5" t="s">
        <v>3786</v>
      </c>
      <c r="Q235" s="5">
        <v>1</v>
      </c>
      <c r="R235" s="5" t="str">
        <f t="shared" si="30"/>
        <v>Qualification</v>
      </c>
      <c r="S235" s="5" t="s">
        <v>3789</v>
      </c>
      <c r="T235" s="4">
        <v>29183</v>
      </c>
      <c r="U235" s="5">
        <f t="shared" si="31"/>
        <v>1979</v>
      </c>
      <c r="V235" s="5" t="s">
        <v>3793</v>
      </c>
      <c r="W235" s="9">
        <f t="shared" si="28"/>
        <v>45</v>
      </c>
      <c r="X235" s="5" t="str">
        <f t="shared" si="32"/>
        <v>[45 - 49 ans]</v>
      </c>
      <c r="Y235" s="5" t="str">
        <f t="shared" si="33"/>
        <v xml:space="preserve"> Generation X </v>
      </c>
      <c r="Z235" s="9">
        <f t="shared" si="34"/>
        <v>15</v>
      </c>
      <c r="AA235" s="5" t="str">
        <f t="shared" si="35"/>
        <v>RAS</v>
      </c>
      <c r="AB235" s="5" t="s">
        <v>3818</v>
      </c>
      <c r="AC235" s="6" t="s">
        <v>3799</v>
      </c>
      <c r="AE235" s="5" t="s">
        <v>3844</v>
      </c>
      <c r="AF235" s="5" t="s">
        <v>4482</v>
      </c>
      <c r="AG235" s="5" t="s">
        <v>4485</v>
      </c>
      <c r="AH235" s="5" t="s">
        <v>4488</v>
      </c>
      <c r="AI235" s="5" t="s">
        <v>4149</v>
      </c>
      <c r="AJ235" s="5" t="s">
        <v>4134</v>
      </c>
      <c r="AK235" s="5" t="s">
        <v>4151</v>
      </c>
      <c r="AL235" s="5" t="s">
        <v>3858</v>
      </c>
    </row>
    <row r="236" spans="1:38" x14ac:dyDescent="0.3">
      <c r="A236" s="4">
        <v>45716</v>
      </c>
      <c r="B236" s="5" t="s">
        <v>917</v>
      </c>
      <c r="C236" s="5" t="s">
        <v>918</v>
      </c>
      <c r="D236" s="5" t="s">
        <v>919</v>
      </c>
      <c r="E236" s="5" t="s">
        <v>4494</v>
      </c>
      <c r="G236" s="5" t="s">
        <v>178</v>
      </c>
      <c r="H236" s="5" t="s">
        <v>920</v>
      </c>
      <c r="I236" s="5" t="s">
        <v>1810</v>
      </c>
      <c r="J236" s="5" t="s">
        <v>435</v>
      </c>
      <c r="K236" s="4">
        <v>40249</v>
      </c>
      <c r="L236" s="4">
        <v>40249</v>
      </c>
      <c r="M236" s="9">
        <f t="shared" si="27"/>
        <v>14</v>
      </c>
      <c r="N236" s="4" t="str">
        <f t="shared" si="29"/>
        <v>] 10 ; 15 ]</v>
      </c>
      <c r="O236" s="5" t="s">
        <v>3783</v>
      </c>
      <c r="P236" s="5" t="s">
        <v>3783</v>
      </c>
      <c r="Q236" s="5">
        <v>1</v>
      </c>
      <c r="R236" s="5" t="str">
        <f t="shared" si="30"/>
        <v>Specialisation</v>
      </c>
      <c r="S236" s="5" t="s">
        <v>3789</v>
      </c>
      <c r="T236" s="4">
        <v>31228</v>
      </c>
      <c r="U236" s="5">
        <f t="shared" si="31"/>
        <v>1985</v>
      </c>
      <c r="V236" s="5" t="s">
        <v>3793</v>
      </c>
      <c r="W236" s="9">
        <f t="shared" si="28"/>
        <v>39</v>
      </c>
      <c r="X236" s="5" t="str">
        <f t="shared" si="32"/>
        <v>[35 - 39 ans ]</v>
      </c>
      <c r="Y236" s="5" t="str">
        <f t="shared" si="33"/>
        <v xml:space="preserve"> Mellenials </v>
      </c>
      <c r="Z236" s="9">
        <f t="shared" si="34"/>
        <v>21</v>
      </c>
      <c r="AA236" s="5" t="str">
        <f t="shared" si="35"/>
        <v>RAS</v>
      </c>
      <c r="AB236" s="5" t="s">
        <v>3806</v>
      </c>
      <c r="AC236" s="6" t="s">
        <v>3799</v>
      </c>
      <c r="AE236" s="5" t="s">
        <v>3844</v>
      </c>
      <c r="AF236" s="5" t="s">
        <v>4482</v>
      </c>
      <c r="AG236" s="5" t="s">
        <v>4485</v>
      </c>
      <c r="AH236" s="5" t="s">
        <v>4488</v>
      </c>
      <c r="AI236" s="5" t="s">
        <v>4204</v>
      </c>
      <c r="AJ236" s="5" t="s">
        <v>4134</v>
      </c>
      <c r="AK236" s="5" t="s">
        <v>3962</v>
      </c>
      <c r="AL236" s="5" t="s">
        <v>3858</v>
      </c>
    </row>
    <row r="237" spans="1:38" x14ac:dyDescent="0.3">
      <c r="A237" s="4">
        <v>45716</v>
      </c>
      <c r="B237" s="5" t="s">
        <v>921</v>
      </c>
      <c r="C237" s="5" t="s">
        <v>922</v>
      </c>
      <c r="D237" s="5" t="s">
        <v>923</v>
      </c>
      <c r="E237" s="5" t="s">
        <v>4494</v>
      </c>
      <c r="G237" s="5" t="s">
        <v>88</v>
      </c>
      <c r="H237" s="5" t="s">
        <v>456</v>
      </c>
      <c r="I237" s="5" t="s">
        <v>741</v>
      </c>
      <c r="J237" s="5" t="s">
        <v>883</v>
      </c>
      <c r="K237" s="4">
        <v>40249</v>
      </c>
      <c r="L237" s="4">
        <v>40249</v>
      </c>
      <c r="M237" s="9">
        <f t="shared" si="27"/>
        <v>14</v>
      </c>
      <c r="N237" s="4" t="str">
        <f t="shared" si="29"/>
        <v>] 10 ; 15 ]</v>
      </c>
      <c r="O237" s="5" t="s">
        <v>3780</v>
      </c>
      <c r="P237" s="5" t="s">
        <v>3786</v>
      </c>
      <c r="Q237" s="5">
        <v>1</v>
      </c>
      <c r="R237" s="5" t="str">
        <f t="shared" si="30"/>
        <v>Qualification</v>
      </c>
      <c r="S237" s="5" t="s">
        <v>3790</v>
      </c>
      <c r="T237" s="4">
        <v>31130</v>
      </c>
      <c r="U237" s="5">
        <f t="shared" si="31"/>
        <v>1985</v>
      </c>
      <c r="V237" s="5" t="s">
        <v>3793</v>
      </c>
      <c r="W237" s="9">
        <f t="shared" si="28"/>
        <v>39</v>
      </c>
      <c r="X237" s="5" t="str">
        <f t="shared" si="32"/>
        <v>[35 - 39 ans ]</v>
      </c>
      <c r="Y237" s="5" t="str">
        <f t="shared" si="33"/>
        <v xml:space="preserve"> Mellenials </v>
      </c>
      <c r="Z237" s="9">
        <f t="shared" si="34"/>
        <v>21</v>
      </c>
      <c r="AA237" s="5" t="str">
        <f t="shared" si="35"/>
        <v>RAS</v>
      </c>
      <c r="AB237" s="5" t="s">
        <v>3825</v>
      </c>
      <c r="AC237" s="6" t="s">
        <v>3799</v>
      </c>
      <c r="AE237" s="5" t="s">
        <v>3844</v>
      </c>
      <c r="AF237" s="5" t="s">
        <v>4482</v>
      </c>
      <c r="AG237" s="5" t="s">
        <v>4485</v>
      </c>
      <c r="AH237" s="5" t="s">
        <v>4488</v>
      </c>
      <c r="AI237" s="5" t="s">
        <v>4179</v>
      </c>
      <c r="AJ237" s="5" t="s">
        <v>4134</v>
      </c>
      <c r="AK237" s="5" t="s">
        <v>4181</v>
      </c>
      <c r="AL237" s="5" t="s">
        <v>3858</v>
      </c>
    </row>
    <row r="238" spans="1:38" x14ac:dyDescent="0.3">
      <c r="A238" s="4">
        <v>45716</v>
      </c>
      <c r="B238" s="5" t="s">
        <v>924</v>
      </c>
      <c r="C238" s="5" t="s">
        <v>925</v>
      </c>
      <c r="D238" s="5" t="s">
        <v>926</v>
      </c>
      <c r="E238" s="5" t="s">
        <v>4494</v>
      </c>
      <c r="G238" s="5" t="s">
        <v>88</v>
      </c>
      <c r="H238" s="5" t="s">
        <v>456</v>
      </c>
      <c r="I238" s="5" t="s">
        <v>741</v>
      </c>
      <c r="J238" s="5" t="s">
        <v>883</v>
      </c>
      <c r="K238" s="4">
        <v>40249</v>
      </c>
      <c r="L238" s="4">
        <v>40249</v>
      </c>
      <c r="M238" s="9">
        <f t="shared" si="27"/>
        <v>14</v>
      </c>
      <c r="N238" s="4" t="str">
        <f t="shared" si="29"/>
        <v>] 10 ; 15 ]</v>
      </c>
      <c r="O238" s="5" t="s">
        <v>3780</v>
      </c>
      <c r="P238" s="5" t="s">
        <v>3786</v>
      </c>
      <c r="Q238" s="5">
        <v>1</v>
      </c>
      <c r="R238" s="5" t="str">
        <f t="shared" si="30"/>
        <v>Qualification</v>
      </c>
      <c r="S238" s="5" t="s">
        <v>3790</v>
      </c>
      <c r="T238" s="4">
        <v>30424</v>
      </c>
      <c r="U238" s="5">
        <f t="shared" si="31"/>
        <v>1983</v>
      </c>
      <c r="V238" s="5" t="s">
        <v>3793</v>
      </c>
      <c r="W238" s="9">
        <f t="shared" si="28"/>
        <v>41</v>
      </c>
      <c r="X238" s="5" t="str">
        <f t="shared" si="32"/>
        <v>[40 - 44 ans]</v>
      </c>
      <c r="Y238" s="5" t="str">
        <f t="shared" si="33"/>
        <v xml:space="preserve"> Mellenials </v>
      </c>
      <c r="Z238" s="9">
        <f t="shared" si="34"/>
        <v>19</v>
      </c>
      <c r="AA238" s="5" t="str">
        <f t="shared" si="35"/>
        <v>RAS</v>
      </c>
      <c r="AB238" s="5" t="s">
        <v>3825</v>
      </c>
      <c r="AC238" s="6" t="s">
        <v>3799</v>
      </c>
      <c r="AE238" s="5" t="s">
        <v>3844</v>
      </c>
      <c r="AF238" s="5" t="s">
        <v>4482</v>
      </c>
      <c r="AG238" s="5" t="s">
        <v>4485</v>
      </c>
      <c r="AH238" s="5" t="s">
        <v>4488</v>
      </c>
      <c r="AI238" s="5" t="s">
        <v>4179</v>
      </c>
      <c r="AJ238" s="5" t="s">
        <v>4134</v>
      </c>
      <c r="AK238" s="5" t="s">
        <v>4181</v>
      </c>
      <c r="AL238" s="5" t="s">
        <v>3858</v>
      </c>
    </row>
    <row r="239" spans="1:38" x14ac:dyDescent="0.3">
      <c r="A239" s="4">
        <v>45716</v>
      </c>
      <c r="B239" s="5" t="s">
        <v>927</v>
      </c>
      <c r="C239" s="5" t="s">
        <v>928</v>
      </c>
      <c r="D239" s="5" t="s">
        <v>929</v>
      </c>
      <c r="E239" s="5" t="s">
        <v>4494</v>
      </c>
      <c r="G239" s="5" t="s">
        <v>88</v>
      </c>
      <c r="H239" s="5" t="s">
        <v>456</v>
      </c>
      <c r="I239" s="5" t="s">
        <v>1957</v>
      </c>
      <c r="J239" s="5" t="s">
        <v>883</v>
      </c>
      <c r="K239" s="4">
        <v>40249</v>
      </c>
      <c r="L239" s="4">
        <v>40249</v>
      </c>
      <c r="M239" s="9">
        <f t="shared" si="27"/>
        <v>14</v>
      </c>
      <c r="N239" s="4" t="str">
        <f t="shared" si="29"/>
        <v>] 10 ; 15 ]</v>
      </c>
      <c r="O239" s="5" t="s">
        <v>3780</v>
      </c>
      <c r="P239" s="5" t="s">
        <v>3780</v>
      </c>
      <c r="Q239" s="5">
        <v>3</v>
      </c>
      <c r="R239" s="5" t="str">
        <f t="shared" si="30"/>
        <v>Qualification</v>
      </c>
      <c r="S239" s="5" t="s">
        <v>3789</v>
      </c>
      <c r="T239" s="4">
        <v>31805</v>
      </c>
      <c r="U239" s="5">
        <f t="shared" si="31"/>
        <v>1987</v>
      </c>
      <c r="V239" s="5" t="s">
        <v>3793</v>
      </c>
      <c r="W239" s="9">
        <f t="shared" si="28"/>
        <v>38</v>
      </c>
      <c r="X239" s="5" t="str">
        <f t="shared" si="32"/>
        <v>[35 - 39 ans ]</v>
      </c>
      <c r="Y239" s="5" t="str">
        <f t="shared" si="33"/>
        <v xml:space="preserve"> Mellenials </v>
      </c>
      <c r="Z239" s="9">
        <f t="shared" si="34"/>
        <v>22</v>
      </c>
      <c r="AA239" s="5" t="str">
        <f t="shared" si="35"/>
        <v>RAS</v>
      </c>
      <c r="AB239" s="5" t="s">
        <v>3829</v>
      </c>
      <c r="AC239" s="6" t="s">
        <v>3802</v>
      </c>
      <c r="AE239" s="5" t="s">
        <v>3844</v>
      </c>
      <c r="AF239" s="5" t="s">
        <v>4482</v>
      </c>
      <c r="AG239" s="5" t="s">
        <v>4485</v>
      </c>
      <c r="AH239" s="5" t="s">
        <v>4488</v>
      </c>
      <c r="AI239" s="5" t="s">
        <v>4220</v>
      </c>
      <c r="AJ239" s="5" t="s">
        <v>4221</v>
      </c>
      <c r="AK239" s="5" t="s">
        <v>4222</v>
      </c>
      <c r="AL239" s="5" t="s">
        <v>3858</v>
      </c>
    </row>
    <row r="240" spans="1:38" x14ac:dyDescent="0.3">
      <c r="A240" s="4">
        <v>45716</v>
      </c>
      <c r="B240" s="5" t="s">
        <v>930</v>
      </c>
      <c r="C240" s="5" t="s">
        <v>931</v>
      </c>
      <c r="D240" s="5" t="s">
        <v>932</v>
      </c>
      <c r="E240" s="5" t="s">
        <v>4494</v>
      </c>
      <c r="G240" s="5" t="s">
        <v>178</v>
      </c>
      <c r="H240" s="5" t="s">
        <v>933</v>
      </c>
      <c r="I240" s="5" t="s">
        <v>982</v>
      </c>
      <c r="J240" s="5" t="s">
        <v>435</v>
      </c>
      <c r="K240" s="4">
        <v>40249</v>
      </c>
      <c r="L240" s="4">
        <v>40249</v>
      </c>
      <c r="M240" s="9">
        <f t="shared" si="27"/>
        <v>14</v>
      </c>
      <c r="N240" s="4" t="str">
        <f t="shared" si="29"/>
        <v>] 10 ; 15 ]</v>
      </c>
      <c r="O240" s="5" t="s">
        <v>3783</v>
      </c>
      <c r="P240" s="5" t="s">
        <v>3783</v>
      </c>
      <c r="Q240" s="5">
        <v>1</v>
      </c>
      <c r="R240" s="5" t="str">
        <f t="shared" si="30"/>
        <v>Specialisation</v>
      </c>
      <c r="S240" s="5" t="s">
        <v>3790</v>
      </c>
      <c r="T240" s="4">
        <v>31166</v>
      </c>
      <c r="U240" s="5">
        <f t="shared" si="31"/>
        <v>1985</v>
      </c>
      <c r="V240" s="5" t="s">
        <v>3793</v>
      </c>
      <c r="W240" s="9">
        <f t="shared" si="28"/>
        <v>39</v>
      </c>
      <c r="X240" s="5" t="str">
        <f t="shared" si="32"/>
        <v>[35 - 39 ans ]</v>
      </c>
      <c r="Y240" s="5" t="str">
        <f t="shared" si="33"/>
        <v xml:space="preserve"> Mellenials </v>
      </c>
      <c r="Z240" s="9">
        <f t="shared" si="34"/>
        <v>21</v>
      </c>
      <c r="AA240" s="5" t="str">
        <f t="shared" si="35"/>
        <v>RAS</v>
      </c>
      <c r="AB240" s="5" t="s">
        <v>3806</v>
      </c>
      <c r="AC240" s="6" t="s">
        <v>3799</v>
      </c>
      <c r="AE240" s="5" t="s">
        <v>3844</v>
      </c>
      <c r="AF240" s="5" t="s">
        <v>4482</v>
      </c>
      <c r="AG240" s="5" t="s">
        <v>4485</v>
      </c>
      <c r="AH240" s="5" t="s">
        <v>4488</v>
      </c>
      <c r="AI240" s="5" t="s">
        <v>4209</v>
      </c>
      <c r="AJ240" s="5" t="s">
        <v>4134</v>
      </c>
      <c r="AK240" s="5" t="s">
        <v>3962</v>
      </c>
      <c r="AL240" s="5" t="s">
        <v>3858</v>
      </c>
    </row>
    <row r="241" spans="1:38" x14ac:dyDescent="0.3">
      <c r="A241" s="4">
        <v>45716</v>
      </c>
      <c r="B241" s="5" t="s">
        <v>934</v>
      </c>
      <c r="C241" s="5" t="s">
        <v>935</v>
      </c>
      <c r="D241" s="5" t="s">
        <v>936</v>
      </c>
      <c r="E241" s="5" t="s">
        <v>4494</v>
      </c>
      <c r="G241" s="5" t="s">
        <v>88</v>
      </c>
      <c r="H241" s="5" t="s">
        <v>456</v>
      </c>
      <c r="I241" s="5" t="s">
        <v>910</v>
      </c>
      <c r="J241" s="5" t="s">
        <v>883</v>
      </c>
      <c r="K241" s="4">
        <v>40249</v>
      </c>
      <c r="L241" s="4">
        <v>40249</v>
      </c>
      <c r="M241" s="9">
        <f t="shared" si="27"/>
        <v>14</v>
      </c>
      <c r="N241" s="4" t="str">
        <f t="shared" si="29"/>
        <v>] 10 ; 15 ]</v>
      </c>
      <c r="O241" s="5" t="s">
        <v>3780</v>
      </c>
      <c r="P241" s="5" t="s">
        <v>3786</v>
      </c>
      <c r="Q241" s="5">
        <v>1</v>
      </c>
      <c r="R241" s="5" t="str">
        <f t="shared" si="30"/>
        <v>Qualification</v>
      </c>
      <c r="S241" s="5" t="s">
        <v>3790</v>
      </c>
      <c r="T241" s="4">
        <v>30164</v>
      </c>
      <c r="U241" s="5">
        <f t="shared" si="31"/>
        <v>1982</v>
      </c>
      <c r="V241" s="5" t="s">
        <v>3793</v>
      </c>
      <c r="W241" s="9">
        <f t="shared" si="28"/>
        <v>42</v>
      </c>
      <c r="X241" s="5" t="str">
        <f t="shared" si="32"/>
        <v>[40 - 44 ans]</v>
      </c>
      <c r="Y241" s="5" t="str">
        <f t="shared" si="33"/>
        <v xml:space="preserve"> Mellenials </v>
      </c>
      <c r="Z241" s="9">
        <f t="shared" si="34"/>
        <v>18</v>
      </c>
      <c r="AA241" s="5" t="str">
        <f t="shared" si="35"/>
        <v>RAS</v>
      </c>
      <c r="AB241" s="5" t="s">
        <v>3815</v>
      </c>
      <c r="AC241" s="6" t="s">
        <v>3799</v>
      </c>
      <c r="AE241" s="5" t="s">
        <v>3844</v>
      </c>
      <c r="AF241" s="5" t="s">
        <v>4482</v>
      </c>
      <c r="AG241" s="5" t="s">
        <v>4485</v>
      </c>
      <c r="AH241" s="5" t="s">
        <v>4488</v>
      </c>
      <c r="AI241" s="5" t="s">
        <v>4152</v>
      </c>
      <c r="AJ241" s="5" t="s">
        <v>4134</v>
      </c>
      <c r="AK241" s="5" t="s">
        <v>4154</v>
      </c>
      <c r="AL241" s="5" t="s">
        <v>3858</v>
      </c>
    </row>
    <row r="242" spans="1:38" x14ac:dyDescent="0.3">
      <c r="A242" s="4">
        <v>45716</v>
      </c>
      <c r="B242" s="5" t="s">
        <v>937</v>
      </c>
      <c r="C242" s="5" t="s">
        <v>938</v>
      </c>
      <c r="D242" s="5" t="s">
        <v>939</v>
      </c>
      <c r="E242" s="5" t="s">
        <v>4494</v>
      </c>
      <c r="G242" s="5" t="s">
        <v>88</v>
      </c>
      <c r="H242" s="5" t="s">
        <v>456</v>
      </c>
      <c r="I242" s="5" t="s">
        <v>1002</v>
      </c>
      <c r="J242" s="5" t="s">
        <v>883</v>
      </c>
      <c r="K242" s="4">
        <v>40249</v>
      </c>
      <c r="L242" s="4">
        <v>40249</v>
      </c>
      <c r="M242" s="9">
        <f t="shared" si="27"/>
        <v>14</v>
      </c>
      <c r="N242" s="4" t="str">
        <f t="shared" si="29"/>
        <v>] 10 ; 15 ]</v>
      </c>
      <c r="O242" s="5" t="s">
        <v>3780</v>
      </c>
      <c r="P242" s="5" t="s">
        <v>3786</v>
      </c>
      <c r="Q242" s="5">
        <v>1</v>
      </c>
      <c r="R242" s="5" t="str">
        <f t="shared" si="30"/>
        <v>Qualification</v>
      </c>
      <c r="S242" s="5" t="s">
        <v>3789</v>
      </c>
      <c r="T242" s="4">
        <v>31528</v>
      </c>
      <c r="U242" s="5">
        <f t="shared" si="31"/>
        <v>1986</v>
      </c>
      <c r="V242" s="5" t="s">
        <v>3793</v>
      </c>
      <c r="W242" s="9">
        <f t="shared" si="28"/>
        <v>38</v>
      </c>
      <c r="X242" s="5" t="str">
        <f t="shared" si="32"/>
        <v>[35 - 39 ans ]</v>
      </c>
      <c r="Y242" s="5" t="str">
        <f t="shared" si="33"/>
        <v xml:space="preserve"> Mellenials </v>
      </c>
      <c r="Z242" s="9">
        <f t="shared" si="34"/>
        <v>22</v>
      </c>
      <c r="AA242" s="5" t="str">
        <f t="shared" si="35"/>
        <v>RAS</v>
      </c>
      <c r="AB242" s="5" t="s">
        <v>3818</v>
      </c>
      <c r="AC242" s="6" t="s">
        <v>3799</v>
      </c>
      <c r="AE242" s="5" t="s">
        <v>3844</v>
      </c>
      <c r="AF242" s="5" t="s">
        <v>4482</v>
      </c>
      <c r="AG242" s="5" t="s">
        <v>4485</v>
      </c>
      <c r="AH242" s="5" t="s">
        <v>4488</v>
      </c>
      <c r="AI242" s="5" t="s">
        <v>4149</v>
      </c>
      <c r="AJ242" s="5" t="s">
        <v>4134</v>
      </c>
      <c r="AK242" s="5" t="s">
        <v>4151</v>
      </c>
      <c r="AL242" s="5" t="s">
        <v>3858</v>
      </c>
    </row>
    <row r="243" spans="1:38" x14ac:dyDescent="0.3">
      <c r="A243" s="4">
        <v>45716</v>
      </c>
      <c r="B243" s="5" t="s">
        <v>940</v>
      </c>
      <c r="C243" s="5" t="s">
        <v>941</v>
      </c>
      <c r="D243" s="5" t="s">
        <v>942</v>
      </c>
      <c r="E243" s="5" t="s">
        <v>4494</v>
      </c>
      <c r="G243" s="5" t="s">
        <v>88</v>
      </c>
      <c r="H243" s="5" t="s">
        <v>101</v>
      </c>
      <c r="I243" s="5" t="s">
        <v>945</v>
      </c>
      <c r="J243" s="5" t="s">
        <v>879</v>
      </c>
      <c r="K243" s="4">
        <v>40238</v>
      </c>
      <c r="L243" s="4">
        <v>39995</v>
      </c>
      <c r="M243" s="9">
        <f t="shared" si="27"/>
        <v>15</v>
      </c>
      <c r="N243" s="4" t="str">
        <f t="shared" si="29"/>
        <v>] 10 ; 15 ]</v>
      </c>
      <c r="O243" s="5" t="s">
        <v>3783</v>
      </c>
      <c r="P243" s="5" t="s">
        <v>3785</v>
      </c>
      <c r="Q243" s="5">
        <v>1</v>
      </c>
      <c r="R243" s="5" t="str">
        <f t="shared" si="30"/>
        <v>Specialisation</v>
      </c>
      <c r="S243" s="5" t="s">
        <v>3789</v>
      </c>
      <c r="T243" s="4">
        <v>29543</v>
      </c>
      <c r="U243" s="5">
        <f t="shared" si="31"/>
        <v>1980</v>
      </c>
      <c r="V243" s="5" t="s">
        <v>3792</v>
      </c>
      <c r="W243" s="9">
        <f t="shared" si="28"/>
        <v>44</v>
      </c>
      <c r="X243" s="5" t="str">
        <f t="shared" si="32"/>
        <v>[40 - 44 ans]</v>
      </c>
      <c r="Y243" s="5" t="str">
        <f t="shared" si="33"/>
        <v xml:space="preserve"> Generation X </v>
      </c>
      <c r="Z243" s="9">
        <f t="shared" si="34"/>
        <v>16</v>
      </c>
      <c r="AA243" s="5" t="str">
        <f t="shared" si="35"/>
        <v>RAS</v>
      </c>
      <c r="AB243" s="5" t="s">
        <v>3806</v>
      </c>
      <c r="AC243" s="6" t="s">
        <v>3799</v>
      </c>
      <c r="AE243" s="5" t="s">
        <v>3844</v>
      </c>
      <c r="AF243" s="5" t="s">
        <v>4482</v>
      </c>
      <c r="AG243" s="5" t="s">
        <v>4485</v>
      </c>
      <c r="AH243" s="5" t="s">
        <v>4488</v>
      </c>
      <c r="AI243" s="5" t="s">
        <v>3904</v>
      </c>
      <c r="AJ243" s="5" t="s">
        <v>3905</v>
      </c>
      <c r="AK243" s="5">
        <v>11152</v>
      </c>
      <c r="AL243" s="5" t="s">
        <v>3858</v>
      </c>
    </row>
    <row r="244" spans="1:38" x14ac:dyDescent="0.3">
      <c r="A244" s="4">
        <v>45716</v>
      </c>
      <c r="B244" s="5" t="s">
        <v>943</v>
      </c>
      <c r="C244" s="5" t="s">
        <v>944</v>
      </c>
      <c r="D244" s="5" t="s">
        <v>945</v>
      </c>
      <c r="E244" s="5" t="s">
        <v>4494</v>
      </c>
      <c r="G244" s="5" t="s">
        <v>88</v>
      </c>
      <c r="H244" s="5" t="s">
        <v>796</v>
      </c>
      <c r="I244" s="5" t="s">
        <v>879</v>
      </c>
      <c r="J244" s="5" t="s">
        <v>879</v>
      </c>
      <c r="K244" s="4">
        <v>40238</v>
      </c>
      <c r="L244" s="4">
        <v>39959</v>
      </c>
      <c r="M244" s="9">
        <f t="shared" si="27"/>
        <v>15</v>
      </c>
      <c r="N244" s="4" t="str">
        <f t="shared" si="29"/>
        <v>] 10 ; 15 ]</v>
      </c>
      <c r="O244" s="5" t="s">
        <v>3782</v>
      </c>
      <c r="P244" s="5" t="s">
        <v>3785</v>
      </c>
      <c r="Q244" s="5">
        <v>1</v>
      </c>
      <c r="R244" s="5" t="str">
        <f t="shared" si="30"/>
        <v>Management &amp; Expertise</v>
      </c>
      <c r="S244" s="5" t="s">
        <v>3789</v>
      </c>
      <c r="T244" s="4">
        <v>27815</v>
      </c>
      <c r="U244" s="5">
        <f t="shared" si="31"/>
        <v>1976</v>
      </c>
      <c r="V244" s="5" t="s">
        <v>3793</v>
      </c>
      <c r="W244" s="9">
        <f t="shared" si="28"/>
        <v>49</v>
      </c>
      <c r="X244" s="5" t="str">
        <f t="shared" si="32"/>
        <v>[45 - 49 ans]</v>
      </c>
      <c r="Y244" s="5" t="str">
        <f t="shared" si="33"/>
        <v xml:space="preserve"> Generation X </v>
      </c>
      <c r="Z244" s="9">
        <f t="shared" si="34"/>
        <v>11</v>
      </c>
      <c r="AA244" s="5" t="str">
        <f t="shared" si="35"/>
        <v>RAS</v>
      </c>
      <c r="AB244" s="5" t="s">
        <v>3806</v>
      </c>
      <c r="AC244" s="6" t="s">
        <v>3799</v>
      </c>
      <c r="AE244" s="5" t="s">
        <v>3844</v>
      </c>
      <c r="AF244" s="5" t="s">
        <v>4481</v>
      </c>
      <c r="AG244" s="5" t="s">
        <v>4485</v>
      </c>
      <c r="AH244" s="5" t="s">
        <v>4488</v>
      </c>
      <c r="AI244" s="5" t="s">
        <v>3904</v>
      </c>
      <c r="AJ244" s="5" t="s">
        <v>3905</v>
      </c>
      <c r="AK244" s="5">
        <v>11152</v>
      </c>
      <c r="AL244" s="5" t="s">
        <v>3858</v>
      </c>
    </row>
    <row r="245" spans="1:38" x14ac:dyDescent="0.3">
      <c r="A245" s="4">
        <v>45716</v>
      </c>
      <c r="B245" s="5" t="s">
        <v>946</v>
      </c>
      <c r="C245" s="5" t="s">
        <v>947</v>
      </c>
      <c r="D245" s="5" t="s">
        <v>948</v>
      </c>
      <c r="E245" s="5" t="s">
        <v>4494</v>
      </c>
      <c r="G245" s="5" t="s">
        <v>88</v>
      </c>
      <c r="H245" s="5" t="s">
        <v>101</v>
      </c>
      <c r="I245" s="5" t="s">
        <v>945</v>
      </c>
      <c r="J245" s="5" t="s">
        <v>879</v>
      </c>
      <c r="K245" s="4">
        <v>40238</v>
      </c>
      <c r="L245" s="4">
        <v>39279.041666666664</v>
      </c>
      <c r="M245" s="9">
        <f t="shared" si="27"/>
        <v>17</v>
      </c>
      <c r="N245" s="4" t="str">
        <f t="shared" si="29"/>
        <v>] 15 ; +oo [</v>
      </c>
      <c r="O245" s="5" t="s">
        <v>3783</v>
      </c>
      <c r="P245" s="5" t="s">
        <v>3785</v>
      </c>
      <c r="Q245" s="5">
        <v>1</v>
      </c>
      <c r="R245" s="5" t="str">
        <f t="shared" si="30"/>
        <v>Specialisation</v>
      </c>
      <c r="S245" s="5" t="s">
        <v>3789</v>
      </c>
      <c r="T245" s="4">
        <v>27368</v>
      </c>
      <c r="U245" s="5">
        <f t="shared" si="31"/>
        <v>1974</v>
      </c>
      <c r="V245" s="5" t="s">
        <v>3793</v>
      </c>
      <c r="W245" s="9">
        <f t="shared" si="28"/>
        <v>50</v>
      </c>
      <c r="X245" s="5" t="str">
        <f t="shared" si="32"/>
        <v>[50 ans, +oo [</v>
      </c>
      <c r="Y245" s="5" t="str">
        <f t="shared" si="33"/>
        <v xml:space="preserve"> Generation X </v>
      </c>
      <c r="Z245" s="9">
        <f t="shared" si="34"/>
        <v>10</v>
      </c>
      <c r="AA245" s="5" t="str">
        <f t="shared" si="35"/>
        <v>RAS</v>
      </c>
      <c r="AB245" s="5" t="s">
        <v>3806</v>
      </c>
      <c r="AC245" s="6" t="s">
        <v>3799</v>
      </c>
      <c r="AE245" s="5" t="s">
        <v>3844</v>
      </c>
      <c r="AF245" s="5" t="s">
        <v>4482</v>
      </c>
      <c r="AG245" s="5" t="s">
        <v>4485</v>
      </c>
      <c r="AH245" s="5" t="s">
        <v>4488</v>
      </c>
      <c r="AI245" s="5" t="s">
        <v>3904</v>
      </c>
      <c r="AJ245" s="5" t="s">
        <v>3905</v>
      </c>
      <c r="AK245" s="5">
        <v>11152</v>
      </c>
      <c r="AL245" s="5" t="s">
        <v>3858</v>
      </c>
    </row>
    <row r="246" spans="1:38" x14ac:dyDescent="0.3">
      <c r="A246" s="4">
        <v>45716</v>
      </c>
      <c r="B246" s="5" t="s">
        <v>949</v>
      </c>
      <c r="C246" s="5" t="s">
        <v>950</v>
      </c>
      <c r="D246" s="5" t="s">
        <v>951</v>
      </c>
      <c r="E246" s="5" t="s">
        <v>4494</v>
      </c>
      <c r="G246" s="5" t="s">
        <v>88</v>
      </c>
      <c r="H246" s="5" t="s">
        <v>101</v>
      </c>
      <c r="I246" s="5" t="s">
        <v>795</v>
      </c>
      <c r="J246" s="5" t="s">
        <v>879</v>
      </c>
      <c r="K246" s="4">
        <v>40238</v>
      </c>
      <c r="L246" s="4">
        <v>39630.041666666664</v>
      </c>
      <c r="M246" s="9">
        <f t="shared" si="27"/>
        <v>16</v>
      </c>
      <c r="N246" s="4" t="str">
        <f t="shared" si="29"/>
        <v>] 15 ; +oo [</v>
      </c>
      <c r="O246" s="5" t="s">
        <v>3783</v>
      </c>
      <c r="P246" s="5" t="s">
        <v>3785</v>
      </c>
      <c r="Q246" s="5">
        <v>1</v>
      </c>
      <c r="R246" s="5" t="str">
        <f t="shared" si="30"/>
        <v>Specialisation</v>
      </c>
      <c r="S246" s="5" t="s">
        <v>3789</v>
      </c>
      <c r="T246" s="4">
        <v>27921</v>
      </c>
      <c r="U246" s="5">
        <f t="shared" si="31"/>
        <v>1976</v>
      </c>
      <c r="V246" s="5" t="s">
        <v>3793</v>
      </c>
      <c r="W246" s="9">
        <f t="shared" si="28"/>
        <v>48</v>
      </c>
      <c r="X246" s="5" t="str">
        <f t="shared" si="32"/>
        <v>[45 - 49 ans]</v>
      </c>
      <c r="Y246" s="5" t="str">
        <f t="shared" si="33"/>
        <v xml:space="preserve"> Generation X </v>
      </c>
      <c r="Z246" s="9">
        <f t="shared" si="34"/>
        <v>12</v>
      </c>
      <c r="AA246" s="5" t="str">
        <f t="shared" si="35"/>
        <v>RAS</v>
      </c>
      <c r="AB246" s="5" t="s">
        <v>3811</v>
      </c>
      <c r="AC246" s="6" t="s">
        <v>3801</v>
      </c>
      <c r="AE246" s="5" t="s">
        <v>3844</v>
      </c>
      <c r="AF246" s="5" t="s">
        <v>4482</v>
      </c>
      <c r="AG246" s="5" t="s">
        <v>4485</v>
      </c>
      <c r="AH246" s="5" t="s">
        <v>4488</v>
      </c>
      <c r="AI246" s="5" t="s">
        <v>4197</v>
      </c>
      <c r="AJ246" s="5" t="s">
        <v>4223</v>
      </c>
      <c r="AK246" s="5" t="s">
        <v>4198</v>
      </c>
      <c r="AL246" s="5" t="s">
        <v>3858</v>
      </c>
    </row>
    <row r="247" spans="1:38" x14ac:dyDescent="0.3">
      <c r="A247" s="4">
        <v>45716</v>
      </c>
      <c r="B247" s="5" t="s">
        <v>952</v>
      </c>
      <c r="C247" s="5" t="s">
        <v>953</v>
      </c>
      <c r="D247" s="5" t="s">
        <v>954</v>
      </c>
      <c r="E247" s="5" t="s">
        <v>4494</v>
      </c>
      <c r="G247" s="5" t="s">
        <v>57</v>
      </c>
      <c r="H247" s="5" t="s">
        <v>955</v>
      </c>
      <c r="I247" s="5" t="s">
        <v>56</v>
      </c>
      <c r="J247" s="5" t="s">
        <v>2841</v>
      </c>
      <c r="K247" s="4">
        <v>40245</v>
      </c>
      <c r="L247" s="4">
        <v>40252</v>
      </c>
      <c r="M247" s="9">
        <f t="shared" si="27"/>
        <v>14</v>
      </c>
      <c r="N247" s="4" t="str">
        <f t="shared" si="29"/>
        <v>] 10 ; 15 ]</v>
      </c>
      <c r="O247" s="5" t="s">
        <v>3782</v>
      </c>
      <c r="P247" s="5" t="s">
        <v>3782</v>
      </c>
      <c r="Q247" s="5">
        <v>1</v>
      </c>
      <c r="R247" s="5" t="str">
        <f t="shared" si="30"/>
        <v>Management &amp; Expertise</v>
      </c>
      <c r="S247" s="5" t="s">
        <v>3789</v>
      </c>
      <c r="T247" s="4">
        <v>28236</v>
      </c>
      <c r="U247" s="5">
        <f t="shared" si="31"/>
        <v>1977</v>
      </c>
      <c r="V247" s="5" t="s">
        <v>3792</v>
      </c>
      <c r="W247" s="9">
        <f t="shared" si="28"/>
        <v>47</v>
      </c>
      <c r="X247" s="5" t="str">
        <f t="shared" si="32"/>
        <v>[45 - 49 ans]</v>
      </c>
      <c r="Y247" s="5" t="str">
        <f t="shared" si="33"/>
        <v xml:space="preserve"> Generation X </v>
      </c>
      <c r="Z247" s="9">
        <f t="shared" si="34"/>
        <v>13</v>
      </c>
      <c r="AA247" s="5" t="str">
        <f t="shared" si="35"/>
        <v>RAS</v>
      </c>
      <c r="AB247" s="5" t="s">
        <v>3806</v>
      </c>
      <c r="AC247" s="6" t="s">
        <v>3799</v>
      </c>
      <c r="AE247" s="5" t="s">
        <v>3845</v>
      </c>
      <c r="AF247" s="5" t="s">
        <v>4481</v>
      </c>
      <c r="AG247" s="5" t="s">
        <v>4485</v>
      </c>
      <c r="AH247" s="5" t="s">
        <v>4487</v>
      </c>
      <c r="AI247" s="5" t="s">
        <v>4122</v>
      </c>
      <c r="AJ247" s="5" t="s">
        <v>4134</v>
      </c>
      <c r="AK247" s="5" t="s">
        <v>4124</v>
      </c>
      <c r="AL247" s="5" t="s">
        <v>3854</v>
      </c>
    </row>
    <row r="248" spans="1:38" x14ac:dyDescent="0.3">
      <c r="A248" s="4">
        <v>45716</v>
      </c>
      <c r="B248" s="5" t="s">
        <v>956</v>
      </c>
      <c r="C248" s="5" t="s">
        <v>957</v>
      </c>
      <c r="D248" s="5" t="s">
        <v>958</v>
      </c>
      <c r="E248" s="5" t="s">
        <v>4494</v>
      </c>
      <c r="G248" s="5" t="s">
        <v>78</v>
      </c>
      <c r="H248" s="5" t="s">
        <v>959</v>
      </c>
      <c r="I248" s="5" t="s">
        <v>1069</v>
      </c>
      <c r="J248" s="5" t="s">
        <v>298</v>
      </c>
      <c r="K248" s="4">
        <v>40252</v>
      </c>
      <c r="L248" s="4">
        <v>40252</v>
      </c>
      <c r="M248" s="9">
        <f t="shared" si="27"/>
        <v>14</v>
      </c>
      <c r="N248" s="4" t="str">
        <f t="shared" si="29"/>
        <v>] 10 ; 15 ]</v>
      </c>
      <c r="O248" s="5" t="s">
        <v>3783</v>
      </c>
      <c r="P248" s="5" t="s">
        <v>3785</v>
      </c>
      <c r="Q248" s="5">
        <v>1</v>
      </c>
      <c r="R248" s="5" t="str">
        <f t="shared" si="30"/>
        <v>Specialisation</v>
      </c>
      <c r="S248" s="5" t="s">
        <v>3790</v>
      </c>
      <c r="T248" s="4">
        <v>29431</v>
      </c>
      <c r="U248" s="5">
        <f t="shared" si="31"/>
        <v>1980</v>
      </c>
      <c r="V248" s="5" t="s">
        <v>3793</v>
      </c>
      <c r="W248" s="9">
        <f t="shared" si="28"/>
        <v>44</v>
      </c>
      <c r="X248" s="5" t="str">
        <f t="shared" si="32"/>
        <v>[40 - 44 ans]</v>
      </c>
      <c r="Y248" s="5" t="str">
        <f t="shared" si="33"/>
        <v xml:space="preserve"> Generation X </v>
      </c>
      <c r="Z248" s="9">
        <f t="shared" si="34"/>
        <v>16</v>
      </c>
      <c r="AA248" s="5" t="str">
        <f t="shared" si="35"/>
        <v>RAS</v>
      </c>
      <c r="AB248" s="5" t="s">
        <v>3808</v>
      </c>
      <c r="AC248" s="6" t="s">
        <v>3799</v>
      </c>
      <c r="AE248" s="5" t="s">
        <v>3845</v>
      </c>
      <c r="AF248" s="5" t="s">
        <v>4482</v>
      </c>
      <c r="AG248" s="5" t="s">
        <v>4485</v>
      </c>
      <c r="AH248" s="5" t="s">
        <v>4488</v>
      </c>
      <c r="AI248" s="5" t="s">
        <v>4113</v>
      </c>
      <c r="AJ248" s="5" t="s">
        <v>4134</v>
      </c>
      <c r="AK248" s="5" t="s">
        <v>4090</v>
      </c>
      <c r="AL248" s="5" t="s">
        <v>3854</v>
      </c>
    </row>
    <row r="249" spans="1:38" x14ac:dyDescent="0.3">
      <c r="A249" s="4">
        <v>45716</v>
      </c>
      <c r="B249" s="5" t="s">
        <v>960</v>
      </c>
      <c r="C249" s="5" t="s">
        <v>961</v>
      </c>
      <c r="D249" s="5" t="s">
        <v>962</v>
      </c>
      <c r="E249" s="5" t="s">
        <v>4494</v>
      </c>
      <c r="G249" s="5" t="s">
        <v>39</v>
      </c>
      <c r="H249" s="5" t="s">
        <v>963</v>
      </c>
      <c r="I249" s="5" t="s">
        <v>1372</v>
      </c>
      <c r="J249" s="5" t="s">
        <v>1372</v>
      </c>
      <c r="K249" s="4">
        <v>40252</v>
      </c>
      <c r="L249" s="4">
        <v>40252</v>
      </c>
      <c r="M249" s="9">
        <f t="shared" si="27"/>
        <v>14</v>
      </c>
      <c r="N249" s="4" t="str">
        <f t="shared" si="29"/>
        <v>] 10 ; 15 ]</v>
      </c>
      <c r="O249" s="5" t="s">
        <v>3786</v>
      </c>
      <c r="P249" s="5" t="s">
        <v>3783</v>
      </c>
      <c r="Q249" s="5">
        <v>1</v>
      </c>
      <c r="R249" s="5" t="str">
        <f t="shared" si="30"/>
        <v>Specialisation</v>
      </c>
      <c r="S249" s="5" t="s">
        <v>3789</v>
      </c>
      <c r="T249" s="4">
        <v>28198</v>
      </c>
      <c r="U249" s="5">
        <f t="shared" si="31"/>
        <v>1977</v>
      </c>
      <c r="V249" s="5" t="s">
        <v>3793</v>
      </c>
      <c r="W249" s="9">
        <f t="shared" si="28"/>
        <v>47</v>
      </c>
      <c r="X249" s="5" t="str">
        <f t="shared" si="32"/>
        <v>[45 - 49 ans]</v>
      </c>
      <c r="Y249" s="5" t="str">
        <f t="shared" si="33"/>
        <v xml:space="preserve"> Generation X </v>
      </c>
      <c r="Z249" s="9">
        <f t="shared" si="34"/>
        <v>13</v>
      </c>
      <c r="AA249" s="5" t="str">
        <f t="shared" si="35"/>
        <v>RAS</v>
      </c>
      <c r="AB249" s="5" t="s">
        <v>3805</v>
      </c>
      <c r="AC249" s="6" t="s">
        <v>3799</v>
      </c>
      <c r="AE249" s="5" t="s">
        <v>3844</v>
      </c>
      <c r="AF249" s="5" t="s">
        <v>4482</v>
      </c>
      <c r="AG249" s="5" t="s">
        <v>4485</v>
      </c>
      <c r="AH249" s="5" t="s">
        <v>4489</v>
      </c>
      <c r="AI249" s="5" t="s">
        <v>4016</v>
      </c>
      <c r="AJ249" s="5" t="s">
        <v>4134</v>
      </c>
      <c r="AK249" s="5" t="s">
        <v>4018</v>
      </c>
      <c r="AL249" s="5" t="s">
        <v>3858</v>
      </c>
    </row>
    <row r="250" spans="1:38" x14ac:dyDescent="0.3">
      <c r="A250" s="4">
        <v>45716</v>
      </c>
      <c r="B250" s="5" t="s">
        <v>964</v>
      </c>
      <c r="C250" s="5" t="s">
        <v>965</v>
      </c>
      <c r="D250" s="5" t="s">
        <v>966</v>
      </c>
      <c r="E250" s="5" t="s">
        <v>4494</v>
      </c>
      <c r="G250" s="5" t="s">
        <v>39</v>
      </c>
      <c r="H250" s="5" t="s">
        <v>967</v>
      </c>
      <c r="I250" s="5" t="s">
        <v>397</v>
      </c>
      <c r="J250" s="5" t="s">
        <v>1899</v>
      </c>
      <c r="K250" s="4">
        <v>40252</v>
      </c>
      <c r="L250" s="4">
        <v>40252</v>
      </c>
      <c r="M250" s="9">
        <f t="shared" si="27"/>
        <v>14</v>
      </c>
      <c r="N250" s="4" t="str">
        <f t="shared" si="29"/>
        <v>] 10 ; 15 ]</v>
      </c>
      <c r="O250" s="5" t="s">
        <v>3785</v>
      </c>
      <c r="P250" s="5" t="s">
        <v>3782</v>
      </c>
      <c r="Q250" s="5">
        <v>1</v>
      </c>
      <c r="R250" s="5" t="str">
        <f t="shared" si="30"/>
        <v>Specialisation</v>
      </c>
      <c r="S250" s="5" t="s">
        <v>3789</v>
      </c>
      <c r="T250" s="4">
        <v>28939</v>
      </c>
      <c r="U250" s="5">
        <f t="shared" si="31"/>
        <v>1979</v>
      </c>
      <c r="V250" s="5" t="s">
        <v>3793</v>
      </c>
      <c r="W250" s="9">
        <f t="shared" si="28"/>
        <v>45</v>
      </c>
      <c r="X250" s="5" t="str">
        <f t="shared" si="32"/>
        <v>[45 - 49 ans]</v>
      </c>
      <c r="Y250" s="5" t="str">
        <f t="shared" si="33"/>
        <v xml:space="preserve"> Generation X </v>
      </c>
      <c r="Z250" s="9">
        <f t="shared" si="34"/>
        <v>15</v>
      </c>
      <c r="AA250" s="5" t="str">
        <f t="shared" si="35"/>
        <v>RAS</v>
      </c>
      <c r="AB250" s="5" t="s">
        <v>3807</v>
      </c>
      <c r="AC250" s="6" t="s">
        <v>3799</v>
      </c>
      <c r="AE250" s="5" t="s">
        <v>3844</v>
      </c>
      <c r="AF250" s="5" t="s">
        <v>4481</v>
      </c>
      <c r="AG250" s="5" t="s">
        <v>4485</v>
      </c>
      <c r="AH250" s="5" t="s">
        <v>4489</v>
      </c>
      <c r="AI250" s="5" t="s">
        <v>4224</v>
      </c>
      <c r="AJ250" s="5" t="s">
        <v>4134</v>
      </c>
      <c r="AK250" s="5" t="s">
        <v>4030</v>
      </c>
      <c r="AL250" s="5" t="s">
        <v>3858</v>
      </c>
    </row>
    <row r="251" spans="1:38" x14ac:dyDescent="0.3">
      <c r="A251" s="4">
        <v>45716</v>
      </c>
      <c r="B251" s="5" t="s">
        <v>968</v>
      </c>
      <c r="C251" s="5" t="s">
        <v>969</v>
      </c>
      <c r="D251" s="5" t="s">
        <v>970</v>
      </c>
      <c r="E251" s="5" t="s">
        <v>4494</v>
      </c>
      <c r="G251" s="5" t="s">
        <v>83</v>
      </c>
      <c r="H251" s="5" t="s">
        <v>971</v>
      </c>
      <c r="I251" s="5" t="s">
        <v>1222</v>
      </c>
      <c r="J251" s="5" t="s">
        <v>82</v>
      </c>
      <c r="K251" s="4">
        <v>40252</v>
      </c>
      <c r="L251" s="4">
        <v>40252</v>
      </c>
      <c r="M251" s="9">
        <f t="shared" si="27"/>
        <v>14</v>
      </c>
      <c r="N251" s="4" t="str">
        <f t="shared" si="29"/>
        <v>] 10 ; 15 ]</v>
      </c>
      <c r="O251" s="5" t="s">
        <v>3782</v>
      </c>
      <c r="P251" s="5" t="s">
        <v>3784</v>
      </c>
      <c r="Q251" s="5">
        <v>1</v>
      </c>
      <c r="R251" s="5" t="str">
        <f t="shared" si="30"/>
        <v>Management &amp; Expertise</v>
      </c>
      <c r="S251" s="5" t="s">
        <v>3789</v>
      </c>
      <c r="T251" s="4">
        <v>28985</v>
      </c>
      <c r="U251" s="5">
        <f t="shared" si="31"/>
        <v>1979</v>
      </c>
      <c r="V251" s="5" t="s">
        <v>3793</v>
      </c>
      <c r="W251" s="9">
        <f t="shared" si="28"/>
        <v>45</v>
      </c>
      <c r="X251" s="5" t="str">
        <f t="shared" si="32"/>
        <v>[45 - 49 ans]</v>
      </c>
      <c r="Y251" s="5" t="str">
        <f t="shared" si="33"/>
        <v xml:space="preserve"> Generation X </v>
      </c>
      <c r="Z251" s="9">
        <f t="shared" si="34"/>
        <v>15</v>
      </c>
      <c r="AA251" s="5" t="str">
        <f t="shared" si="35"/>
        <v>RAS</v>
      </c>
      <c r="AB251" s="5" t="s">
        <v>3807</v>
      </c>
      <c r="AC251" s="6" t="s">
        <v>3799</v>
      </c>
      <c r="AE251" s="5" t="s">
        <v>3845</v>
      </c>
      <c r="AF251" s="5" t="s">
        <v>4481</v>
      </c>
      <c r="AG251" s="5" t="s">
        <v>4485</v>
      </c>
      <c r="AH251" s="5" t="s">
        <v>4489</v>
      </c>
      <c r="AI251" s="5" t="s">
        <v>4225</v>
      </c>
      <c r="AJ251" s="5" t="s">
        <v>4134</v>
      </c>
      <c r="AK251" s="5" t="s">
        <v>4226</v>
      </c>
      <c r="AL251" s="5" t="s">
        <v>3854</v>
      </c>
    </row>
    <row r="252" spans="1:38" x14ac:dyDescent="0.3">
      <c r="A252" s="4">
        <v>45716</v>
      </c>
      <c r="B252" s="5" t="s">
        <v>972</v>
      </c>
      <c r="C252" s="5" t="s">
        <v>973</v>
      </c>
      <c r="D252" s="5" t="s">
        <v>974</v>
      </c>
      <c r="E252" s="5" t="s">
        <v>4494</v>
      </c>
      <c r="G252" s="5" t="s">
        <v>29</v>
      </c>
      <c r="H252" s="5" t="s">
        <v>975</v>
      </c>
      <c r="I252" s="5" t="s">
        <v>2355</v>
      </c>
      <c r="J252" s="5" t="s">
        <v>2841</v>
      </c>
      <c r="K252" s="4">
        <v>40252</v>
      </c>
      <c r="L252" s="4">
        <v>40252</v>
      </c>
      <c r="M252" s="9">
        <f t="shared" si="27"/>
        <v>14</v>
      </c>
      <c r="N252" s="4" t="str">
        <f t="shared" si="29"/>
        <v>] 10 ; 15 ]</v>
      </c>
      <c r="O252" s="5" t="s">
        <v>3784</v>
      </c>
      <c r="P252" s="5" t="s">
        <v>3784</v>
      </c>
      <c r="Q252" s="5">
        <v>2</v>
      </c>
      <c r="R252" s="5" t="str">
        <f t="shared" si="30"/>
        <v>Management &amp; Expertise</v>
      </c>
      <c r="S252" s="5" t="s">
        <v>3789</v>
      </c>
      <c r="T252" s="4">
        <v>28987</v>
      </c>
      <c r="U252" s="5">
        <f t="shared" si="31"/>
        <v>1979</v>
      </c>
      <c r="V252" s="5" t="s">
        <v>3793</v>
      </c>
      <c r="W252" s="9">
        <f t="shared" si="28"/>
        <v>45</v>
      </c>
      <c r="X252" s="5" t="str">
        <f t="shared" si="32"/>
        <v>[45 - 49 ans]</v>
      </c>
      <c r="Y252" s="5" t="str">
        <f t="shared" si="33"/>
        <v xml:space="preserve"> Generation X </v>
      </c>
      <c r="Z252" s="9">
        <f t="shared" si="34"/>
        <v>15</v>
      </c>
      <c r="AA252" s="5" t="str">
        <f t="shared" si="35"/>
        <v>RAS</v>
      </c>
      <c r="AB252" s="5" t="s">
        <v>3806</v>
      </c>
      <c r="AC252" s="6" t="s">
        <v>3799</v>
      </c>
      <c r="AE252" s="5" t="s">
        <v>3845</v>
      </c>
      <c r="AF252" s="5" t="s">
        <v>4481</v>
      </c>
      <c r="AG252" s="5" t="s">
        <v>4485</v>
      </c>
      <c r="AH252" s="5" t="s">
        <v>4487</v>
      </c>
      <c r="AI252" s="5" t="s">
        <v>4227</v>
      </c>
      <c r="AJ252" s="5" t="s">
        <v>4134</v>
      </c>
      <c r="AK252" s="5" t="s">
        <v>4228</v>
      </c>
      <c r="AL252" s="5" t="s">
        <v>3854</v>
      </c>
    </row>
    <row r="253" spans="1:38" x14ac:dyDescent="0.3">
      <c r="A253" s="4">
        <v>45716</v>
      </c>
      <c r="B253" s="5" t="s">
        <v>976</v>
      </c>
      <c r="C253" s="5" t="s">
        <v>977</v>
      </c>
      <c r="D253" s="5" t="s">
        <v>978</v>
      </c>
      <c r="E253" s="5" t="s">
        <v>4494</v>
      </c>
      <c r="G253" s="5" t="s">
        <v>83</v>
      </c>
      <c r="H253" s="5" t="s">
        <v>979</v>
      </c>
      <c r="I253" s="5" t="s">
        <v>346</v>
      </c>
      <c r="J253" s="5" t="s">
        <v>82</v>
      </c>
      <c r="K253" s="4">
        <v>40252</v>
      </c>
      <c r="L253" s="4">
        <v>40252</v>
      </c>
      <c r="M253" s="9">
        <f t="shared" si="27"/>
        <v>14</v>
      </c>
      <c r="N253" s="4" t="str">
        <f t="shared" si="29"/>
        <v>] 10 ; 15 ]</v>
      </c>
      <c r="O253" s="5" t="s">
        <v>3782</v>
      </c>
      <c r="P253" s="5" t="s">
        <v>3782</v>
      </c>
      <c r="Q253" s="5">
        <v>1</v>
      </c>
      <c r="R253" s="5" t="str">
        <f t="shared" si="30"/>
        <v>Management &amp; Expertise</v>
      </c>
      <c r="S253" s="5" t="s">
        <v>3789</v>
      </c>
      <c r="T253" s="4">
        <v>30691</v>
      </c>
      <c r="U253" s="5">
        <f t="shared" si="31"/>
        <v>1984</v>
      </c>
      <c r="V253" s="5" t="s">
        <v>3793</v>
      </c>
      <c r="W253" s="9">
        <f t="shared" si="28"/>
        <v>41</v>
      </c>
      <c r="X253" s="5" t="str">
        <f t="shared" si="32"/>
        <v>[40 - 44 ans]</v>
      </c>
      <c r="Y253" s="5" t="str">
        <f t="shared" si="33"/>
        <v xml:space="preserve"> Mellenials </v>
      </c>
      <c r="Z253" s="9">
        <f t="shared" si="34"/>
        <v>19</v>
      </c>
      <c r="AA253" s="5" t="str">
        <f t="shared" si="35"/>
        <v>RAS</v>
      </c>
      <c r="AB253" s="5" t="s">
        <v>3807</v>
      </c>
      <c r="AC253" s="6" t="s">
        <v>3799</v>
      </c>
      <c r="AE253" s="5" t="s">
        <v>3845</v>
      </c>
      <c r="AF253" s="5" t="s">
        <v>4481</v>
      </c>
      <c r="AG253" s="5" t="s">
        <v>4485</v>
      </c>
      <c r="AH253" s="5" t="s">
        <v>4489</v>
      </c>
      <c r="AI253" s="5" t="s">
        <v>4229</v>
      </c>
      <c r="AJ253" s="5" t="s">
        <v>4134</v>
      </c>
      <c r="AK253" s="5" t="s">
        <v>3993</v>
      </c>
      <c r="AL253" s="5" t="s">
        <v>3858</v>
      </c>
    </row>
    <row r="254" spans="1:38" x14ac:dyDescent="0.3">
      <c r="A254" s="4">
        <v>45716</v>
      </c>
      <c r="B254" s="5" t="s">
        <v>980</v>
      </c>
      <c r="C254" s="5" t="s">
        <v>981</v>
      </c>
      <c r="D254" s="5" t="s">
        <v>982</v>
      </c>
      <c r="E254" s="5" t="s">
        <v>4494</v>
      </c>
      <c r="G254" s="5" t="s">
        <v>178</v>
      </c>
      <c r="H254" s="5" t="s">
        <v>983</v>
      </c>
      <c r="I254" s="5" t="s">
        <v>435</v>
      </c>
      <c r="J254" s="5" t="s">
        <v>1368</v>
      </c>
      <c r="K254" s="4">
        <v>40259</v>
      </c>
      <c r="L254" s="4">
        <v>40259</v>
      </c>
      <c r="M254" s="9">
        <f t="shared" si="27"/>
        <v>14</v>
      </c>
      <c r="N254" s="4" t="str">
        <f t="shared" si="29"/>
        <v>] 10 ; 15 ]</v>
      </c>
      <c r="O254" s="5" t="s">
        <v>3782</v>
      </c>
      <c r="P254" s="5" t="s">
        <v>3782</v>
      </c>
      <c r="Q254" s="5">
        <v>2</v>
      </c>
      <c r="R254" s="5" t="str">
        <f t="shared" si="30"/>
        <v>Management &amp; Expertise</v>
      </c>
      <c r="S254" s="5" t="s">
        <v>3789</v>
      </c>
      <c r="T254" s="4">
        <v>30298</v>
      </c>
      <c r="U254" s="5">
        <f t="shared" si="31"/>
        <v>1982</v>
      </c>
      <c r="V254" s="5" t="s">
        <v>3793</v>
      </c>
      <c r="W254" s="9">
        <f t="shared" si="28"/>
        <v>42</v>
      </c>
      <c r="X254" s="5" t="str">
        <f t="shared" si="32"/>
        <v>[40 - 44 ans]</v>
      </c>
      <c r="Y254" s="5" t="str">
        <f t="shared" si="33"/>
        <v xml:space="preserve"> Mellenials </v>
      </c>
      <c r="Z254" s="9">
        <f t="shared" si="34"/>
        <v>18</v>
      </c>
      <c r="AA254" s="5" t="str">
        <f t="shared" si="35"/>
        <v>RAS</v>
      </c>
      <c r="AB254" s="5" t="s">
        <v>3806</v>
      </c>
      <c r="AC254" s="6" t="s">
        <v>3799</v>
      </c>
      <c r="AE254" s="5" t="s">
        <v>3845</v>
      </c>
      <c r="AF254" s="5" t="s">
        <v>4481</v>
      </c>
      <c r="AG254" s="5" t="s">
        <v>4485</v>
      </c>
      <c r="AH254" s="5" t="s">
        <v>4488</v>
      </c>
      <c r="AI254" s="5" t="s">
        <v>4209</v>
      </c>
      <c r="AJ254" s="5" t="s">
        <v>4134</v>
      </c>
      <c r="AK254" s="5" t="s">
        <v>3962</v>
      </c>
      <c r="AL254" s="5" t="s">
        <v>3854</v>
      </c>
    </row>
    <row r="255" spans="1:38" x14ac:dyDescent="0.3">
      <c r="A255" s="4">
        <v>45716</v>
      </c>
      <c r="B255" s="5" t="s">
        <v>984</v>
      </c>
      <c r="C255" s="5" t="s">
        <v>985</v>
      </c>
      <c r="D255" s="5" t="s">
        <v>986</v>
      </c>
      <c r="E255" s="5" t="s">
        <v>4494</v>
      </c>
      <c r="G255" s="5" t="s">
        <v>29</v>
      </c>
      <c r="H255" s="5" t="s">
        <v>987</v>
      </c>
      <c r="I255" s="5" t="s">
        <v>1907</v>
      </c>
      <c r="J255" s="5" t="s">
        <v>157</v>
      </c>
      <c r="K255" s="4">
        <v>40259</v>
      </c>
      <c r="L255" s="4">
        <v>40259</v>
      </c>
      <c r="M255" s="9">
        <f t="shared" si="27"/>
        <v>14</v>
      </c>
      <c r="N255" s="4" t="str">
        <f t="shared" si="29"/>
        <v>] 10 ; 15 ]</v>
      </c>
      <c r="O255" s="5" t="s">
        <v>3785</v>
      </c>
      <c r="P255" s="5" t="s">
        <v>3785</v>
      </c>
      <c r="Q255" s="5">
        <v>2</v>
      </c>
      <c r="R255" s="5" t="str">
        <f t="shared" si="30"/>
        <v>Specialisation</v>
      </c>
      <c r="S255" s="5" t="s">
        <v>3790</v>
      </c>
      <c r="T255" s="4">
        <v>32079</v>
      </c>
      <c r="U255" s="5">
        <f t="shared" si="31"/>
        <v>1987</v>
      </c>
      <c r="V255" s="5" t="s">
        <v>3793</v>
      </c>
      <c r="W255" s="9">
        <f t="shared" si="28"/>
        <v>37</v>
      </c>
      <c r="X255" s="5" t="str">
        <f t="shared" si="32"/>
        <v>[35 - 39 ans ]</v>
      </c>
      <c r="Y255" s="5" t="str">
        <f t="shared" si="33"/>
        <v xml:space="preserve"> Mellenials </v>
      </c>
      <c r="Z255" s="9">
        <f t="shared" si="34"/>
        <v>23</v>
      </c>
      <c r="AA255" s="5" t="str">
        <f t="shared" si="35"/>
        <v>RAS</v>
      </c>
      <c r="AB255" s="5" t="s">
        <v>3806</v>
      </c>
      <c r="AC255" s="6" t="s">
        <v>3799</v>
      </c>
      <c r="AE255" s="5" t="s">
        <v>3844</v>
      </c>
      <c r="AF255" s="5" t="s">
        <v>4481</v>
      </c>
      <c r="AG255" s="5" t="s">
        <v>4485</v>
      </c>
      <c r="AH255" s="5" t="s">
        <v>4487</v>
      </c>
      <c r="AI255" s="5" t="s">
        <v>4230</v>
      </c>
      <c r="AJ255" s="5" t="s">
        <v>4134</v>
      </c>
      <c r="AK255" s="5" t="s">
        <v>3937</v>
      </c>
      <c r="AL255" s="5" t="s">
        <v>3858</v>
      </c>
    </row>
    <row r="256" spans="1:38" x14ac:dyDescent="0.3">
      <c r="A256" s="4">
        <v>45716</v>
      </c>
      <c r="B256" s="5" t="s">
        <v>988</v>
      </c>
      <c r="C256" s="5" t="s">
        <v>989</v>
      </c>
      <c r="D256" s="5" t="s">
        <v>990</v>
      </c>
      <c r="E256" s="5" t="s">
        <v>4494</v>
      </c>
      <c r="G256" s="5" t="s">
        <v>39</v>
      </c>
      <c r="H256" s="5" t="s">
        <v>991</v>
      </c>
      <c r="I256" s="5" t="s">
        <v>1698</v>
      </c>
      <c r="J256" s="5" t="s">
        <v>1256</v>
      </c>
      <c r="K256" s="4">
        <v>40259</v>
      </c>
      <c r="L256" s="4">
        <v>40259</v>
      </c>
      <c r="M256" s="9">
        <f t="shared" si="27"/>
        <v>14</v>
      </c>
      <c r="N256" s="4" t="str">
        <f t="shared" si="29"/>
        <v>] 10 ; 15 ]</v>
      </c>
      <c r="O256" s="5" t="s">
        <v>3786</v>
      </c>
      <c r="P256" s="5" t="s">
        <v>3783</v>
      </c>
      <c r="Q256" s="5">
        <v>1</v>
      </c>
      <c r="R256" s="5" t="str">
        <f t="shared" si="30"/>
        <v>Specialisation</v>
      </c>
      <c r="S256" s="5" t="s">
        <v>3789</v>
      </c>
      <c r="T256" s="4">
        <v>28882</v>
      </c>
      <c r="U256" s="5">
        <f t="shared" si="31"/>
        <v>1979</v>
      </c>
      <c r="V256" s="5" t="s">
        <v>3792</v>
      </c>
      <c r="W256" s="9">
        <f t="shared" si="28"/>
        <v>46</v>
      </c>
      <c r="X256" s="5" t="str">
        <f t="shared" si="32"/>
        <v>[45 - 49 ans]</v>
      </c>
      <c r="Y256" s="5" t="str">
        <f t="shared" si="33"/>
        <v xml:space="preserve"> Generation X </v>
      </c>
      <c r="Z256" s="9">
        <f t="shared" si="34"/>
        <v>14</v>
      </c>
      <c r="AA256" s="5" t="str">
        <f t="shared" si="35"/>
        <v>RAS</v>
      </c>
      <c r="AB256" s="5" t="s">
        <v>3807</v>
      </c>
      <c r="AC256" s="6" t="s">
        <v>3799</v>
      </c>
      <c r="AE256" s="5" t="s">
        <v>3844</v>
      </c>
      <c r="AF256" s="5" t="s">
        <v>4482</v>
      </c>
      <c r="AG256" s="5" t="s">
        <v>4485</v>
      </c>
      <c r="AH256" s="5" t="s">
        <v>4489</v>
      </c>
      <c r="AI256" s="5" t="s">
        <v>4231</v>
      </c>
      <c r="AJ256" s="5" t="s">
        <v>4134</v>
      </c>
      <c r="AK256" s="5" t="s">
        <v>4232</v>
      </c>
      <c r="AL256" s="5" t="s">
        <v>3858</v>
      </c>
    </row>
    <row r="257" spans="1:38" x14ac:dyDescent="0.3">
      <c r="A257" s="4">
        <v>45716</v>
      </c>
      <c r="B257" s="5" t="s">
        <v>992</v>
      </c>
      <c r="C257" s="5" t="s">
        <v>993</v>
      </c>
      <c r="D257" s="5" t="s">
        <v>994</v>
      </c>
      <c r="E257" s="5" t="s">
        <v>4494</v>
      </c>
      <c r="G257" s="5" t="s">
        <v>39</v>
      </c>
      <c r="H257" s="5" t="s">
        <v>995</v>
      </c>
      <c r="I257" s="5" t="s">
        <v>1372</v>
      </c>
      <c r="J257" s="5" t="s">
        <v>2821</v>
      </c>
      <c r="K257" s="4">
        <v>40259</v>
      </c>
      <c r="L257" s="4">
        <v>40259</v>
      </c>
      <c r="M257" s="9">
        <f t="shared" ref="M257:M320" si="36">DATEDIF(L257,A257,"y")</f>
        <v>14</v>
      </c>
      <c r="N257" s="4" t="str">
        <f t="shared" si="29"/>
        <v>] 10 ; 15 ]</v>
      </c>
      <c r="O257" s="5" t="s">
        <v>3783</v>
      </c>
      <c r="P257" s="5" t="s">
        <v>3785</v>
      </c>
      <c r="Q257" s="5">
        <v>1</v>
      </c>
      <c r="R257" s="5" t="str">
        <f t="shared" si="30"/>
        <v>Specialisation</v>
      </c>
      <c r="S257" s="5" t="s">
        <v>3789</v>
      </c>
      <c r="T257" s="4">
        <v>26365</v>
      </c>
      <c r="U257" s="5">
        <f t="shared" si="31"/>
        <v>1972</v>
      </c>
      <c r="V257" s="5" t="s">
        <v>3793</v>
      </c>
      <c r="W257" s="9">
        <f t="shared" ref="W257:W320" si="37">DATEDIF(T257,A257,"y")</f>
        <v>52</v>
      </c>
      <c r="X257" s="5" t="str">
        <f t="shared" si="32"/>
        <v>[50 ans, +oo [</v>
      </c>
      <c r="Y257" s="5" t="str">
        <f t="shared" si="33"/>
        <v xml:space="preserve"> Generation X </v>
      </c>
      <c r="Z257" s="9">
        <f t="shared" si="34"/>
        <v>8</v>
      </c>
      <c r="AA257" s="5" t="str">
        <f t="shared" si="35"/>
        <v>RAS</v>
      </c>
      <c r="AB257" s="5" t="s">
        <v>3807</v>
      </c>
      <c r="AC257" s="6" t="s">
        <v>3799</v>
      </c>
      <c r="AE257" s="5" t="s">
        <v>3844</v>
      </c>
      <c r="AF257" s="5" t="s">
        <v>4482</v>
      </c>
      <c r="AG257" s="5" t="s">
        <v>4485</v>
      </c>
      <c r="AH257" s="5" t="s">
        <v>4489</v>
      </c>
      <c r="AI257" s="5" t="s">
        <v>3920</v>
      </c>
      <c r="AJ257" s="5" t="s">
        <v>4134</v>
      </c>
      <c r="AK257" s="5">
        <v>14138</v>
      </c>
      <c r="AL257" s="5" t="s">
        <v>3858</v>
      </c>
    </row>
    <row r="258" spans="1:38" x14ac:dyDescent="0.3">
      <c r="A258" s="4">
        <v>45716</v>
      </c>
      <c r="B258" s="5" t="s">
        <v>996</v>
      </c>
      <c r="C258" s="5" t="s">
        <v>997</v>
      </c>
      <c r="D258" s="5" t="s">
        <v>998</v>
      </c>
      <c r="E258" s="5" t="s">
        <v>4494</v>
      </c>
      <c r="G258" s="5" t="s">
        <v>24</v>
      </c>
      <c r="H258" s="5" t="s">
        <v>999</v>
      </c>
      <c r="I258" s="5" t="s">
        <v>23</v>
      </c>
      <c r="J258" s="5" t="s">
        <v>1857</v>
      </c>
      <c r="K258" s="4">
        <v>40261</v>
      </c>
      <c r="L258" s="4">
        <v>40261</v>
      </c>
      <c r="M258" s="9">
        <f t="shared" si="36"/>
        <v>14</v>
      </c>
      <c r="N258" s="4" t="str">
        <f t="shared" ref="N258:N321" si="38">IF(M258&lt;=2," ] 0 ; 2 ]",IF(AND(M258&gt;2,M258&lt;=5),"] 2 ; 5 ]",IF(AND(M258&gt;5,M258&lt;=8),"] 5 ; 8 ]",IF(AND(M258&gt;8,M258&lt;=10),"] 8 ; 10 ]",IF(AND(M258&gt;10,M258&lt;=15),"] 10 ; 15 ]","] 15 ; +oo [")))))</f>
        <v>] 10 ; 15 ]</v>
      </c>
      <c r="O258" s="5" t="s">
        <v>3782</v>
      </c>
      <c r="P258" s="5" t="s">
        <v>3782</v>
      </c>
      <c r="Q258" s="5">
        <v>1</v>
      </c>
      <c r="R258" s="5" t="str">
        <f t="shared" ref="R258:R321" si="39">IF(OR(O258="A",O258="B",O258="C",O258="D"),"Qualification",IF(OR(O258="E",O258="F",O258="G"),"Specialisation","Management &amp; Expertise"))</f>
        <v>Management &amp; Expertise</v>
      </c>
      <c r="S258" s="5" t="s">
        <v>3789</v>
      </c>
      <c r="T258" s="4">
        <v>30668</v>
      </c>
      <c r="U258" s="5">
        <f t="shared" ref="U258:U321" si="40">YEAR(T258)</f>
        <v>1983</v>
      </c>
      <c r="V258" s="5" t="s">
        <v>3793</v>
      </c>
      <c r="W258" s="9">
        <f t="shared" si="37"/>
        <v>41</v>
      </c>
      <c r="X258" s="5" t="str">
        <f t="shared" ref="X258:X321" si="41">IF(W258&lt;30,"[20 - 29 ans[",IF(AND(W258&gt;=30,W258&lt;35),"[30 - 34 ans]",IF(AND(W258&gt;=35,W258&lt;40),"[35 - 39 ans ]",IF(AND(W258&gt;=40,W258&lt;45),"[40 - 44 ans]",IF(AND(W258&gt;=45,W258&lt;50),"[45 - 49 ans]","[50 ans, +oo [")))))</f>
        <v>[40 - 44 ans]</v>
      </c>
      <c r="Y258" s="5" t="str">
        <f t="shared" ref="Y258:Y321" si="42">IF(AND(U258&gt;1946,U258&lt;=1965)," Baby - Boomers ",IF(AND(U258&gt;1965,U258&lt;=1980)," Generation X ",IF(AND(U258&gt;1980,U258&lt;1996)," Mellenials ",IF(AND(U258&gt;1996,U258&lt;2012)," Gen Z "," Gen Alpha"))))</f>
        <v xml:space="preserve"> Mellenials </v>
      </c>
      <c r="Z258" s="9">
        <f t="shared" ref="Z258:Z321" si="43">60-W258</f>
        <v>19</v>
      </c>
      <c r="AA258" s="5" t="str">
        <f t="shared" ref="AA258:AA321" si="44">IF(Z258&lt;=5,"Départ à la Retraite 5ans","RAS")</f>
        <v>RAS</v>
      </c>
      <c r="AB258" s="5" t="s">
        <v>3809</v>
      </c>
      <c r="AC258" s="6" t="s">
        <v>3800</v>
      </c>
      <c r="AE258" s="5" t="s">
        <v>3845</v>
      </c>
      <c r="AF258" s="5" t="s">
        <v>4481</v>
      </c>
      <c r="AG258" s="5" t="s">
        <v>4485</v>
      </c>
      <c r="AH258" s="5" t="s">
        <v>4488</v>
      </c>
      <c r="AI258" s="5" t="s">
        <v>3851</v>
      </c>
      <c r="AJ258" s="5" t="s">
        <v>4134</v>
      </c>
      <c r="AK258" s="5" t="s">
        <v>3853</v>
      </c>
      <c r="AL258" s="5" t="s">
        <v>3854</v>
      </c>
    </row>
    <row r="259" spans="1:38" x14ac:dyDescent="0.3">
      <c r="A259" s="4">
        <v>45716</v>
      </c>
      <c r="B259" s="5" t="s">
        <v>1000</v>
      </c>
      <c r="C259" s="5" t="s">
        <v>1001</v>
      </c>
      <c r="D259" s="5" t="s">
        <v>1002</v>
      </c>
      <c r="E259" s="5" t="s">
        <v>4494</v>
      </c>
      <c r="G259" s="5" t="s">
        <v>88</v>
      </c>
      <c r="H259" s="5" t="s">
        <v>653</v>
      </c>
      <c r="I259" s="5" t="s">
        <v>883</v>
      </c>
      <c r="J259" s="5" t="s">
        <v>182</v>
      </c>
      <c r="K259" s="4">
        <v>40261</v>
      </c>
      <c r="L259" s="4">
        <v>40261</v>
      </c>
      <c r="M259" s="9">
        <f t="shared" si="36"/>
        <v>14</v>
      </c>
      <c r="N259" s="4" t="str">
        <f t="shared" si="38"/>
        <v>] 10 ; 15 ]</v>
      </c>
      <c r="O259" s="5" t="s">
        <v>3785</v>
      </c>
      <c r="P259" s="5" t="s">
        <v>3782</v>
      </c>
      <c r="Q259" s="5">
        <v>1</v>
      </c>
      <c r="R259" s="5" t="str">
        <f t="shared" si="39"/>
        <v>Specialisation</v>
      </c>
      <c r="S259" s="5" t="s">
        <v>3789</v>
      </c>
      <c r="T259" s="4">
        <v>30970</v>
      </c>
      <c r="U259" s="5">
        <f t="shared" si="40"/>
        <v>1984</v>
      </c>
      <c r="V259" s="5" t="s">
        <v>3793</v>
      </c>
      <c r="W259" s="9">
        <f t="shared" si="37"/>
        <v>40</v>
      </c>
      <c r="X259" s="5" t="str">
        <f t="shared" si="41"/>
        <v>[40 - 44 ans]</v>
      </c>
      <c r="Y259" s="5" t="str">
        <f t="shared" si="42"/>
        <v xml:space="preserve"> Mellenials </v>
      </c>
      <c r="Z259" s="9">
        <f t="shared" si="43"/>
        <v>20</v>
      </c>
      <c r="AA259" s="5" t="str">
        <f t="shared" si="44"/>
        <v>RAS</v>
      </c>
      <c r="AB259" s="5" t="s">
        <v>3818</v>
      </c>
      <c r="AC259" s="6" t="s">
        <v>3799</v>
      </c>
      <c r="AE259" s="5" t="s">
        <v>3845</v>
      </c>
      <c r="AF259" s="5" t="s">
        <v>4481</v>
      </c>
      <c r="AG259" s="5" t="s">
        <v>4485</v>
      </c>
      <c r="AH259" s="5" t="s">
        <v>4488</v>
      </c>
      <c r="AI259" s="5" t="s">
        <v>4149</v>
      </c>
      <c r="AJ259" s="5" t="s">
        <v>4134</v>
      </c>
      <c r="AK259" s="5" t="s">
        <v>4151</v>
      </c>
      <c r="AL259" s="5" t="s">
        <v>3854</v>
      </c>
    </row>
    <row r="260" spans="1:38" x14ac:dyDescent="0.3">
      <c r="A260" s="4">
        <v>45716</v>
      </c>
      <c r="B260" s="5" t="s">
        <v>1003</v>
      </c>
      <c r="C260" s="5" t="s">
        <v>1004</v>
      </c>
      <c r="D260" s="5" t="s">
        <v>1005</v>
      </c>
      <c r="E260" s="5" t="s">
        <v>4494</v>
      </c>
      <c r="G260" s="5" t="s">
        <v>88</v>
      </c>
      <c r="H260" s="5" t="s">
        <v>456</v>
      </c>
      <c r="I260" s="5" t="s">
        <v>1002</v>
      </c>
      <c r="J260" s="5" t="s">
        <v>883</v>
      </c>
      <c r="K260" s="4">
        <v>40261</v>
      </c>
      <c r="L260" s="4">
        <v>40261</v>
      </c>
      <c r="M260" s="9">
        <f t="shared" si="36"/>
        <v>14</v>
      </c>
      <c r="N260" s="4" t="str">
        <f t="shared" si="38"/>
        <v>] 10 ; 15 ]</v>
      </c>
      <c r="O260" s="5" t="s">
        <v>3780</v>
      </c>
      <c r="P260" s="5" t="s">
        <v>3786</v>
      </c>
      <c r="Q260" s="5">
        <v>1</v>
      </c>
      <c r="R260" s="5" t="str">
        <f t="shared" si="39"/>
        <v>Qualification</v>
      </c>
      <c r="S260" s="5" t="s">
        <v>3789</v>
      </c>
      <c r="T260" s="4">
        <v>31768</v>
      </c>
      <c r="U260" s="5">
        <f t="shared" si="40"/>
        <v>1986</v>
      </c>
      <c r="V260" s="5" t="s">
        <v>3793</v>
      </c>
      <c r="W260" s="9">
        <f t="shared" si="37"/>
        <v>38</v>
      </c>
      <c r="X260" s="5" t="str">
        <f t="shared" si="41"/>
        <v>[35 - 39 ans ]</v>
      </c>
      <c r="Y260" s="5" t="str">
        <f t="shared" si="42"/>
        <v xml:space="preserve"> Mellenials </v>
      </c>
      <c r="Z260" s="9">
        <f t="shared" si="43"/>
        <v>22</v>
      </c>
      <c r="AA260" s="5" t="str">
        <f t="shared" si="44"/>
        <v>RAS</v>
      </c>
      <c r="AB260" s="5" t="s">
        <v>3818</v>
      </c>
      <c r="AC260" s="6" t="s">
        <v>3799</v>
      </c>
      <c r="AE260" s="5" t="s">
        <v>3844</v>
      </c>
      <c r="AF260" s="5" t="s">
        <v>4482</v>
      </c>
      <c r="AG260" s="5" t="s">
        <v>4485</v>
      </c>
      <c r="AH260" s="5" t="s">
        <v>4488</v>
      </c>
      <c r="AI260" s="5" t="s">
        <v>4149</v>
      </c>
      <c r="AJ260" s="5" t="s">
        <v>4134</v>
      </c>
      <c r="AK260" s="5" t="s">
        <v>4151</v>
      </c>
      <c r="AL260" s="5" t="s">
        <v>3858</v>
      </c>
    </row>
    <row r="261" spans="1:38" x14ac:dyDescent="0.3">
      <c r="A261" s="4">
        <v>45716</v>
      </c>
      <c r="B261" s="5" t="s">
        <v>1006</v>
      </c>
      <c r="C261" s="5" t="s">
        <v>1007</v>
      </c>
      <c r="D261" s="5" t="s">
        <v>1008</v>
      </c>
      <c r="E261" s="5" t="s">
        <v>4494</v>
      </c>
      <c r="G261" s="5" t="s">
        <v>88</v>
      </c>
      <c r="H261" s="5" t="s">
        <v>456</v>
      </c>
      <c r="I261" s="5" t="s">
        <v>779</v>
      </c>
      <c r="J261" s="5" t="s">
        <v>883</v>
      </c>
      <c r="K261" s="4">
        <v>40261</v>
      </c>
      <c r="L261" s="4">
        <v>40261</v>
      </c>
      <c r="M261" s="9">
        <f t="shared" si="36"/>
        <v>14</v>
      </c>
      <c r="N261" s="4" t="str">
        <f t="shared" si="38"/>
        <v>] 10 ; 15 ]</v>
      </c>
      <c r="O261" s="5" t="s">
        <v>3780</v>
      </c>
      <c r="P261" s="5" t="s">
        <v>3786</v>
      </c>
      <c r="Q261" s="5">
        <v>1</v>
      </c>
      <c r="R261" s="5" t="str">
        <f t="shared" si="39"/>
        <v>Qualification</v>
      </c>
      <c r="S261" s="5" t="s">
        <v>3790</v>
      </c>
      <c r="T261" s="4">
        <v>29564</v>
      </c>
      <c r="U261" s="5">
        <f t="shared" si="40"/>
        <v>1980</v>
      </c>
      <c r="V261" s="5" t="s">
        <v>3793</v>
      </c>
      <c r="W261" s="9">
        <f t="shared" si="37"/>
        <v>44</v>
      </c>
      <c r="X261" s="5" t="str">
        <f t="shared" si="41"/>
        <v>[40 - 44 ans]</v>
      </c>
      <c r="Y261" s="5" t="str">
        <f t="shared" si="42"/>
        <v xml:space="preserve"> Generation X </v>
      </c>
      <c r="Z261" s="9">
        <f t="shared" si="43"/>
        <v>16</v>
      </c>
      <c r="AA261" s="5" t="str">
        <f t="shared" si="44"/>
        <v>RAS</v>
      </c>
      <c r="AB261" s="5" t="s">
        <v>3819</v>
      </c>
      <c r="AC261" s="6" t="s">
        <v>3802</v>
      </c>
      <c r="AE261" s="5" t="s">
        <v>3844</v>
      </c>
      <c r="AF261" s="5" t="s">
        <v>4482</v>
      </c>
      <c r="AG261" s="5" t="s">
        <v>4485</v>
      </c>
      <c r="AH261" s="5" t="s">
        <v>4488</v>
      </c>
      <c r="AI261" s="5" t="s">
        <v>4161</v>
      </c>
      <c r="AJ261" s="5" t="s">
        <v>4134</v>
      </c>
      <c r="AK261" s="5" t="s">
        <v>4162</v>
      </c>
      <c r="AL261" s="5" t="s">
        <v>3858</v>
      </c>
    </row>
    <row r="262" spans="1:38" x14ac:dyDescent="0.3">
      <c r="A262" s="4">
        <v>45716</v>
      </c>
      <c r="B262" s="5" t="s">
        <v>1009</v>
      </c>
      <c r="C262" s="5" t="s">
        <v>1010</v>
      </c>
      <c r="D262" s="5" t="s">
        <v>1011</v>
      </c>
      <c r="E262" s="5" t="s">
        <v>4494</v>
      </c>
      <c r="G262" s="5" t="s">
        <v>88</v>
      </c>
      <c r="H262" s="5" t="s">
        <v>456</v>
      </c>
      <c r="I262" s="5" t="s">
        <v>779</v>
      </c>
      <c r="J262" s="5" t="s">
        <v>883</v>
      </c>
      <c r="K262" s="4">
        <v>40261</v>
      </c>
      <c r="L262" s="4">
        <v>40261</v>
      </c>
      <c r="M262" s="9">
        <f t="shared" si="36"/>
        <v>14</v>
      </c>
      <c r="N262" s="4" t="str">
        <f t="shared" si="38"/>
        <v>] 10 ; 15 ]</v>
      </c>
      <c r="O262" s="5" t="s">
        <v>3780</v>
      </c>
      <c r="P262" s="5" t="s">
        <v>3786</v>
      </c>
      <c r="Q262" s="5">
        <v>1</v>
      </c>
      <c r="R262" s="5" t="str">
        <f t="shared" si="39"/>
        <v>Qualification</v>
      </c>
      <c r="S262" s="5" t="s">
        <v>3789</v>
      </c>
      <c r="T262" s="4">
        <v>32055</v>
      </c>
      <c r="U262" s="5">
        <f t="shared" si="40"/>
        <v>1987</v>
      </c>
      <c r="V262" s="5" t="s">
        <v>3793</v>
      </c>
      <c r="W262" s="9">
        <f t="shared" si="37"/>
        <v>37</v>
      </c>
      <c r="X262" s="5" t="str">
        <f t="shared" si="41"/>
        <v>[35 - 39 ans ]</v>
      </c>
      <c r="Y262" s="5" t="str">
        <f t="shared" si="42"/>
        <v xml:space="preserve"> Mellenials </v>
      </c>
      <c r="Z262" s="9">
        <f t="shared" si="43"/>
        <v>23</v>
      </c>
      <c r="AA262" s="5" t="str">
        <f t="shared" si="44"/>
        <v>RAS</v>
      </c>
      <c r="AB262" s="5" t="s">
        <v>3819</v>
      </c>
      <c r="AC262" s="6" t="s">
        <v>3802</v>
      </c>
      <c r="AE262" s="5" t="s">
        <v>3844</v>
      </c>
      <c r="AF262" s="5" t="s">
        <v>4482</v>
      </c>
      <c r="AG262" s="5" t="s">
        <v>4485</v>
      </c>
      <c r="AH262" s="5" t="s">
        <v>4488</v>
      </c>
      <c r="AI262" s="5" t="s">
        <v>4161</v>
      </c>
      <c r="AJ262" s="5" t="s">
        <v>4134</v>
      </c>
      <c r="AK262" s="5" t="s">
        <v>4162</v>
      </c>
      <c r="AL262" s="5" t="s">
        <v>3858</v>
      </c>
    </row>
    <row r="263" spans="1:38" x14ac:dyDescent="0.3">
      <c r="A263" s="4">
        <v>45716</v>
      </c>
      <c r="B263" s="5" t="s">
        <v>1012</v>
      </c>
      <c r="C263" s="5" t="s">
        <v>1013</v>
      </c>
      <c r="D263" s="5" t="s">
        <v>1014</v>
      </c>
      <c r="E263" s="5" t="s">
        <v>4494</v>
      </c>
      <c r="G263" s="5" t="s">
        <v>88</v>
      </c>
      <c r="H263" s="5" t="s">
        <v>456</v>
      </c>
      <c r="I263" s="5" t="s">
        <v>779</v>
      </c>
      <c r="J263" s="5" t="s">
        <v>883</v>
      </c>
      <c r="K263" s="4">
        <v>40261</v>
      </c>
      <c r="L263" s="4">
        <v>40261</v>
      </c>
      <c r="M263" s="9">
        <f t="shared" si="36"/>
        <v>14</v>
      </c>
      <c r="N263" s="4" t="str">
        <f t="shared" si="38"/>
        <v>] 10 ; 15 ]</v>
      </c>
      <c r="O263" s="5" t="s">
        <v>3780</v>
      </c>
      <c r="P263" s="5" t="s">
        <v>3786</v>
      </c>
      <c r="Q263" s="5">
        <v>1</v>
      </c>
      <c r="R263" s="5" t="str">
        <f t="shared" si="39"/>
        <v>Qualification</v>
      </c>
      <c r="S263" s="5" t="s">
        <v>3790</v>
      </c>
      <c r="T263" s="4">
        <v>31274</v>
      </c>
      <c r="U263" s="5">
        <f t="shared" si="40"/>
        <v>1985</v>
      </c>
      <c r="V263" s="5" t="s">
        <v>3793</v>
      </c>
      <c r="W263" s="9">
        <f t="shared" si="37"/>
        <v>39</v>
      </c>
      <c r="X263" s="5" t="str">
        <f t="shared" si="41"/>
        <v>[35 - 39 ans ]</v>
      </c>
      <c r="Y263" s="5" t="str">
        <f t="shared" si="42"/>
        <v xml:space="preserve"> Mellenials </v>
      </c>
      <c r="Z263" s="9">
        <f t="shared" si="43"/>
        <v>21</v>
      </c>
      <c r="AA263" s="5" t="str">
        <f t="shared" si="44"/>
        <v>RAS</v>
      </c>
      <c r="AB263" s="5" t="s">
        <v>3819</v>
      </c>
      <c r="AC263" s="6" t="s">
        <v>3802</v>
      </c>
      <c r="AE263" s="5" t="s">
        <v>3844</v>
      </c>
      <c r="AF263" s="5" t="s">
        <v>4482</v>
      </c>
      <c r="AG263" s="5" t="s">
        <v>4485</v>
      </c>
      <c r="AH263" s="5" t="s">
        <v>4488</v>
      </c>
      <c r="AI263" s="5" t="s">
        <v>4161</v>
      </c>
      <c r="AJ263" s="5" t="s">
        <v>4134</v>
      </c>
      <c r="AK263" s="5" t="s">
        <v>4162</v>
      </c>
      <c r="AL263" s="5" t="s">
        <v>3858</v>
      </c>
    </row>
    <row r="264" spans="1:38" x14ac:dyDescent="0.3">
      <c r="A264" s="4">
        <v>45716</v>
      </c>
      <c r="B264" s="5" t="s">
        <v>1015</v>
      </c>
      <c r="C264" s="5" t="s">
        <v>1016</v>
      </c>
      <c r="D264" s="5" t="s">
        <v>1017</v>
      </c>
      <c r="E264" s="5" t="s">
        <v>4494</v>
      </c>
      <c r="G264" s="5" t="s">
        <v>88</v>
      </c>
      <c r="H264" s="5" t="s">
        <v>456</v>
      </c>
      <c r="I264" s="5" t="s">
        <v>910</v>
      </c>
      <c r="J264" s="5" t="s">
        <v>883</v>
      </c>
      <c r="K264" s="4">
        <v>40261</v>
      </c>
      <c r="L264" s="4">
        <v>40261</v>
      </c>
      <c r="M264" s="9">
        <f t="shared" si="36"/>
        <v>14</v>
      </c>
      <c r="N264" s="4" t="str">
        <f t="shared" si="38"/>
        <v>] 10 ; 15 ]</v>
      </c>
      <c r="O264" s="5" t="s">
        <v>3780</v>
      </c>
      <c r="P264" s="5" t="s">
        <v>3786</v>
      </c>
      <c r="Q264" s="5">
        <v>1</v>
      </c>
      <c r="R264" s="5" t="str">
        <f t="shared" si="39"/>
        <v>Qualification</v>
      </c>
      <c r="S264" s="5" t="s">
        <v>3790</v>
      </c>
      <c r="T264" s="4">
        <v>31756</v>
      </c>
      <c r="U264" s="5">
        <f t="shared" si="40"/>
        <v>1986</v>
      </c>
      <c r="V264" s="5" t="s">
        <v>3793</v>
      </c>
      <c r="W264" s="9">
        <f t="shared" si="37"/>
        <v>38</v>
      </c>
      <c r="X264" s="5" t="str">
        <f t="shared" si="41"/>
        <v>[35 - 39 ans ]</v>
      </c>
      <c r="Y264" s="5" t="str">
        <f t="shared" si="42"/>
        <v xml:space="preserve"> Mellenials </v>
      </c>
      <c r="Z264" s="9">
        <f t="shared" si="43"/>
        <v>22</v>
      </c>
      <c r="AA264" s="5" t="str">
        <f t="shared" si="44"/>
        <v>RAS</v>
      </c>
      <c r="AB264" s="5" t="s">
        <v>3821</v>
      </c>
      <c r="AC264" s="6" t="s">
        <v>3799</v>
      </c>
      <c r="AE264" s="5" t="s">
        <v>3844</v>
      </c>
      <c r="AF264" s="5" t="s">
        <v>4482</v>
      </c>
      <c r="AG264" s="5" t="s">
        <v>4485</v>
      </c>
      <c r="AH264" s="5" t="s">
        <v>4488</v>
      </c>
      <c r="AI264" s="5" t="s">
        <v>4163</v>
      </c>
      <c r="AJ264" s="5" t="s">
        <v>4134</v>
      </c>
      <c r="AK264" s="5" t="s">
        <v>4165</v>
      </c>
      <c r="AL264" s="5" t="s">
        <v>3858</v>
      </c>
    </row>
    <row r="265" spans="1:38" x14ac:dyDescent="0.3">
      <c r="A265" s="4">
        <v>45716</v>
      </c>
      <c r="B265" s="5" t="s">
        <v>1018</v>
      </c>
      <c r="C265" s="5" t="s">
        <v>1019</v>
      </c>
      <c r="D265" s="5" t="s">
        <v>1020</v>
      </c>
      <c r="E265" s="5" t="s">
        <v>4494</v>
      </c>
      <c r="G265" s="5" t="s">
        <v>88</v>
      </c>
      <c r="H265" s="5" t="s">
        <v>1021</v>
      </c>
      <c r="I265" s="5" t="s">
        <v>2739</v>
      </c>
      <c r="J265" s="5" t="s">
        <v>182</v>
      </c>
      <c r="K265" s="4">
        <v>40261</v>
      </c>
      <c r="L265" s="4">
        <v>40261</v>
      </c>
      <c r="M265" s="9">
        <f t="shared" si="36"/>
        <v>14</v>
      </c>
      <c r="N265" s="4" t="str">
        <f t="shared" si="38"/>
        <v>] 10 ; 15 ]</v>
      </c>
      <c r="O265" s="5" t="s">
        <v>3782</v>
      </c>
      <c r="P265" s="5" t="s">
        <v>3782</v>
      </c>
      <c r="Q265" s="5">
        <v>1</v>
      </c>
      <c r="R265" s="5" t="str">
        <f t="shared" si="39"/>
        <v>Management &amp; Expertise</v>
      </c>
      <c r="S265" s="5" t="s">
        <v>3790</v>
      </c>
      <c r="T265" s="4">
        <v>30371</v>
      </c>
      <c r="U265" s="5">
        <f t="shared" si="40"/>
        <v>1983</v>
      </c>
      <c r="V265" s="5" t="s">
        <v>3793</v>
      </c>
      <c r="W265" s="9">
        <f t="shared" si="37"/>
        <v>42</v>
      </c>
      <c r="X265" s="5" t="str">
        <f t="shared" si="41"/>
        <v>[40 - 44 ans]</v>
      </c>
      <c r="Y265" s="5" t="str">
        <f t="shared" si="42"/>
        <v xml:space="preserve"> Mellenials </v>
      </c>
      <c r="Z265" s="9">
        <f t="shared" si="43"/>
        <v>18</v>
      </c>
      <c r="AA265" s="5" t="str">
        <f t="shared" si="44"/>
        <v>RAS</v>
      </c>
      <c r="AB265" s="5" t="s">
        <v>3806</v>
      </c>
      <c r="AC265" s="6" t="s">
        <v>3799</v>
      </c>
      <c r="AE265" s="5" t="s">
        <v>3845</v>
      </c>
      <c r="AF265" s="5" t="s">
        <v>4481</v>
      </c>
      <c r="AG265" s="5" t="s">
        <v>4485</v>
      </c>
      <c r="AH265" s="5" t="s">
        <v>4488</v>
      </c>
      <c r="AI265" s="5" t="s">
        <v>4219</v>
      </c>
      <c r="AJ265" s="5" t="s">
        <v>4134</v>
      </c>
      <c r="AK265" s="5" t="s">
        <v>3891</v>
      </c>
      <c r="AL265" s="5" t="s">
        <v>3854</v>
      </c>
    </row>
    <row r="266" spans="1:38" x14ac:dyDescent="0.3">
      <c r="A266" s="4">
        <v>45716</v>
      </c>
      <c r="B266" s="5" t="s">
        <v>1022</v>
      </c>
      <c r="C266" s="5" t="s">
        <v>1023</v>
      </c>
      <c r="D266" s="5" t="s">
        <v>1024</v>
      </c>
      <c r="E266" s="5" t="s">
        <v>4494</v>
      </c>
      <c r="G266" s="5" t="s">
        <v>178</v>
      </c>
      <c r="H266" s="5" t="s">
        <v>4500</v>
      </c>
      <c r="I266" s="5" t="s">
        <v>251</v>
      </c>
      <c r="J266" s="5" t="s">
        <v>1393</v>
      </c>
      <c r="K266" s="4">
        <v>40261</v>
      </c>
      <c r="L266" s="4">
        <v>40261</v>
      </c>
      <c r="M266" s="9">
        <f t="shared" si="36"/>
        <v>14</v>
      </c>
      <c r="N266" s="4" t="str">
        <f t="shared" si="38"/>
        <v>] 10 ; 15 ]</v>
      </c>
      <c r="O266" s="5" t="s">
        <v>3783</v>
      </c>
      <c r="P266" s="5" t="s">
        <v>3783</v>
      </c>
      <c r="Q266" s="5">
        <v>1</v>
      </c>
      <c r="R266" s="5" t="str">
        <f t="shared" si="39"/>
        <v>Specialisation</v>
      </c>
      <c r="S266" s="5" t="s">
        <v>3789</v>
      </c>
      <c r="T266" s="4">
        <v>30964</v>
      </c>
      <c r="U266" s="5">
        <f t="shared" si="40"/>
        <v>1984</v>
      </c>
      <c r="V266" s="5" t="s">
        <v>3793</v>
      </c>
      <c r="W266" s="9">
        <f t="shared" si="37"/>
        <v>40</v>
      </c>
      <c r="X266" s="5" t="str">
        <f t="shared" si="41"/>
        <v>[40 - 44 ans]</v>
      </c>
      <c r="Y266" s="5" t="str">
        <f t="shared" si="42"/>
        <v xml:space="preserve"> Mellenials </v>
      </c>
      <c r="Z266" s="9">
        <f t="shared" si="43"/>
        <v>20</v>
      </c>
      <c r="AA266" s="5" t="str">
        <f t="shared" si="44"/>
        <v>RAS</v>
      </c>
      <c r="AB266" s="5" t="s">
        <v>3806</v>
      </c>
      <c r="AC266" s="6" t="s">
        <v>3799</v>
      </c>
      <c r="AE266" s="5" t="s">
        <v>3844</v>
      </c>
      <c r="AF266" s="5" t="s">
        <v>4482</v>
      </c>
      <c r="AG266" s="5" t="s">
        <v>4485</v>
      </c>
      <c r="AH266" s="5" t="s">
        <v>4488</v>
      </c>
      <c r="AI266" s="5" t="s">
        <v>3978</v>
      </c>
      <c r="AJ266" s="5" t="s">
        <v>3979</v>
      </c>
      <c r="AK266" s="5" t="s">
        <v>3980</v>
      </c>
      <c r="AL266" s="5" t="s">
        <v>3858</v>
      </c>
    </row>
    <row r="267" spans="1:38" x14ac:dyDescent="0.3">
      <c r="A267" s="4">
        <v>45716</v>
      </c>
      <c r="B267" s="5" t="s">
        <v>1025</v>
      </c>
      <c r="C267" s="5" t="s">
        <v>1026</v>
      </c>
      <c r="D267" s="5" t="s">
        <v>1027</v>
      </c>
      <c r="E267" s="5" t="s">
        <v>4494</v>
      </c>
      <c r="G267" s="5" t="s">
        <v>88</v>
      </c>
      <c r="H267" s="5" t="s">
        <v>706</v>
      </c>
      <c r="I267" s="5" t="s">
        <v>731</v>
      </c>
      <c r="J267" s="5" t="s">
        <v>883</v>
      </c>
      <c r="K267" s="4">
        <v>40261</v>
      </c>
      <c r="L267" s="4">
        <v>40261</v>
      </c>
      <c r="M267" s="9">
        <f t="shared" si="36"/>
        <v>14</v>
      </c>
      <c r="N267" s="4" t="str">
        <f t="shared" si="38"/>
        <v>] 10 ; 15 ]</v>
      </c>
      <c r="O267" s="5" t="s">
        <v>3786</v>
      </c>
      <c r="P267" s="5" t="s">
        <v>3783</v>
      </c>
      <c r="Q267" s="5">
        <v>1</v>
      </c>
      <c r="R267" s="5" t="str">
        <f t="shared" si="39"/>
        <v>Specialisation</v>
      </c>
      <c r="S267" s="5" t="s">
        <v>3790</v>
      </c>
      <c r="T267" s="4">
        <v>30930</v>
      </c>
      <c r="U267" s="5">
        <f t="shared" si="40"/>
        <v>1984</v>
      </c>
      <c r="V267" s="5" t="s">
        <v>3792</v>
      </c>
      <c r="W267" s="9">
        <f t="shared" si="37"/>
        <v>40</v>
      </c>
      <c r="X267" s="5" t="str">
        <f t="shared" si="41"/>
        <v>[40 - 44 ans]</v>
      </c>
      <c r="Y267" s="5" t="str">
        <f t="shared" si="42"/>
        <v xml:space="preserve"> Mellenials </v>
      </c>
      <c r="Z267" s="9">
        <f t="shared" si="43"/>
        <v>20</v>
      </c>
      <c r="AA267" s="5" t="str">
        <f t="shared" si="44"/>
        <v>RAS</v>
      </c>
      <c r="AB267" s="5" t="s">
        <v>3826</v>
      </c>
      <c r="AC267" s="6" t="s">
        <v>3799</v>
      </c>
      <c r="AE267" s="5" t="s">
        <v>3844</v>
      </c>
      <c r="AF267" s="5" t="s">
        <v>4482</v>
      </c>
      <c r="AG267" s="5" t="s">
        <v>4485</v>
      </c>
      <c r="AH267" s="5" t="s">
        <v>4488</v>
      </c>
      <c r="AI267" s="5" t="s">
        <v>4182</v>
      </c>
      <c r="AJ267" s="5" t="s">
        <v>4134</v>
      </c>
      <c r="AK267" s="5" t="s">
        <v>4183</v>
      </c>
      <c r="AL267" s="5" t="s">
        <v>3858</v>
      </c>
    </row>
    <row r="268" spans="1:38" x14ac:dyDescent="0.3">
      <c r="A268" s="4">
        <v>45716</v>
      </c>
      <c r="B268" s="5" t="s">
        <v>1028</v>
      </c>
      <c r="C268" s="5" t="s">
        <v>1029</v>
      </c>
      <c r="D268" s="5" t="s">
        <v>1030</v>
      </c>
      <c r="E268" s="5" t="s">
        <v>4494</v>
      </c>
      <c r="G268" s="5" t="s">
        <v>88</v>
      </c>
      <c r="H268" s="5" t="s">
        <v>599</v>
      </c>
      <c r="I268" s="5" t="s">
        <v>1310</v>
      </c>
      <c r="J268" s="5" t="s">
        <v>1245</v>
      </c>
      <c r="K268" s="4">
        <v>40261</v>
      </c>
      <c r="L268" s="4">
        <v>40261</v>
      </c>
      <c r="M268" s="9">
        <f t="shared" si="36"/>
        <v>14</v>
      </c>
      <c r="N268" s="4" t="str">
        <f t="shared" si="38"/>
        <v>] 10 ; 15 ]</v>
      </c>
      <c r="O268" s="5" t="s">
        <v>3786</v>
      </c>
      <c r="P268" s="5" t="s">
        <v>3786</v>
      </c>
      <c r="Q268" s="5">
        <v>2</v>
      </c>
      <c r="R268" s="5" t="str">
        <f t="shared" si="39"/>
        <v>Specialisation</v>
      </c>
      <c r="S268" s="5" t="s">
        <v>3789</v>
      </c>
      <c r="T268" s="4">
        <v>31582</v>
      </c>
      <c r="U268" s="5">
        <f t="shared" si="40"/>
        <v>1986</v>
      </c>
      <c r="V268" s="5" t="s">
        <v>3793</v>
      </c>
      <c r="W268" s="9">
        <f t="shared" si="37"/>
        <v>38</v>
      </c>
      <c r="X268" s="5" t="str">
        <f t="shared" si="41"/>
        <v>[35 - 39 ans ]</v>
      </c>
      <c r="Y268" s="5" t="str">
        <f t="shared" si="42"/>
        <v xml:space="preserve"> Mellenials </v>
      </c>
      <c r="Z268" s="9">
        <f t="shared" si="43"/>
        <v>22</v>
      </c>
      <c r="AA268" s="5" t="str">
        <f t="shared" si="44"/>
        <v>RAS</v>
      </c>
      <c r="AB268" s="5" t="s">
        <v>3805</v>
      </c>
      <c r="AC268" s="6" t="s">
        <v>3799</v>
      </c>
      <c r="AE268" s="5" t="s">
        <v>3844</v>
      </c>
      <c r="AF268" s="5" t="s">
        <v>4482</v>
      </c>
      <c r="AG268" s="5" t="s">
        <v>4485</v>
      </c>
      <c r="AH268" s="5" t="s">
        <v>4488</v>
      </c>
      <c r="AI268" s="5" t="s">
        <v>4140</v>
      </c>
      <c r="AJ268" s="5" t="s">
        <v>4134</v>
      </c>
      <c r="AK268" s="5">
        <v>11100</v>
      </c>
      <c r="AL268" s="5" t="s">
        <v>3858</v>
      </c>
    </row>
    <row r="269" spans="1:38" x14ac:dyDescent="0.3">
      <c r="A269" s="4">
        <v>45716</v>
      </c>
      <c r="B269" s="5" t="s">
        <v>1031</v>
      </c>
      <c r="C269" s="5" t="s">
        <v>1032</v>
      </c>
      <c r="D269" s="5" t="s">
        <v>1033</v>
      </c>
      <c r="E269" s="5" t="s">
        <v>4494</v>
      </c>
      <c r="G269" s="5" t="s">
        <v>88</v>
      </c>
      <c r="H269" s="5" t="s">
        <v>456</v>
      </c>
      <c r="I269" s="5" t="s">
        <v>779</v>
      </c>
      <c r="J269" s="5" t="s">
        <v>883</v>
      </c>
      <c r="K269" s="4">
        <v>40261</v>
      </c>
      <c r="L269" s="4">
        <v>40261</v>
      </c>
      <c r="M269" s="9">
        <f t="shared" si="36"/>
        <v>14</v>
      </c>
      <c r="N269" s="4" t="str">
        <f t="shared" si="38"/>
        <v>] 10 ; 15 ]</v>
      </c>
      <c r="O269" s="5" t="s">
        <v>3780</v>
      </c>
      <c r="P269" s="5" t="s">
        <v>3786</v>
      </c>
      <c r="Q269" s="5">
        <v>1</v>
      </c>
      <c r="R269" s="5" t="str">
        <f t="shared" si="39"/>
        <v>Qualification</v>
      </c>
      <c r="S269" s="5" t="s">
        <v>3790</v>
      </c>
      <c r="T269" s="4">
        <v>31117</v>
      </c>
      <c r="U269" s="5">
        <f t="shared" si="40"/>
        <v>1985</v>
      </c>
      <c r="V269" s="5" t="s">
        <v>3793</v>
      </c>
      <c r="W269" s="9">
        <f t="shared" si="37"/>
        <v>39</v>
      </c>
      <c r="X269" s="5" t="str">
        <f t="shared" si="41"/>
        <v>[35 - 39 ans ]</v>
      </c>
      <c r="Y269" s="5" t="str">
        <f t="shared" si="42"/>
        <v xml:space="preserve"> Mellenials </v>
      </c>
      <c r="Z269" s="9">
        <f t="shared" si="43"/>
        <v>21</v>
      </c>
      <c r="AA269" s="5" t="str">
        <f t="shared" si="44"/>
        <v>RAS</v>
      </c>
      <c r="AB269" s="5" t="s">
        <v>3819</v>
      </c>
      <c r="AC269" s="6" t="s">
        <v>3802</v>
      </c>
      <c r="AE269" s="5" t="s">
        <v>3844</v>
      </c>
      <c r="AF269" s="5" t="s">
        <v>4482</v>
      </c>
      <c r="AG269" s="5" t="s">
        <v>4485</v>
      </c>
      <c r="AH269" s="5" t="s">
        <v>4488</v>
      </c>
      <c r="AI269" s="5" t="s">
        <v>4161</v>
      </c>
      <c r="AJ269" s="5" t="s">
        <v>4134</v>
      </c>
      <c r="AK269" s="5" t="s">
        <v>4162</v>
      </c>
      <c r="AL269" s="5" t="s">
        <v>3858</v>
      </c>
    </row>
    <row r="270" spans="1:38" x14ac:dyDescent="0.3">
      <c r="A270" s="4">
        <v>45716</v>
      </c>
      <c r="B270" s="5" t="s">
        <v>1034</v>
      </c>
      <c r="C270" s="5" t="s">
        <v>1035</v>
      </c>
      <c r="D270" s="5" t="s">
        <v>1036</v>
      </c>
      <c r="E270" s="5" t="s">
        <v>4494</v>
      </c>
      <c r="G270" s="5" t="s">
        <v>88</v>
      </c>
      <c r="H270" s="5" t="s">
        <v>456</v>
      </c>
      <c r="I270" s="5" t="s">
        <v>2020</v>
      </c>
      <c r="J270" s="5" t="s">
        <v>883</v>
      </c>
      <c r="K270" s="4">
        <v>40261</v>
      </c>
      <c r="L270" s="4">
        <v>40261</v>
      </c>
      <c r="M270" s="9">
        <f t="shared" si="36"/>
        <v>14</v>
      </c>
      <c r="N270" s="4" t="str">
        <f t="shared" si="38"/>
        <v>] 10 ; 15 ]</v>
      </c>
      <c r="O270" s="5" t="s">
        <v>3780</v>
      </c>
      <c r="P270" s="5" t="s">
        <v>3780</v>
      </c>
      <c r="Q270" s="5">
        <v>3</v>
      </c>
      <c r="R270" s="5" t="str">
        <f t="shared" si="39"/>
        <v>Qualification</v>
      </c>
      <c r="S270" s="5" t="s">
        <v>3790</v>
      </c>
      <c r="T270" s="4">
        <v>30955</v>
      </c>
      <c r="U270" s="5">
        <f t="shared" si="40"/>
        <v>1984</v>
      </c>
      <c r="V270" s="5" t="s">
        <v>3792</v>
      </c>
      <c r="W270" s="9">
        <f t="shared" si="37"/>
        <v>40</v>
      </c>
      <c r="X270" s="5" t="str">
        <f t="shared" si="41"/>
        <v>[40 - 44 ans]</v>
      </c>
      <c r="Y270" s="5" t="str">
        <f t="shared" si="42"/>
        <v xml:space="preserve"> Mellenials </v>
      </c>
      <c r="Z270" s="9">
        <f t="shared" si="43"/>
        <v>20</v>
      </c>
      <c r="AA270" s="5" t="str">
        <f t="shared" si="44"/>
        <v>RAS</v>
      </c>
      <c r="AB270" s="5" t="s">
        <v>3811</v>
      </c>
      <c r="AC270" s="6" t="s">
        <v>3801</v>
      </c>
      <c r="AE270" s="5" t="s">
        <v>3844</v>
      </c>
      <c r="AF270" s="5" t="s">
        <v>4482</v>
      </c>
      <c r="AG270" s="5" t="s">
        <v>4485</v>
      </c>
      <c r="AH270" s="5" t="s">
        <v>4488</v>
      </c>
      <c r="AI270" s="5" t="s">
        <v>4072</v>
      </c>
      <c r="AJ270" s="5" t="s">
        <v>4134</v>
      </c>
      <c r="AK270" s="5" t="s">
        <v>4074</v>
      </c>
      <c r="AL270" s="5" t="s">
        <v>3858</v>
      </c>
    </row>
    <row r="271" spans="1:38" x14ac:dyDescent="0.3">
      <c r="A271" s="4">
        <v>45716</v>
      </c>
      <c r="B271" s="5" t="s">
        <v>1037</v>
      </c>
      <c r="C271" s="5" t="s">
        <v>1038</v>
      </c>
      <c r="D271" s="5" t="s">
        <v>1039</v>
      </c>
      <c r="E271" s="5" t="s">
        <v>4494</v>
      </c>
      <c r="G271" s="5" t="s">
        <v>88</v>
      </c>
      <c r="H271" s="5" t="s">
        <v>653</v>
      </c>
      <c r="I271" s="5" t="s">
        <v>883</v>
      </c>
      <c r="J271" s="5" t="s">
        <v>883</v>
      </c>
      <c r="K271" s="4">
        <v>40261</v>
      </c>
      <c r="L271" s="4">
        <v>40261</v>
      </c>
      <c r="M271" s="9">
        <f t="shared" si="36"/>
        <v>14</v>
      </c>
      <c r="N271" s="4" t="str">
        <f t="shared" si="38"/>
        <v>] 10 ; 15 ]</v>
      </c>
      <c r="O271" s="5" t="s">
        <v>3785</v>
      </c>
      <c r="P271" s="5" t="s">
        <v>3785</v>
      </c>
      <c r="Q271" s="5">
        <v>1</v>
      </c>
      <c r="R271" s="5" t="str">
        <f t="shared" si="39"/>
        <v>Specialisation</v>
      </c>
      <c r="S271" s="5" t="s">
        <v>3789</v>
      </c>
      <c r="T271" s="4">
        <v>30002</v>
      </c>
      <c r="U271" s="5">
        <f t="shared" si="40"/>
        <v>1982</v>
      </c>
      <c r="V271" s="5" t="s">
        <v>3793</v>
      </c>
      <c r="W271" s="9">
        <f t="shared" si="37"/>
        <v>43</v>
      </c>
      <c r="X271" s="5" t="str">
        <f t="shared" si="41"/>
        <v>[40 - 44 ans]</v>
      </c>
      <c r="Y271" s="5" t="str">
        <f t="shared" si="42"/>
        <v xml:space="preserve"> Mellenials </v>
      </c>
      <c r="Z271" s="9">
        <f t="shared" si="43"/>
        <v>17</v>
      </c>
      <c r="AA271" s="5" t="str">
        <f t="shared" si="44"/>
        <v>RAS</v>
      </c>
      <c r="AB271" s="5" t="s">
        <v>3830</v>
      </c>
      <c r="AC271" s="6" t="s">
        <v>3801</v>
      </c>
      <c r="AE271" s="5" t="s">
        <v>3844</v>
      </c>
      <c r="AF271" s="5" t="s">
        <v>4481</v>
      </c>
      <c r="AG271" s="5" t="s">
        <v>4485</v>
      </c>
      <c r="AH271" s="5" t="s">
        <v>4488</v>
      </c>
      <c r="AI271" s="5" t="s">
        <v>4234</v>
      </c>
      <c r="AJ271" s="5" t="s">
        <v>4235</v>
      </c>
      <c r="AK271" s="5" t="s">
        <v>4236</v>
      </c>
      <c r="AL271" s="5" t="s">
        <v>3858</v>
      </c>
    </row>
    <row r="272" spans="1:38" x14ac:dyDescent="0.3">
      <c r="A272" s="4">
        <v>45716</v>
      </c>
      <c r="B272" s="5" t="s">
        <v>1040</v>
      </c>
      <c r="C272" s="5" t="s">
        <v>1041</v>
      </c>
      <c r="D272" s="5" t="s">
        <v>1042</v>
      </c>
      <c r="E272" s="5" t="s">
        <v>4494</v>
      </c>
      <c r="G272" s="5" t="s">
        <v>88</v>
      </c>
      <c r="H272" s="5" t="s">
        <v>456</v>
      </c>
      <c r="I272" s="5" t="s">
        <v>2113</v>
      </c>
      <c r="J272" s="5" t="s">
        <v>883</v>
      </c>
      <c r="K272" s="4">
        <v>40261</v>
      </c>
      <c r="L272" s="4">
        <v>40261</v>
      </c>
      <c r="M272" s="9">
        <f t="shared" si="36"/>
        <v>14</v>
      </c>
      <c r="N272" s="4" t="str">
        <f t="shared" si="38"/>
        <v>] 10 ; 15 ]</v>
      </c>
      <c r="O272" s="5" t="s">
        <v>3780</v>
      </c>
      <c r="P272" s="5" t="s">
        <v>3786</v>
      </c>
      <c r="Q272" s="5">
        <v>1</v>
      </c>
      <c r="R272" s="5" t="str">
        <f t="shared" si="39"/>
        <v>Qualification</v>
      </c>
      <c r="S272" s="5" t="s">
        <v>3790</v>
      </c>
      <c r="T272" s="4">
        <v>31012</v>
      </c>
      <c r="U272" s="5">
        <f t="shared" si="40"/>
        <v>1984</v>
      </c>
      <c r="V272" s="5" t="s">
        <v>3793</v>
      </c>
      <c r="W272" s="9">
        <f t="shared" si="37"/>
        <v>40</v>
      </c>
      <c r="X272" s="5" t="str">
        <f t="shared" si="41"/>
        <v>[40 - 44 ans]</v>
      </c>
      <c r="Y272" s="5" t="str">
        <f t="shared" si="42"/>
        <v xml:space="preserve"> Mellenials </v>
      </c>
      <c r="Z272" s="9">
        <f t="shared" si="43"/>
        <v>20</v>
      </c>
      <c r="AA272" s="5" t="str">
        <f t="shared" si="44"/>
        <v>RAS</v>
      </c>
      <c r="AB272" s="5" t="s">
        <v>3820</v>
      </c>
      <c r="AC272" s="6" t="s">
        <v>3800</v>
      </c>
      <c r="AE272" s="5" t="s">
        <v>3844</v>
      </c>
      <c r="AF272" s="5" t="s">
        <v>4482</v>
      </c>
      <c r="AG272" s="5" t="s">
        <v>4485</v>
      </c>
      <c r="AH272" s="5" t="s">
        <v>4488</v>
      </c>
      <c r="AI272" s="5" t="s">
        <v>4158</v>
      </c>
      <c r="AJ272" s="5" t="s">
        <v>4134</v>
      </c>
      <c r="AK272" s="5" t="s">
        <v>4160</v>
      </c>
      <c r="AL272" s="5" t="s">
        <v>3858</v>
      </c>
    </row>
    <row r="273" spans="1:38" x14ac:dyDescent="0.3">
      <c r="A273" s="4">
        <v>45716</v>
      </c>
      <c r="B273" s="5" t="s">
        <v>1043</v>
      </c>
      <c r="C273" s="5" t="s">
        <v>1044</v>
      </c>
      <c r="D273" s="5" t="s">
        <v>1045</v>
      </c>
      <c r="E273" s="5" t="s">
        <v>4494</v>
      </c>
      <c r="G273" s="5" t="s">
        <v>29</v>
      </c>
      <c r="H273" s="5" t="s">
        <v>30</v>
      </c>
      <c r="I273" s="5" t="s">
        <v>377</v>
      </c>
      <c r="J273" s="5" t="s">
        <v>69</v>
      </c>
      <c r="K273" s="4">
        <v>40266</v>
      </c>
      <c r="L273" s="4">
        <v>40266</v>
      </c>
      <c r="M273" s="9">
        <f t="shared" si="36"/>
        <v>14</v>
      </c>
      <c r="N273" s="4" t="str">
        <f t="shared" si="38"/>
        <v>] 10 ; 15 ]</v>
      </c>
      <c r="O273" s="5" t="s">
        <v>3780</v>
      </c>
      <c r="P273" s="5" t="s">
        <v>3786</v>
      </c>
      <c r="Q273" s="5">
        <v>1</v>
      </c>
      <c r="R273" s="5" t="str">
        <f t="shared" si="39"/>
        <v>Qualification</v>
      </c>
      <c r="S273" s="5" t="s">
        <v>3789</v>
      </c>
      <c r="T273" s="4">
        <v>27839</v>
      </c>
      <c r="U273" s="5">
        <f t="shared" si="40"/>
        <v>1976</v>
      </c>
      <c r="V273" s="5" t="s">
        <v>3792</v>
      </c>
      <c r="W273" s="9">
        <f t="shared" si="37"/>
        <v>48</v>
      </c>
      <c r="X273" s="5" t="str">
        <f t="shared" si="41"/>
        <v>[45 - 49 ans]</v>
      </c>
      <c r="Y273" s="5" t="str">
        <f t="shared" si="42"/>
        <v xml:space="preserve"> Generation X </v>
      </c>
      <c r="Z273" s="9">
        <f t="shared" si="43"/>
        <v>12</v>
      </c>
      <c r="AA273" s="5" t="str">
        <f t="shared" si="44"/>
        <v>RAS</v>
      </c>
      <c r="AB273" s="5" t="s">
        <v>3806</v>
      </c>
      <c r="AC273" s="6" t="s">
        <v>3799</v>
      </c>
      <c r="AE273" s="5" t="s">
        <v>3844</v>
      </c>
      <c r="AF273" s="5" t="s">
        <v>4482</v>
      </c>
      <c r="AG273" s="5" t="s">
        <v>4485</v>
      </c>
      <c r="AH273" s="5" t="s">
        <v>4488</v>
      </c>
      <c r="AI273" s="5" t="s">
        <v>3855</v>
      </c>
      <c r="AJ273" s="5" t="s">
        <v>4134</v>
      </c>
      <c r="AK273" s="5" t="s">
        <v>3857</v>
      </c>
      <c r="AL273" s="5" t="s">
        <v>3858</v>
      </c>
    </row>
    <row r="274" spans="1:38" x14ac:dyDescent="0.3">
      <c r="A274" s="4">
        <v>45716</v>
      </c>
      <c r="B274" s="5" t="s">
        <v>1046</v>
      </c>
      <c r="C274" s="5" t="s">
        <v>1047</v>
      </c>
      <c r="D274" s="5" t="s">
        <v>1048</v>
      </c>
      <c r="E274" s="5" t="s">
        <v>4494</v>
      </c>
      <c r="G274" s="5" t="s">
        <v>29</v>
      </c>
      <c r="H274" s="5" t="s">
        <v>1049</v>
      </c>
      <c r="I274" s="5" t="s">
        <v>2027</v>
      </c>
      <c r="J274" s="5" t="s">
        <v>157</v>
      </c>
      <c r="K274" s="4">
        <v>40266</v>
      </c>
      <c r="L274" s="4">
        <v>40266</v>
      </c>
      <c r="M274" s="9">
        <f t="shared" si="36"/>
        <v>14</v>
      </c>
      <c r="N274" s="4" t="str">
        <f t="shared" si="38"/>
        <v>] 10 ; 15 ]</v>
      </c>
      <c r="O274" s="5" t="s">
        <v>3783</v>
      </c>
      <c r="P274" s="5" t="s">
        <v>3783</v>
      </c>
      <c r="Q274" s="5">
        <v>2</v>
      </c>
      <c r="R274" s="5" t="str">
        <f t="shared" si="39"/>
        <v>Specialisation</v>
      </c>
      <c r="S274" s="5" t="s">
        <v>3790</v>
      </c>
      <c r="T274" s="4">
        <v>30586</v>
      </c>
      <c r="U274" s="5">
        <f t="shared" si="40"/>
        <v>1983</v>
      </c>
      <c r="V274" s="5" t="s">
        <v>3792</v>
      </c>
      <c r="W274" s="9">
        <f t="shared" si="37"/>
        <v>41</v>
      </c>
      <c r="X274" s="5" t="str">
        <f t="shared" si="41"/>
        <v>[40 - 44 ans]</v>
      </c>
      <c r="Y274" s="5" t="str">
        <f t="shared" si="42"/>
        <v xml:space="preserve"> Mellenials </v>
      </c>
      <c r="Z274" s="9">
        <f t="shared" si="43"/>
        <v>19</v>
      </c>
      <c r="AA274" s="5" t="str">
        <f t="shared" si="44"/>
        <v>RAS</v>
      </c>
      <c r="AB274" s="5" t="s">
        <v>3806</v>
      </c>
      <c r="AC274" s="6" t="s">
        <v>3799</v>
      </c>
      <c r="AE274" s="5" t="s">
        <v>3844</v>
      </c>
      <c r="AF274" s="5" t="s">
        <v>4482</v>
      </c>
      <c r="AG274" s="5" t="s">
        <v>4485</v>
      </c>
      <c r="AH274" s="5" t="s">
        <v>4487</v>
      </c>
      <c r="AI274" s="5" t="s">
        <v>4237</v>
      </c>
      <c r="AJ274" s="5" t="s">
        <v>4134</v>
      </c>
      <c r="AK274" s="5" t="s">
        <v>3888</v>
      </c>
      <c r="AL274" s="5" t="s">
        <v>3858</v>
      </c>
    </row>
    <row r="275" spans="1:38" x14ac:dyDescent="0.3">
      <c r="A275" s="4">
        <v>45716</v>
      </c>
      <c r="B275" s="5" t="s">
        <v>1050</v>
      </c>
      <c r="C275" s="5" t="s">
        <v>1051</v>
      </c>
      <c r="D275" s="5" t="s">
        <v>1052</v>
      </c>
      <c r="E275" s="5" t="s">
        <v>4494</v>
      </c>
      <c r="G275" s="5" t="s">
        <v>78</v>
      </c>
      <c r="H275" s="5" t="s">
        <v>543</v>
      </c>
      <c r="I275" s="5" t="s">
        <v>958</v>
      </c>
      <c r="J275" s="5" t="s">
        <v>1069</v>
      </c>
      <c r="K275" s="4">
        <v>40266</v>
      </c>
      <c r="L275" s="4">
        <v>40266</v>
      </c>
      <c r="M275" s="9">
        <f t="shared" si="36"/>
        <v>14</v>
      </c>
      <c r="N275" s="4" t="str">
        <f t="shared" si="38"/>
        <v>] 10 ; 15 ]</v>
      </c>
      <c r="O275" s="5" t="s">
        <v>3788</v>
      </c>
      <c r="P275" s="5" t="s">
        <v>3780</v>
      </c>
      <c r="Q275" s="5">
        <v>1</v>
      </c>
      <c r="R275" s="5" t="str">
        <f t="shared" si="39"/>
        <v>Qualification</v>
      </c>
      <c r="S275" s="5" t="s">
        <v>3790</v>
      </c>
      <c r="T275" s="4">
        <v>29643</v>
      </c>
      <c r="U275" s="5">
        <f t="shared" si="40"/>
        <v>1981</v>
      </c>
      <c r="V275" s="5" t="s">
        <v>3792</v>
      </c>
      <c r="W275" s="9">
        <f t="shared" si="37"/>
        <v>44</v>
      </c>
      <c r="X275" s="5" t="str">
        <f t="shared" si="41"/>
        <v>[40 - 44 ans]</v>
      </c>
      <c r="Y275" s="5" t="str">
        <f t="shared" si="42"/>
        <v xml:space="preserve"> Mellenials </v>
      </c>
      <c r="Z275" s="9">
        <f t="shared" si="43"/>
        <v>16</v>
      </c>
      <c r="AA275" s="5" t="str">
        <f t="shared" si="44"/>
        <v>RAS</v>
      </c>
      <c r="AB275" s="5" t="s">
        <v>3808</v>
      </c>
      <c r="AC275" s="6" t="s">
        <v>3799</v>
      </c>
      <c r="AE275" s="5" t="s">
        <v>3844</v>
      </c>
      <c r="AF275" s="5" t="s">
        <v>4482</v>
      </c>
      <c r="AG275" s="5" t="s">
        <v>4485</v>
      </c>
      <c r="AH275" s="5" t="s">
        <v>4488</v>
      </c>
      <c r="AI275" s="5" t="s">
        <v>4113</v>
      </c>
      <c r="AJ275" s="5" t="s">
        <v>4134</v>
      </c>
      <c r="AK275" s="5" t="s">
        <v>4090</v>
      </c>
      <c r="AL275" s="5" t="s">
        <v>3858</v>
      </c>
    </row>
    <row r="276" spans="1:38" x14ac:dyDescent="0.3">
      <c r="A276" s="4">
        <v>45716</v>
      </c>
      <c r="B276" s="5" t="s">
        <v>1053</v>
      </c>
      <c r="C276" s="5" t="s">
        <v>1054</v>
      </c>
      <c r="D276" s="5" t="s">
        <v>1055</v>
      </c>
      <c r="E276" s="5" t="s">
        <v>4494</v>
      </c>
      <c r="G276" s="5" t="s">
        <v>222</v>
      </c>
      <c r="H276" s="5" t="s">
        <v>1056</v>
      </c>
      <c r="I276" s="5" t="s">
        <v>2086</v>
      </c>
      <c r="J276" s="5" t="s">
        <v>2841</v>
      </c>
      <c r="K276" s="4">
        <v>40273</v>
      </c>
      <c r="L276" s="4">
        <v>40273</v>
      </c>
      <c r="M276" s="9">
        <f t="shared" si="36"/>
        <v>14</v>
      </c>
      <c r="N276" s="4" t="str">
        <f t="shared" si="38"/>
        <v>] 10 ; 15 ]</v>
      </c>
      <c r="O276" s="5" t="s">
        <v>3785</v>
      </c>
      <c r="P276" s="5" t="s">
        <v>3785</v>
      </c>
      <c r="Q276" s="5">
        <v>2</v>
      </c>
      <c r="R276" s="5" t="str">
        <f t="shared" si="39"/>
        <v>Specialisation</v>
      </c>
      <c r="S276" s="5" t="s">
        <v>3790</v>
      </c>
      <c r="T276" s="4">
        <v>29432</v>
      </c>
      <c r="U276" s="5">
        <f t="shared" si="40"/>
        <v>1980</v>
      </c>
      <c r="V276" s="5" t="s">
        <v>3793</v>
      </c>
      <c r="W276" s="9">
        <f t="shared" si="37"/>
        <v>44</v>
      </c>
      <c r="X276" s="5" t="str">
        <f t="shared" si="41"/>
        <v>[40 - 44 ans]</v>
      </c>
      <c r="Y276" s="5" t="str">
        <f t="shared" si="42"/>
        <v xml:space="preserve"> Generation X </v>
      </c>
      <c r="Z276" s="9">
        <f t="shared" si="43"/>
        <v>16</v>
      </c>
      <c r="AA276" s="5" t="str">
        <f t="shared" si="44"/>
        <v>RAS</v>
      </c>
      <c r="AB276" s="5" t="s">
        <v>3806</v>
      </c>
      <c r="AC276" s="6" t="s">
        <v>3799</v>
      </c>
      <c r="AE276" s="5" t="s">
        <v>3844</v>
      </c>
      <c r="AF276" s="5" t="s">
        <v>4481</v>
      </c>
      <c r="AG276" s="5" t="s">
        <v>4485</v>
      </c>
      <c r="AH276" s="5" t="s">
        <v>4487</v>
      </c>
      <c r="AI276" s="5" t="s">
        <v>4238</v>
      </c>
      <c r="AJ276" s="5" t="s">
        <v>4134</v>
      </c>
      <c r="AK276" s="5" t="s">
        <v>4239</v>
      </c>
      <c r="AL276" s="5" t="s">
        <v>3858</v>
      </c>
    </row>
    <row r="277" spans="1:38" x14ac:dyDescent="0.3">
      <c r="A277" s="4">
        <v>45716</v>
      </c>
      <c r="B277" s="5" t="s">
        <v>1057</v>
      </c>
      <c r="C277" s="5" t="s">
        <v>1058</v>
      </c>
      <c r="D277" s="5" t="s">
        <v>1059</v>
      </c>
      <c r="E277" s="5" t="s">
        <v>4494</v>
      </c>
      <c r="G277" s="5" t="s">
        <v>78</v>
      </c>
      <c r="H277" s="5" t="s">
        <v>523</v>
      </c>
      <c r="I277" s="5" t="s">
        <v>2069</v>
      </c>
      <c r="J277" s="5" t="s">
        <v>1518</v>
      </c>
      <c r="K277" s="4">
        <v>40266</v>
      </c>
      <c r="L277" s="4">
        <v>40266</v>
      </c>
      <c r="M277" s="9">
        <f t="shared" si="36"/>
        <v>14</v>
      </c>
      <c r="N277" s="4" t="str">
        <f t="shared" si="38"/>
        <v>] 10 ; 15 ]</v>
      </c>
      <c r="O277" s="5" t="s">
        <v>3788</v>
      </c>
      <c r="P277" s="5" t="s">
        <v>3788</v>
      </c>
      <c r="Q277" s="5">
        <v>2</v>
      </c>
      <c r="R277" s="5" t="str">
        <f t="shared" si="39"/>
        <v>Qualification</v>
      </c>
      <c r="S277" s="5" t="s">
        <v>3789</v>
      </c>
      <c r="T277" s="4">
        <v>31197</v>
      </c>
      <c r="U277" s="5">
        <f t="shared" si="40"/>
        <v>1985</v>
      </c>
      <c r="V277" s="5" t="s">
        <v>3793</v>
      </c>
      <c r="W277" s="9">
        <f t="shared" si="37"/>
        <v>39</v>
      </c>
      <c r="X277" s="5" t="str">
        <f t="shared" si="41"/>
        <v>[35 - 39 ans ]</v>
      </c>
      <c r="Y277" s="5" t="str">
        <f t="shared" si="42"/>
        <v xml:space="preserve"> Mellenials </v>
      </c>
      <c r="Z277" s="9">
        <f t="shared" si="43"/>
        <v>21</v>
      </c>
      <c r="AA277" s="5" t="str">
        <f t="shared" si="44"/>
        <v>RAS</v>
      </c>
      <c r="AB277" s="5" t="s">
        <v>3808</v>
      </c>
      <c r="AC277" s="6" t="s">
        <v>3799</v>
      </c>
      <c r="AE277" s="5" t="s">
        <v>3844</v>
      </c>
      <c r="AF277" s="5" t="s">
        <v>4482</v>
      </c>
      <c r="AG277" s="5" t="s">
        <v>4485</v>
      </c>
      <c r="AH277" s="5" t="s">
        <v>4488</v>
      </c>
      <c r="AI277" s="5" t="s">
        <v>4104</v>
      </c>
      <c r="AJ277" s="5" t="s">
        <v>4105</v>
      </c>
      <c r="AK277" s="5" t="s">
        <v>4090</v>
      </c>
      <c r="AL277" s="5" t="s">
        <v>3858</v>
      </c>
    </row>
    <row r="278" spans="1:38" x14ac:dyDescent="0.3">
      <c r="A278" s="4">
        <v>45716</v>
      </c>
      <c r="B278" s="5" t="s">
        <v>1060</v>
      </c>
      <c r="C278" s="5" t="s">
        <v>1061</v>
      </c>
      <c r="D278" s="5" t="s">
        <v>1062</v>
      </c>
      <c r="E278" s="5" t="s">
        <v>4494</v>
      </c>
      <c r="G278" s="5" t="s">
        <v>78</v>
      </c>
      <c r="H278" s="5" t="s">
        <v>543</v>
      </c>
      <c r="I278" s="5" t="s">
        <v>1069</v>
      </c>
      <c r="J278" s="5" t="s">
        <v>298</v>
      </c>
      <c r="K278" s="4">
        <v>40266</v>
      </c>
      <c r="L278" s="4">
        <v>40266</v>
      </c>
      <c r="M278" s="9">
        <f t="shared" si="36"/>
        <v>14</v>
      </c>
      <c r="N278" s="4" t="str">
        <f t="shared" si="38"/>
        <v>] 10 ; 15 ]</v>
      </c>
      <c r="O278" s="5" t="s">
        <v>3788</v>
      </c>
      <c r="P278" s="5" t="s">
        <v>3780</v>
      </c>
      <c r="Q278" s="5">
        <v>1</v>
      </c>
      <c r="R278" s="5" t="str">
        <f t="shared" si="39"/>
        <v>Qualification</v>
      </c>
      <c r="S278" s="5" t="s">
        <v>3790</v>
      </c>
      <c r="T278" s="4">
        <v>29862</v>
      </c>
      <c r="U278" s="5">
        <f t="shared" si="40"/>
        <v>1981</v>
      </c>
      <c r="V278" s="5" t="s">
        <v>3793</v>
      </c>
      <c r="W278" s="9">
        <f t="shared" si="37"/>
        <v>43</v>
      </c>
      <c r="X278" s="5" t="str">
        <f t="shared" si="41"/>
        <v>[40 - 44 ans]</v>
      </c>
      <c r="Y278" s="5" t="str">
        <f t="shared" si="42"/>
        <v xml:space="preserve"> Mellenials </v>
      </c>
      <c r="Z278" s="9">
        <f t="shared" si="43"/>
        <v>17</v>
      </c>
      <c r="AA278" s="5" t="str">
        <f t="shared" si="44"/>
        <v>RAS</v>
      </c>
      <c r="AB278" s="5" t="s">
        <v>3808</v>
      </c>
      <c r="AC278" s="6" t="s">
        <v>3799</v>
      </c>
      <c r="AE278" s="5" t="s">
        <v>3844</v>
      </c>
      <c r="AF278" s="5" t="s">
        <v>4482</v>
      </c>
      <c r="AG278" s="5" t="s">
        <v>4485</v>
      </c>
      <c r="AH278" s="5" t="s">
        <v>4488</v>
      </c>
      <c r="AI278" s="5" t="s">
        <v>4240</v>
      </c>
      <c r="AJ278" s="5" t="s">
        <v>4134</v>
      </c>
      <c r="AK278" s="5" t="s">
        <v>4090</v>
      </c>
      <c r="AL278" s="5" t="s">
        <v>3858</v>
      </c>
    </row>
    <row r="279" spans="1:38" x14ac:dyDescent="0.3">
      <c r="A279" s="4">
        <v>45716</v>
      </c>
      <c r="B279" s="5" t="s">
        <v>1063</v>
      </c>
      <c r="C279" s="5" t="s">
        <v>1064</v>
      </c>
      <c r="D279" s="5" t="s">
        <v>1065</v>
      </c>
      <c r="E279" s="5" t="s">
        <v>4494</v>
      </c>
      <c r="G279" s="5" t="s">
        <v>78</v>
      </c>
      <c r="H279" s="5" t="s">
        <v>1066</v>
      </c>
      <c r="I279" s="5" t="s">
        <v>1306</v>
      </c>
      <c r="J279" s="5" t="s">
        <v>1510</v>
      </c>
      <c r="K279" s="4">
        <v>40266</v>
      </c>
      <c r="L279" s="4">
        <v>40266</v>
      </c>
      <c r="M279" s="9">
        <f t="shared" si="36"/>
        <v>14</v>
      </c>
      <c r="N279" s="4" t="str">
        <f t="shared" si="38"/>
        <v>] 10 ; 15 ]</v>
      </c>
      <c r="O279" s="5" t="s">
        <v>3788</v>
      </c>
      <c r="P279" s="5" t="s">
        <v>3780</v>
      </c>
      <c r="Q279" s="5">
        <v>1</v>
      </c>
      <c r="R279" s="5" t="str">
        <f t="shared" si="39"/>
        <v>Qualification</v>
      </c>
      <c r="S279" s="5" t="s">
        <v>3790</v>
      </c>
      <c r="T279" s="4">
        <v>30356</v>
      </c>
      <c r="U279" s="5">
        <f t="shared" si="40"/>
        <v>1983</v>
      </c>
      <c r="V279" s="5" t="s">
        <v>3793</v>
      </c>
      <c r="W279" s="9">
        <f t="shared" si="37"/>
        <v>42</v>
      </c>
      <c r="X279" s="5" t="str">
        <f t="shared" si="41"/>
        <v>[40 - 44 ans]</v>
      </c>
      <c r="Y279" s="5" t="str">
        <f t="shared" si="42"/>
        <v xml:space="preserve"> Mellenials </v>
      </c>
      <c r="Z279" s="9">
        <f t="shared" si="43"/>
        <v>18</v>
      </c>
      <c r="AA279" s="5" t="str">
        <f t="shared" si="44"/>
        <v>RAS</v>
      </c>
      <c r="AB279" s="5" t="s">
        <v>3808</v>
      </c>
      <c r="AC279" s="6" t="s">
        <v>3799</v>
      </c>
      <c r="AE279" s="5" t="s">
        <v>3844</v>
      </c>
      <c r="AF279" s="5" t="s">
        <v>4482</v>
      </c>
      <c r="AG279" s="5" t="s">
        <v>4485</v>
      </c>
      <c r="AH279" s="5" t="s">
        <v>4488</v>
      </c>
      <c r="AI279" s="5" t="s">
        <v>4241</v>
      </c>
      <c r="AJ279" s="5" t="s">
        <v>4134</v>
      </c>
      <c r="AK279" s="5" t="s">
        <v>4242</v>
      </c>
      <c r="AL279" s="5" t="s">
        <v>3858</v>
      </c>
    </row>
    <row r="280" spans="1:38" x14ac:dyDescent="0.3">
      <c r="A280" s="4">
        <v>45716</v>
      </c>
      <c r="B280" s="5" t="s">
        <v>1067</v>
      </c>
      <c r="C280" s="5" t="s">
        <v>1068</v>
      </c>
      <c r="D280" s="5" t="s">
        <v>1069</v>
      </c>
      <c r="E280" s="5" t="s">
        <v>4494</v>
      </c>
      <c r="G280" s="5" t="s">
        <v>78</v>
      </c>
      <c r="H280" s="5" t="s">
        <v>1070</v>
      </c>
      <c r="I280" s="5" t="s">
        <v>169</v>
      </c>
      <c r="J280" s="5" t="s">
        <v>1357</v>
      </c>
      <c r="K280" s="4">
        <v>40266</v>
      </c>
      <c r="L280" s="4">
        <v>40266</v>
      </c>
      <c r="M280" s="9">
        <f t="shared" si="36"/>
        <v>14</v>
      </c>
      <c r="N280" s="4" t="str">
        <f t="shared" si="38"/>
        <v>] 10 ; 15 ]</v>
      </c>
      <c r="O280" s="5" t="s">
        <v>3782</v>
      </c>
      <c r="P280" s="5" t="s">
        <v>3782</v>
      </c>
      <c r="Q280" s="5">
        <v>1</v>
      </c>
      <c r="R280" s="5" t="str">
        <f t="shared" si="39"/>
        <v>Management &amp; Expertise</v>
      </c>
      <c r="S280" s="5" t="s">
        <v>3789</v>
      </c>
      <c r="T280" s="4">
        <v>30917</v>
      </c>
      <c r="U280" s="5">
        <f t="shared" si="40"/>
        <v>1984</v>
      </c>
      <c r="V280" s="5" t="s">
        <v>3793</v>
      </c>
      <c r="W280" s="9">
        <f t="shared" si="37"/>
        <v>40</v>
      </c>
      <c r="X280" s="5" t="str">
        <f t="shared" si="41"/>
        <v>[40 - 44 ans]</v>
      </c>
      <c r="Y280" s="5" t="str">
        <f t="shared" si="42"/>
        <v xml:space="preserve"> Mellenials </v>
      </c>
      <c r="Z280" s="9">
        <f t="shared" si="43"/>
        <v>20</v>
      </c>
      <c r="AA280" s="5" t="str">
        <f t="shared" si="44"/>
        <v>RAS</v>
      </c>
      <c r="AB280" s="5" t="s">
        <v>3808</v>
      </c>
      <c r="AC280" s="6" t="s">
        <v>3799</v>
      </c>
      <c r="AE280" s="5" t="s">
        <v>3845</v>
      </c>
      <c r="AF280" s="5" t="s">
        <v>4481</v>
      </c>
      <c r="AG280" s="5" t="s">
        <v>4485</v>
      </c>
      <c r="AH280" s="5" t="s">
        <v>4488</v>
      </c>
      <c r="AI280" s="5" t="s">
        <v>4138</v>
      </c>
      <c r="AJ280" s="5" t="s">
        <v>4139</v>
      </c>
      <c r="AK280" s="5" t="s">
        <v>4090</v>
      </c>
      <c r="AL280" s="5" t="s">
        <v>3854</v>
      </c>
    </row>
    <row r="281" spans="1:38" x14ac:dyDescent="0.3">
      <c r="A281" s="4">
        <v>45716</v>
      </c>
      <c r="B281" s="5" t="s">
        <v>1071</v>
      </c>
      <c r="C281" s="5" t="s">
        <v>1072</v>
      </c>
      <c r="D281" s="5" t="s">
        <v>1073</v>
      </c>
      <c r="E281" s="5" t="s">
        <v>4494</v>
      </c>
      <c r="G281" s="5" t="s">
        <v>39</v>
      </c>
      <c r="H281" s="5" t="s">
        <v>331</v>
      </c>
      <c r="I281" s="5" t="s">
        <v>1268</v>
      </c>
      <c r="J281" s="5" t="s">
        <v>52</v>
      </c>
      <c r="K281" s="4">
        <v>40266</v>
      </c>
      <c r="L281" s="4">
        <v>40266</v>
      </c>
      <c r="M281" s="9">
        <f t="shared" si="36"/>
        <v>14</v>
      </c>
      <c r="N281" s="4" t="str">
        <f t="shared" si="38"/>
        <v>] 10 ; 15 ]</v>
      </c>
      <c r="O281" s="5" t="s">
        <v>3786</v>
      </c>
      <c r="P281" s="5" t="s">
        <v>3783</v>
      </c>
      <c r="Q281" s="5">
        <v>1</v>
      </c>
      <c r="R281" s="5" t="str">
        <f t="shared" si="39"/>
        <v>Specialisation</v>
      </c>
      <c r="S281" s="5" t="s">
        <v>3790</v>
      </c>
      <c r="T281" s="4">
        <v>32160</v>
      </c>
      <c r="U281" s="5">
        <f t="shared" si="40"/>
        <v>1988</v>
      </c>
      <c r="V281" s="5" t="s">
        <v>3793</v>
      </c>
      <c r="W281" s="9">
        <f t="shared" si="37"/>
        <v>37</v>
      </c>
      <c r="X281" s="5" t="str">
        <f t="shared" si="41"/>
        <v>[35 - 39 ans ]</v>
      </c>
      <c r="Y281" s="5" t="str">
        <f t="shared" si="42"/>
        <v xml:space="preserve"> Mellenials </v>
      </c>
      <c r="Z281" s="9">
        <f t="shared" si="43"/>
        <v>23</v>
      </c>
      <c r="AA281" s="5" t="str">
        <f t="shared" si="44"/>
        <v>RAS</v>
      </c>
      <c r="AB281" s="5" t="s">
        <v>3807</v>
      </c>
      <c r="AC281" s="6" t="s">
        <v>3799</v>
      </c>
      <c r="AE281" s="5" t="s">
        <v>3844</v>
      </c>
      <c r="AF281" s="5" t="s">
        <v>4482</v>
      </c>
      <c r="AG281" s="5" t="s">
        <v>4485</v>
      </c>
      <c r="AH281" s="5" t="s">
        <v>4489</v>
      </c>
      <c r="AI281" s="5" t="s">
        <v>4013</v>
      </c>
      <c r="AJ281" s="5" t="s">
        <v>4014</v>
      </c>
      <c r="AK281" s="5" t="s">
        <v>4015</v>
      </c>
      <c r="AL281" s="5" t="s">
        <v>3858</v>
      </c>
    </row>
    <row r="282" spans="1:38" x14ac:dyDescent="0.3">
      <c r="A282" s="4">
        <v>45716</v>
      </c>
      <c r="B282" s="5" t="s">
        <v>1074</v>
      </c>
      <c r="C282" s="5" t="s">
        <v>1075</v>
      </c>
      <c r="D282" s="5" t="s">
        <v>1076</v>
      </c>
      <c r="E282" s="5" t="s">
        <v>4494</v>
      </c>
      <c r="G282" s="5" t="s">
        <v>88</v>
      </c>
      <c r="H282" s="5" t="s">
        <v>456</v>
      </c>
      <c r="I282" s="5" t="s">
        <v>2265</v>
      </c>
      <c r="J282" s="5" t="s">
        <v>883</v>
      </c>
      <c r="K282" s="4">
        <v>40266</v>
      </c>
      <c r="L282" s="4">
        <v>40266</v>
      </c>
      <c r="M282" s="9">
        <f t="shared" si="36"/>
        <v>14</v>
      </c>
      <c r="N282" s="4" t="str">
        <f t="shared" si="38"/>
        <v>] 10 ; 15 ]</v>
      </c>
      <c r="O282" s="5" t="s">
        <v>3780</v>
      </c>
      <c r="P282" s="5" t="s">
        <v>3786</v>
      </c>
      <c r="Q282" s="5">
        <v>1</v>
      </c>
      <c r="R282" s="5" t="str">
        <f t="shared" si="39"/>
        <v>Qualification</v>
      </c>
      <c r="S282" s="5" t="s">
        <v>3789</v>
      </c>
      <c r="T282" s="4">
        <v>30796</v>
      </c>
      <c r="U282" s="5">
        <f t="shared" si="40"/>
        <v>1984</v>
      </c>
      <c r="V282" s="5" t="s">
        <v>3793</v>
      </c>
      <c r="W282" s="9">
        <f t="shared" si="37"/>
        <v>40</v>
      </c>
      <c r="X282" s="5" t="str">
        <f t="shared" si="41"/>
        <v>[40 - 44 ans]</v>
      </c>
      <c r="Y282" s="5" t="str">
        <f t="shared" si="42"/>
        <v xml:space="preserve"> Mellenials </v>
      </c>
      <c r="Z282" s="9">
        <f t="shared" si="43"/>
        <v>20</v>
      </c>
      <c r="AA282" s="5" t="str">
        <f t="shared" si="44"/>
        <v>RAS</v>
      </c>
      <c r="AB282" s="5" t="s">
        <v>3816</v>
      </c>
      <c r="AC282" s="6" t="s">
        <v>3802</v>
      </c>
      <c r="AE282" s="5" t="s">
        <v>3844</v>
      </c>
      <c r="AF282" s="5" t="s">
        <v>4482</v>
      </c>
      <c r="AG282" s="5" t="s">
        <v>4485</v>
      </c>
      <c r="AH282" s="5" t="s">
        <v>4488</v>
      </c>
      <c r="AI282" s="5" t="s">
        <v>4101</v>
      </c>
      <c r="AJ282" s="5" t="s">
        <v>4102</v>
      </c>
      <c r="AK282" s="5" t="s">
        <v>4103</v>
      </c>
      <c r="AL282" s="5" t="s">
        <v>3858</v>
      </c>
    </row>
    <row r="283" spans="1:38" x14ac:dyDescent="0.3">
      <c r="A283" s="4">
        <v>45716</v>
      </c>
      <c r="B283" s="5" t="s">
        <v>1077</v>
      </c>
      <c r="C283" s="5" t="s">
        <v>1078</v>
      </c>
      <c r="D283" s="5" t="s">
        <v>1079</v>
      </c>
      <c r="E283" s="5" t="s">
        <v>4494</v>
      </c>
      <c r="G283" s="5" t="s">
        <v>78</v>
      </c>
      <c r="H283" s="5" t="s">
        <v>1080</v>
      </c>
      <c r="I283" s="5" t="s">
        <v>1518</v>
      </c>
      <c r="J283" s="5" t="s">
        <v>1518</v>
      </c>
      <c r="K283" s="4">
        <v>40266</v>
      </c>
      <c r="L283" s="4">
        <v>40266</v>
      </c>
      <c r="M283" s="9">
        <f t="shared" si="36"/>
        <v>14</v>
      </c>
      <c r="N283" s="4" t="str">
        <f t="shared" si="38"/>
        <v>] 10 ; 15 ]</v>
      </c>
      <c r="O283" s="5" t="s">
        <v>3788</v>
      </c>
      <c r="P283" s="5" t="s">
        <v>3780</v>
      </c>
      <c r="Q283" s="5">
        <v>1</v>
      </c>
      <c r="R283" s="5" t="str">
        <f t="shared" si="39"/>
        <v>Qualification</v>
      </c>
      <c r="S283" s="5" t="s">
        <v>3789</v>
      </c>
      <c r="T283" s="4">
        <v>29867</v>
      </c>
      <c r="U283" s="5">
        <f t="shared" si="40"/>
        <v>1981</v>
      </c>
      <c r="V283" s="5" t="s">
        <v>3792</v>
      </c>
      <c r="W283" s="9">
        <f t="shared" si="37"/>
        <v>43</v>
      </c>
      <c r="X283" s="5" t="str">
        <f t="shared" si="41"/>
        <v>[40 - 44 ans]</v>
      </c>
      <c r="Y283" s="5" t="str">
        <f t="shared" si="42"/>
        <v xml:space="preserve"> Mellenials </v>
      </c>
      <c r="Z283" s="9">
        <f t="shared" si="43"/>
        <v>17</v>
      </c>
      <c r="AA283" s="5" t="str">
        <f t="shared" si="44"/>
        <v>RAS</v>
      </c>
      <c r="AB283" s="5" t="s">
        <v>3808</v>
      </c>
      <c r="AC283" s="6" t="s">
        <v>3799</v>
      </c>
      <c r="AE283" s="5" t="s">
        <v>3844</v>
      </c>
      <c r="AF283" s="5" t="s">
        <v>4482</v>
      </c>
      <c r="AG283" s="5" t="s">
        <v>4485</v>
      </c>
      <c r="AH283" s="5" t="s">
        <v>4488</v>
      </c>
      <c r="AI283" s="5" t="s">
        <v>4243</v>
      </c>
      <c r="AJ283" s="5" t="s">
        <v>4244</v>
      </c>
      <c r="AK283" s="5" t="s">
        <v>4090</v>
      </c>
      <c r="AL283" s="5" t="s">
        <v>3858</v>
      </c>
    </row>
    <row r="284" spans="1:38" x14ac:dyDescent="0.3">
      <c r="A284" s="4">
        <v>45716</v>
      </c>
      <c r="B284" s="5" t="s">
        <v>1081</v>
      </c>
      <c r="C284" s="5" t="s">
        <v>1082</v>
      </c>
      <c r="D284" s="5" t="s">
        <v>1083</v>
      </c>
      <c r="E284" s="5" t="s">
        <v>4494</v>
      </c>
      <c r="G284" s="5" t="s">
        <v>88</v>
      </c>
      <c r="H284" s="5" t="s">
        <v>456</v>
      </c>
      <c r="I284" s="5" t="s">
        <v>2058</v>
      </c>
      <c r="J284" s="5" t="s">
        <v>883</v>
      </c>
      <c r="K284" s="4">
        <v>40266</v>
      </c>
      <c r="L284" s="4">
        <v>40210</v>
      </c>
      <c r="M284" s="9">
        <f t="shared" si="36"/>
        <v>15</v>
      </c>
      <c r="N284" s="4" t="str">
        <f t="shared" si="38"/>
        <v>] 10 ; 15 ]</v>
      </c>
      <c r="O284" s="5" t="s">
        <v>3780</v>
      </c>
      <c r="P284" s="5" t="s">
        <v>3780</v>
      </c>
      <c r="Q284" s="5">
        <v>3</v>
      </c>
      <c r="R284" s="5" t="str">
        <f t="shared" si="39"/>
        <v>Qualification</v>
      </c>
      <c r="S284" s="5" t="s">
        <v>3790</v>
      </c>
      <c r="T284" s="4">
        <v>31663</v>
      </c>
      <c r="U284" s="5">
        <f t="shared" si="40"/>
        <v>1986</v>
      </c>
      <c r="V284" s="5" t="s">
        <v>3793</v>
      </c>
      <c r="W284" s="9">
        <f t="shared" si="37"/>
        <v>38</v>
      </c>
      <c r="X284" s="5" t="str">
        <f t="shared" si="41"/>
        <v>[35 - 39 ans ]</v>
      </c>
      <c r="Y284" s="5" t="str">
        <f t="shared" si="42"/>
        <v xml:space="preserve"> Mellenials </v>
      </c>
      <c r="Z284" s="9">
        <f t="shared" si="43"/>
        <v>22</v>
      </c>
      <c r="AA284" s="5" t="str">
        <f t="shared" si="44"/>
        <v>RAS</v>
      </c>
      <c r="AB284" s="5" t="s">
        <v>3817</v>
      </c>
      <c r="AC284" s="6" t="s">
        <v>3802</v>
      </c>
      <c r="AE284" s="5" t="s">
        <v>3844</v>
      </c>
      <c r="AF284" s="5" t="s">
        <v>4482</v>
      </c>
      <c r="AG284" s="5" t="s">
        <v>4485</v>
      </c>
      <c r="AH284" s="5" t="s">
        <v>4488</v>
      </c>
      <c r="AI284" s="5" t="s">
        <v>4117</v>
      </c>
      <c r="AJ284" s="5" t="s">
        <v>3843</v>
      </c>
      <c r="AK284" s="5" t="s">
        <v>4118</v>
      </c>
      <c r="AL284" s="5" t="s">
        <v>3858</v>
      </c>
    </row>
    <row r="285" spans="1:38" x14ac:dyDescent="0.3">
      <c r="A285" s="4">
        <v>45716</v>
      </c>
      <c r="B285" s="5" t="s">
        <v>1084</v>
      </c>
      <c r="C285" s="5" t="s">
        <v>1085</v>
      </c>
      <c r="D285" s="5" t="s">
        <v>1086</v>
      </c>
      <c r="E285" s="5" t="s">
        <v>4494</v>
      </c>
      <c r="G285" s="5" t="s">
        <v>78</v>
      </c>
      <c r="H285" s="5" t="s">
        <v>1087</v>
      </c>
      <c r="I285" s="5" t="s">
        <v>2069</v>
      </c>
      <c r="J285" s="5" t="s">
        <v>1518</v>
      </c>
      <c r="K285" s="4">
        <v>40266</v>
      </c>
      <c r="L285" s="4">
        <v>40266</v>
      </c>
      <c r="M285" s="9">
        <f t="shared" si="36"/>
        <v>14</v>
      </c>
      <c r="N285" s="4" t="str">
        <f t="shared" si="38"/>
        <v>] 10 ; 15 ]</v>
      </c>
      <c r="O285" s="5" t="s">
        <v>3788</v>
      </c>
      <c r="P285" s="5" t="s">
        <v>3788</v>
      </c>
      <c r="Q285" s="5">
        <v>3</v>
      </c>
      <c r="R285" s="5" t="str">
        <f t="shared" si="39"/>
        <v>Qualification</v>
      </c>
      <c r="S285" s="5" t="s">
        <v>3790</v>
      </c>
      <c r="T285" s="4">
        <v>30229</v>
      </c>
      <c r="U285" s="5">
        <f t="shared" si="40"/>
        <v>1982</v>
      </c>
      <c r="V285" s="5" t="s">
        <v>3792</v>
      </c>
      <c r="W285" s="9">
        <f t="shared" si="37"/>
        <v>42</v>
      </c>
      <c r="X285" s="5" t="str">
        <f t="shared" si="41"/>
        <v>[40 - 44 ans]</v>
      </c>
      <c r="Y285" s="5" t="str">
        <f t="shared" si="42"/>
        <v xml:space="preserve"> Mellenials </v>
      </c>
      <c r="Z285" s="9">
        <f t="shared" si="43"/>
        <v>18</v>
      </c>
      <c r="AA285" s="5" t="str">
        <f t="shared" si="44"/>
        <v>RAS</v>
      </c>
      <c r="AB285" s="5" t="s">
        <v>3808</v>
      </c>
      <c r="AC285" s="6" t="s">
        <v>3799</v>
      </c>
      <c r="AE285" s="5" t="s">
        <v>3844</v>
      </c>
      <c r="AF285" s="5" t="s">
        <v>4482</v>
      </c>
      <c r="AG285" s="5" t="s">
        <v>4485</v>
      </c>
      <c r="AH285" s="5" t="s">
        <v>4488</v>
      </c>
      <c r="AI285" s="5" t="s">
        <v>4104</v>
      </c>
      <c r="AJ285" s="5" t="s">
        <v>4105</v>
      </c>
      <c r="AK285" s="5" t="s">
        <v>4090</v>
      </c>
      <c r="AL285" s="5" t="s">
        <v>3858</v>
      </c>
    </row>
    <row r="286" spans="1:38" x14ac:dyDescent="0.3">
      <c r="A286" s="4">
        <v>45716</v>
      </c>
      <c r="B286" s="5" t="s">
        <v>1088</v>
      </c>
      <c r="C286" s="5" t="s">
        <v>1089</v>
      </c>
      <c r="D286" s="5" t="s">
        <v>1090</v>
      </c>
      <c r="E286" s="5" t="s">
        <v>4494</v>
      </c>
      <c r="G286" s="5" t="s">
        <v>78</v>
      </c>
      <c r="H286" s="5" t="s">
        <v>543</v>
      </c>
      <c r="I286" s="5" t="s">
        <v>958</v>
      </c>
      <c r="J286" s="5" t="s">
        <v>1069</v>
      </c>
      <c r="K286" s="4">
        <v>40266</v>
      </c>
      <c r="L286" s="4">
        <v>40266</v>
      </c>
      <c r="M286" s="9">
        <f t="shared" si="36"/>
        <v>14</v>
      </c>
      <c r="N286" s="4" t="str">
        <f t="shared" si="38"/>
        <v>] 10 ; 15 ]</v>
      </c>
      <c r="O286" s="5" t="s">
        <v>3788</v>
      </c>
      <c r="P286" s="5" t="s">
        <v>3788</v>
      </c>
      <c r="Q286" s="5">
        <v>2</v>
      </c>
      <c r="R286" s="5" t="str">
        <f t="shared" si="39"/>
        <v>Qualification</v>
      </c>
      <c r="S286" s="5" t="s">
        <v>3790</v>
      </c>
      <c r="T286" s="4">
        <v>29808</v>
      </c>
      <c r="U286" s="5">
        <f t="shared" si="40"/>
        <v>1981</v>
      </c>
      <c r="V286" s="5" t="s">
        <v>3793</v>
      </c>
      <c r="W286" s="9">
        <f t="shared" si="37"/>
        <v>43</v>
      </c>
      <c r="X286" s="5" t="str">
        <f t="shared" si="41"/>
        <v>[40 - 44 ans]</v>
      </c>
      <c r="Y286" s="5" t="str">
        <f t="shared" si="42"/>
        <v xml:space="preserve"> Mellenials </v>
      </c>
      <c r="Z286" s="9">
        <f t="shared" si="43"/>
        <v>17</v>
      </c>
      <c r="AA286" s="5" t="str">
        <f t="shared" si="44"/>
        <v>RAS</v>
      </c>
      <c r="AB286" s="5" t="s">
        <v>3808</v>
      </c>
      <c r="AC286" s="6" t="s">
        <v>3799</v>
      </c>
      <c r="AE286" s="5" t="s">
        <v>3844</v>
      </c>
      <c r="AF286" s="5" t="s">
        <v>4482</v>
      </c>
      <c r="AG286" s="5" t="s">
        <v>4485</v>
      </c>
      <c r="AH286" s="5" t="s">
        <v>4488</v>
      </c>
      <c r="AI286" s="5" t="s">
        <v>4113</v>
      </c>
      <c r="AJ286" s="5" t="s">
        <v>4114</v>
      </c>
      <c r="AK286" s="5" t="s">
        <v>4245</v>
      </c>
      <c r="AL286" s="5" t="s">
        <v>3858</v>
      </c>
    </row>
    <row r="287" spans="1:38" x14ac:dyDescent="0.3">
      <c r="A287" s="4">
        <v>45716</v>
      </c>
      <c r="B287" s="5" t="s">
        <v>1091</v>
      </c>
      <c r="C287" s="5" t="s">
        <v>1092</v>
      </c>
      <c r="D287" s="5" t="s">
        <v>1093</v>
      </c>
      <c r="E287" s="5" t="s">
        <v>4494</v>
      </c>
      <c r="G287" s="5" t="s">
        <v>88</v>
      </c>
      <c r="H287" s="5" t="s">
        <v>456</v>
      </c>
      <c r="I287" s="5" t="s">
        <v>1814</v>
      </c>
      <c r="J287" s="5" t="s">
        <v>883</v>
      </c>
      <c r="K287" s="4">
        <v>40266</v>
      </c>
      <c r="L287" s="4">
        <v>40266</v>
      </c>
      <c r="M287" s="9">
        <f t="shared" si="36"/>
        <v>14</v>
      </c>
      <c r="N287" s="4" t="str">
        <f t="shared" si="38"/>
        <v>] 10 ; 15 ]</v>
      </c>
      <c r="O287" s="5" t="s">
        <v>3780</v>
      </c>
      <c r="P287" s="5" t="s">
        <v>3780</v>
      </c>
      <c r="Q287" s="5">
        <v>3</v>
      </c>
      <c r="R287" s="5" t="str">
        <f t="shared" si="39"/>
        <v>Qualification</v>
      </c>
      <c r="S287" s="5" t="s">
        <v>3790</v>
      </c>
      <c r="T287" s="4">
        <v>28703</v>
      </c>
      <c r="U287" s="5">
        <f t="shared" si="40"/>
        <v>1978</v>
      </c>
      <c r="V287" s="5" t="s">
        <v>3793</v>
      </c>
      <c r="W287" s="9">
        <f t="shared" si="37"/>
        <v>46</v>
      </c>
      <c r="X287" s="5" t="str">
        <f t="shared" si="41"/>
        <v>[45 - 49 ans]</v>
      </c>
      <c r="Y287" s="5" t="str">
        <f t="shared" si="42"/>
        <v xml:space="preserve"> Generation X </v>
      </c>
      <c r="Z287" s="9">
        <f t="shared" si="43"/>
        <v>14</v>
      </c>
      <c r="AA287" s="5" t="str">
        <f t="shared" si="44"/>
        <v>RAS</v>
      </c>
      <c r="AB287" s="5" t="s">
        <v>3813</v>
      </c>
      <c r="AC287" s="6" t="s">
        <v>3799</v>
      </c>
      <c r="AE287" s="5" t="s">
        <v>3844</v>
      </c>
      <c r="AF287" s="5" t="s">
        <v>4482</v>
      </c>
      <c r="AG287" s="5" t="s">
        <v>4485</v>
      </c>
      <c r="AH287" s="5" t="s">
        <v>4488</v>
      </c>
      <c r="AI287" s="5" t="s">
        <v>4188</v>
      </c>
      <c r="AJ287" s="5" t="s">
        <v>4068</v>
      </c>
      <c r="AK287" s="5" t="s">
        <v>4069</v>
      </c>
      <c r="AL287" s="5" t="s">
        <v>3858</v>
      </c>
    </row>
    <row r="288" spans="1:38" x14ac:dyDescent="0.3">
      <c r="A288" s="4">
        <v>45716</v>
      </c>
      <c r="B288" s="5" t="s">
        <v>1094</v>
      </c>
      <c r="C288" s="5" t="s">
        <v>1095</v>
      </c>
      <c r="D288" s="5" t="s">
        <v>1096</v>
      </c>
      <c r="E288" s="5" t="s">
        <v>4494</v>
      </c>
      <c r="G288" s="5" t="s">
        <v>88</v>
      </c>
      <c r="H288" s="5" t="s">
        <v>456</v>
      </c>
      <c r="I288" s="5" t="s">
        <v>2058</v>
      </c>
      <c r="J288" s="5" t="s">
        <v>883</v>
      </c>
      <c r="K288" s="4">
        <v>40266</v>
      </c>
      <c r="L288" s="4">
        <v>40266</v>
      </c>
      <c r="M288" s="9">
        <f t="shared" si="36"/>
        <v>14</v>
      </c>
      <c r="N288" s="4" t="str">
        <f t="shared" si="38"/>
        <v>] 10 ; 15 ]</v>
      </c>
      <c r="O288" s="5" t="s">
        <v>3780</v>
      </c>
      <c r="P288" s="5" t="s">
        <v>3786</v>
      </c>
      <c r="Q288" s="5">
        <v>1</v>
      </c>
      <c r="R288" s="5" t="str">
        <f t="shared" si="39"/>
        <v>Qualification</v>
      </c>
      <c r="S288" s="5" t="s">
        <v>3790</v>
      </c>
      <c r="T288" s="4">
        <v>30050</v>
      </c>
      <c r="U288" s="5">
        <f t="shared" si="40"/>
        <v>1982</v>
      </c>
      <c r="V288" s="5" t="s">
        <v>3793</v>
      </c>
      <c r="W288" s="9">
        <f t="shared" si="37"/>
        <v>42</v>
      </c>
      <c r="X288" s="5" t="str">
        <f t="shared" si="41"/>
        <v>[40 - 44 ans]</v>
      </c>
      <c r="Y288" s="5" t="str">
        <f t="shared" si="42"/>
        <v xml:space="preserve"> Mellenials </v>
      </c>
      <c r="Z288" s="9">
        <f t="shared" si="43"/>
        <v>18</v>
      </c>
      <c r="AA288" s="5" t="str">
        <f t="shared" si="44"/>
        <v>RAS</v>
      </c>
      <c r="AB288" s="5" t="s">
        <v>3817</v>
      </c>
      <c r="AC288" s="6" t="s">
        <v>3802</v>
      </c>
      <c r="AE288" s="5" t="s">
        <v>3844</v>
      </c>
      <c r="AF288" s="5" t="s">
        <v>4482</v>
      </c>
      <c r="AG288" s="5" t="s">
        <v>4485</v>
      </c>
      <c r="AH288" s="5" t="s">
        <v>4488</v>
      </c>
      <c r="AI288" s="5" t="s">
        <v>4117</v>
      </c>
      <c r="AJ288" s="5" t="s">
        <v>3843</v>
      </c>
      <c r="AK288" s="5" t="s">
        <v>4118</v>
      </c>
      <c r="AL288" s="5" t="s">
        <v>3858</v>
      </c>
    </row>
    <row r="289" spans="1:38" x14ac:dyDescent="0.3">
      <c r="A289" s="4">
        <v>45716</v>
      </c>
      <c r="B289" s="5" t="s">
        <v>1097</v>
      </c>
      <c r="C289" s="5" t="s">
        <v>1098</v>
      </c>
      <c r="D289" s="5" t="s">
        <v>1099</v>
      </c>
      <c r="E289" s="5" t="s">
        <v>4494</v>
      </c>
      <c r="G289" s="5" t="s">
        <v>78</v>
      </c>
      <c r="H289" s="5" t="s">
        <v>523</v>
      </c>
      <c r="I289" s="5" t="s">
        <v>2069</v>
      </c>
      <c r="J289" s="5" t="s">
        <v>1518</v>
      </c>
      <c r="K289" s="4">
        <v>40266</v>
      </c>
      <c r="L289" s="4">
        <v>40266</v>
      </c>
      <c r="M289" s="9">
        <f t="shared" si="36"/>
        <v>14</v>
      </c>
      <c r="N289" s="4" t="str">
        <f t="shared" si="38"/>
        <v>] 10 ; 15 ]</v>
      </c>
      <c r="O289" s="5" t="s">
        <v>3788</v>
      </c>
      <c r="P289" s="5" t="s">
        <v>3788</v>
      </c>
      <c r="Q289" s="5">
        <v>3</v>
      </c>
      <c r="R289" s="5" t="str">
        <f t="shared" si="39"/>
        <v>Qualification</v>
      </c>
      <c r="S289" s="5" t="s">
        <v>3789</v>
      </c>
      <c r="T289" s="4">
        <v>30861</v>
      </c>
      <c r="U289" s="5">
        <f t="shared" si="40"/>
        <v>1984</v>
      </c>
      <c r="V289" s="5" t="s">
        <v>3793</v>
      </c>
      <c r="W289" s="9">
        <f t="shared" si="37"/>
        <v>40</v>
      </c>
      <c r="X289" s="5" t="str">
        <f t="shared" si="41"/>
        <v>[40 - 44 ans]</v>
      </c>
      <c r="Y289" s="5" t="str">
        <f t="shared" si="42"/>
        <v xml:space="preserve"> Mellenials </v>
      </c>
      <c r="Z289" s="9">
        <f t="shared" si="43"/>
        <v>20</v>
      </c>
      <c r="AA289" s="5" t="str">
        <f t="shared" si="44"/>
        <v>RAS</v>
      </c>
      <c r="AB289" s="5" t="s">
        <v>3808</v>
      </c>
      <c r="AC289" s="6" t="s">
        <v>3799</v>
      </c>
      <c r="AE289" s="5" t="s">
        <v>3844</v>
      </c>
      <c r="AF289" s="5" t="s">
        <v>4482</v>
      </c>
      <c r="AG289" s="5" t="s">
        <v>4485</v>
      </c>
      <c r="AH289" s="5" t="s">
        <v>4488</v>
      </c>
      <c r="AI289" s="5" t="s">
        <v>4104</v>
      </c>
      <c r="AJ289" s="5" t="s">
        <v>4105</v>
      </c>
      <c r="AK289" s="5" t="s">
        <v>4090</v>
      </c>
      <c r="AL289" s="5" t="s">
        <v>3858</v>
      </c>
    </row>
    <row r="290" spans="1:38" x14ac:dyDescent="0.3">
      <c r="A290" s="4">
        <v>45716</v>
      </c>
      <c r="B290" s="5" t="s">
        <v>1100</v>
      </c>
      <c r="C290" s="5" t="s">
        <v>1101</v>
      </c>
      <c r="D290" s="5" t="s">
        <v>1102</v>
      </c>
      <c r="E290" s="5" t="s">
        <v>4494</v>
      </c>
      <c r="G290" s="5" t="s">
        <v>88</v>
      </c>
      <c r="H290" s="5" t="s">
        <v>456</v>
      </c>
      <c r="I290" s="5" t="s">
        <v>652</v>
      </c>
      <c r="J290" s="5" t="s">
        <v>883</v>
      </c>
      <c r="K290" s="4">
        <v>40266</v>
      </c>
      <c r="L290" s="4">
        <v>40266</v>
      </c>
      <c r="M290" s="9">
        <f t="shared" si="36"/>
        <v>14</v>
      </c>
      <c r="N290" s="4" t="str">
        <f t="shared" si="38"/>
        <v>] 10 ; 15 ]</v>
      </c>
      <c r="O290" s="5" t="s">
        <v>3780</v>
      </c>
      <c r="P290" s="5" t="s">
        <v>3786</v>
      </c>
      <c r="Q290" s="5">
        <v>1</v>
      </c>
      <c r="R290" s="5" t="str">
        <f t="shared" si="39"/>
        <v>Qualification</v>
      </c>
      <c r="S290" s="5" t="s">
        <v>3790</v>
      </c>
      <c r="T290" s="4">
        <v>29834</v>
      </c>
      <c r="U290" s="5">
        <f t="shared" si="40"/>
        <v>1981</v>
      </c>
      <c r="V290" s="5" t="s">
        <v>3793</v>
      </c>
      <c r="W290" s="9">
        <f t="shared" si="37"/>
        <v>43</v>
      </c>
      <c r="X290" s="5" t="str">
        <f t="shared" si="41"/>
        <v>[40 - 44 ans]</v>
      </c>
      <c r="Y290" s="5" t="str">
        <f t="shared" si="42"/>
        <v xml:space="preserve"> Mellenials </v>
      </c>
      <c r="Z290" s="9">
        <f t="shared" si="43"/>
        <v>17</v>
      </c>
      <c r="AA290" s="5" t="str">
        <f t="shared" si="44"/>
        <v>RAS</v>
      </c>
      <c r="AB290" s="5" t="s">
        <v>3822</v>
      </c>
      <c r="AC290" s="6" t="s">
        <v>3802</v>
      </c>
      <c r="AE290" s="5" t="s">
        <v>3844</v>
      </c>
      <c r="AF290" s="5" t="s">
        <v>4482</v>
      </c>
      <c r="AG290" s="5" t="s">
        <v>4485</v>
      </c>
      <c r="AH290" s="5" t="s">
        <v>4488</v>
      </c>
      <c r="AI290" s="5" t="s">
        <v>4166</v>
      </c>
      <c r="AJ290" s="5" t="s">
        <v>4167</v>
      </c>
      <c r="AK290" s="5" t="s">
        <v>4168</v>
      </c>
      <c r="AL290" s="5" t="s">
        <v>3858</v>
      </c>
    </row>
    <row r="291" spans="1:38" x14ac:dyDescent="0.3">
      <c r="A291" s="4">
        <v>45716</v>
      </c>
      <c r="B291" s="5" t="s">
        <v>1103</v>
      </c>
      <c r="C291" s="5" t="s">
        <v>1104</v>
      </c>
      <c r="D291" s="5" t="s">
        <v>1105</v>
      </c>
      <c r="E291" s="5" t="s">
        <v>4494</v>
      </c>
      <c r="G291" s="5" t="s">
        <v>78</v>
      </c>
      <c r="H291" s="5" t="s">
        <v>543</v>
      </c>
      <c r="I291" s="5" t="s">
        <v>958</v>
      </c>
      <c r="J291" s="5" t="s">
        <v>1069</v>
      </c>
      <c r="K291" s="4">
        <v>40266</v>
      </c>
      <c r="L291" s="4">
        <v>40266</v>
      </c>
      <c r="M291" s="9">
        <f t="shared" si="36"/>
        <v>14</v>
      </c>
      <c r="N291" s="4" t="str">
        <f t="shared" si="38"/>
        <v>] 10 ; 15 ]</v>
      </c>
      <c r="O291" s="5" t="s">
        <v>3788</v>
      </c>
      <c r="P291" s="5" t="s">
        <v>3780</v>
      </c>
      <c r="Q291" s="5">
        <v>1</v>
      </c>
      <c r="R291" s="5" t="str">
        <f t="shared" si="39"/>
        <v>Qualification</v>
      </c>
      <c r="S291" s="5" t="s">
        <v>3789</v>
      </c>
      <c r="T291" s="4">
        <v>29443</v>
      </c>
      <c r="U291" s="5">
        <f t="shared" si="40"/>
        <v>1980</v>
      </c>
      <c r="V291" s="5" t="s">
        <v>3793</v>
      </c>
      <c r="W291" s="9">
        <f t="shared" si="37"/>
        <v>44</v>
      </c>
      <c r="X291" s="5" t="str">
        <f t="shared" si="41"/>
        <v>[40 - 44 ans]</v>
      </c>
      <c r="Y291" s="5" t="str">
        <f t="shared" si="42"/>
        <v xml:space="preserve"> Generation X </v>
      </c>
      <c r="Z291" s="9">
        <f t="shared" si="43"/>
        <v>16</v>
      </c>
      <c r="AA291" s="5" t="str">
        <f t="shared" si="44"/>
        <v>RAS</v>
      </c>
      <c r="AB291" s="5" t="s">
        <v>3808</v>
      </c>
      <c r="AC291" s="6" t="s">
        <v>3799</v>
      </c>
      <c r="AE291" s="5" t="s">
        <v>3844</v>
      </c>
      <c r="AF291" s="5" t="s">
        <v>4482</v>
      </c>
      <c r="AG291" s="5" t="s">
        <v>4485</v>
      </c>
      <c r="AH291" s="5" t="s">
        <v>4488</v>
      </c>
      <c r="AI291" s="5" t="s">
        <v>4113</v>
      </c>
      <c r="AJ291" s="5" t="s">
        <v>4114</v>
      </c>
      <c r="AK291" s="5" t="s">
        <v>4090</v>
      </c>
      <c r="AL291" s="5" t="s">
        <v>3858</v>
      </c>
    </row>
    <row r="292" spans="1:38" x14ac:dyDescent="0.3">
      <c r="A292" s="4">
        <v>45716</v>
      </c>
      <c r="B292" s="5" t="s">
        <v>1106</v>
      </c>
      <c r="C292" s="5" t="s">
        <v>1107</v>
      </c>
      <c r="D292" s="5" t="s">
        <v>1108</v>
      </c>
      <c r="E292" s="5" t="s">
        <v>4494</v>
      </c>
      <c r="G292" s="5" t="s">
        <v>57</v>
      </c>
      <c r="H292" s="5" t="s">
        <v>519</v>
      </c>
      <c r="I292" s="5" t="s">
        <v>443</v>
      </c>
      <c r="J292" s="5" t="s">
        <v>56</v>
      </c>
      <c r="K292" s="4">
        <v>40266</v>
      </c>
      <c r="L292" s="4">
        <v>40266</v>
      </c>
      <c r="M292" s="9">
        <f t="shared" si="36"/>
        <v>14</v>
      </c>
      <c r="N292" s="4" t="str">
        <f t="shared" si="38"/>
        <v>] 10 ; 15 ]</v>
      </c>
      <c r="O292" s="5" t="s">
        <v>3785</v>
      </c>
      <c r="P292" s="5" t="s">
        <v>3782</v>
      </c>
      <c r="Q292" s="5">
        <v>1</v>
      </c>
      <c r="R292" s="5" t="str">
        <f t="shared" si="39"/>
        <v>Specialisation</v>
      </c>
      <c r="S292" s="5" t="s">
        <v>3789</v>
      </c>
      <c r="T292" s="4">
        <v>30878</v>
      </c>
      <c r="U292" s="5">
        <f t="shared" si="40"/>
        <v>1984</v>
      </c>
      <c r="V292" s="5" t="s">
        <v>3793</v>
      </c>
      <c r="W292" s="9">
        <f t="shared" si="37"/>
        <v>40</v>
      </c>
      <c r="X292" s="5" t="str">
        <f t="shared" si="41"/>
        <v>[40 - 44 ans]</v>
      </c>
      <c r="Y292" s="5" t="str">
        <f t="shared" si="42"/>
        <v xml:space="preserve"> Mellenials </v>
      </c>
      <c r="Z292" s="9">
        <f t="shared" si="43"/>
        <v>20</v>
      </c>
      <c r="AA292" s="5" t="str">
        <f t="shared" si="44"/>
        <v>RAS</v>
      </c>
      <c r="AB292" s="5" t="s">
        <v>3806</v>
      </c>
      <c r="AC292" s="6" t="s">
        <v>3799</v>
      </c>
      <c r="AE292" s="5" t="s">
        <v>3844</v>
      </c>
      <c r="AF292" s="5" t="s">
        <v>4481</v>
      </c>
      <c r="AG292" s="5" t="s">
        <v>4485</v>
      </c>
      <c r="AH292" s="5" t="s">
        <v>4487</v>
      </c>
      <c r="AI292" s="5" t="s">
        <v>4054</v>
      </c>
      <c r="AJ292" s="5" t="s">
        <v>4055</v>
      </c>
      <c r="AK292" s="5" t="s">
        <v>4056</v>
      </c>
      <c r="AL292" s="5" t="s">
        <v>3858</v>
      </c>
    </row>
    <row r="293" spans="1:38" x14ac:dyDescent="0.3">
      <c r="A293" s="4">
        <v>45716</v>
      </c>
      <c r="B293" s="5" t="s">
        <v>1109</v>
      </c>
      <c r="C293" s="5" t="s">
        <v>1110</v>
      </c>
      <c r="D293" s="5" t="s">
        <v>1111</v>
      </c>
      <c r="E293" s="5" t="s">
        <v>4494</v>
      </c>
      <c r="G293" s="5" t="s">
        <v>88</v>
      </c>
      <c r="H293" s="5" t="s">
        <v>456</v>
      </c>
      <c r="I293" s="5" t="s">
        <v>744</v>
      </c>
      <c r="J293" s="5" t="s">
        <v>883</v>
      </c>
      <c r="K293" s="4">
        <v>40266</v>
      </c>
      <c r="L293" s="4">
        <v>40266</v>
      </c>
      <c r="M293" s="9">
        <f t="shared" si="36"/>
        <v>14</v>
      </c>
      <c r="N293" s="4" t="str">
        <f t="shared" si="38"/>
        <v>] 10 ; 15 ]</v>
      </c>
      <c r="O293" s="5" t="s">
        <v>3780</v>
      </c>
      <c r="P293" s="5" t="s">
        <v>3780</v>
      </c>
      <c r="Q293" s="5">
        <v>3</v>
      </c>
      <c r="R293" s="5" t="str">
        <f t="shared" si="39"/>
        <v>Qualification</v>
      </c>
      <c r="S293" s="5" t="s">
        <v>3790</v>
      </c>
      <c r="T293" s="4">
        <v>30801</v>
      </c>
      <c r="U293" s="5">
        <f t="shared" si="40"/>
        <v>1984</v>
      </c>
      <c r="V293" s="5" t="s">
        <v>3793</v>
      </c>
      <c r="W293" s="9">
        <f t="shared" si="37"/>
        <v>40</v>
      </c>
      <c r="X293" s="5" t="str">
        <f t="shared" si="41"/>
        <v>[40 - 44 ans]</v>
      </c>
      <c r="Y293" s="5" t="str">
        <f t="shared" si="42"/>
        <v xml:space="preserve"> Mellenials </v>
      </c>
      <c r="Z293" s="9">
        <f t="shared" si="43"/>
        <v>20</v>
      </c>
      <c r="AA293" s="5" t="str">
        <f t="shared" si="44"/>
        <v>RAS</v>
      </c>
      <c r="AB293" s="5" t="s">
        <v>3828</v>
      </c>
      <c r="AC293" s="6" t="s">
        <v>3799</v>
      </c>
      <c r="AE293" s="5" t="s">
        <v>3844</v>
      </c>
      <c r="AF293" s="5" t="s">
        <v>4482</v>
      </c>
      <c r="AG293" s="5" t="s">
        <v>4485</v>
      </c>
      <c r="AH293" s="5" t="s">
        <v>4488</v>
      </c>
      <c r="AI293" s="5" t="s">
        <v>4186</v>
      </c>
      <c r="AJ293" s="5" t="s">
        <v>4187</v>
      </c>
      <c r="AK293" s="5" t="s">
        <v>4183</v>
      </c>
      <c r="AL293" s="5" t="s">
        <v>3858</v>
      </c>
    </row>
    <row r="294" spans="1:38" x14ac:dyDescent="0.3">
      <c r="A294" s="4">
        <v>45716</v>
      </c>
      <c r="B294" s="5" t="s">
        <v>1112</v>
      </c>
      <c r="C294" s="5" t="s">
        <v>1113</v>
      </c>
      <c r="D294" s="5" t="s">
        <v>1114</v>
      </c>
      <c r="E294" s="5" t="s">
        <v>4494</v>
      </c>
      <c r="G294" s="5" t="s">
        <v>88</v>
      </c>
      <c r="H294" s="5" t="s">
        <v>456</v>
      </c>
      <c r="I294" s="5" t="s">
        <v>1002</v>
      </c>
      <c r="J294" s="5" t="s">
        <v>883</v>
      </c>
      <c r="K294" s="4">
        <v>40266</v>
      </c>
      <c r="L294" s="4">
        <v>40266</v>
      </c>
      <c r="M294" s="9">
        <f t="shared" si="36"/>
        <v>14</v>
      </c>
      <c r="N294" s="4" t="str">
        <f t="shared" si="38"/>
        <v>] 10 ; 15 ]</v>
      </c>
      <c r="O294" s="5" t="s">
        <v>3780</v>
      </c>
      <c r="P294" s="5" t="s">
        <v>3780</v>
      </c>
      <c r="Q294" s="5">
        <v>3</v>
      </c>
      <c r="R294" s="5" t="str">
        <f t="shared" si="39"/>
        <v>Qualification</v>
      </c>
      <c r="S294" s="5" t="s">
        <v>3790</v>
      </c>
      <c r="T294" s="4">
        <v>31913</v>
      </c>
      <c r="U294" s="5">
        <f t="shared" si="40"/>
        <v>1987</v>
      </c>
      <c r="V294" s="5" t="s">
        <v>3793</v>
      </c>
      <c r="W294" s="9">
        <f t="shared" si="37"/>
        <v>37</v>
      </c>
      <c r="X294" s="5" t="str">
        <f t="shared" si="41"/>
        <v>[35 - 39 ans ]</v>
      </c>
      <c r="Y294" s="5" t="str">
        <f t="shared" si="42"/>
        <v xml:space="preserve"> Mellenials </v>
      </c>
      <c r="Z294" s="9">
        <f t="shared" si="43"/>
        <v>23</v>
      </c>
      <c r="AA294" s="5" t="str">
        <f t="shared" si="44"/>
        <v>RAS</v>
      </c>
      <c r="AB294" s="5" t="s">
        <v>3818</v>
      </c>
      <c r="AC294" s="6" t="s">
        <v>3799</v>
      </c>
      <c r="AE294" s="5" t="s">
        <v>3844</v>
      </c>
      <c r="AF294" s="5" t="s">
        <v>4482</v>
      </c>
      <c r="AG294" s="5" t="s">
        <v>4485</v>
      </c>
      <c r="AH294" s="5" t="s">
        <v>4488</v>
      </c>
      <c r="AI294" s="5" t="s">
        <v>4149</v>
      </c>
      <c r="AJ294" s="5" t="s">
        <v>4150</v>
      </c>
      <c r="AK294" s="5" t="s">
        <v>4151</v>
      </c>
      <c r="AL294" s="5" t="s">
        <v>3858</v>
      </c>
    </row>
    <row r="295" spans="1:38" x14ac:dyDescent="0.3">
      <c r="A295" s="4">
        <v>45716</v>
      </c>
      <c r="B295" s="5" t="s">
        <v>1115</v>
      </c>
      <c r="C295" s="5" t="s">
        <v>1116</v>
      </c>
      <c r="D295" s="5" t="s">
        <v>1117</v>
      </c>
      <c r="E295" s="5" t="s">
        <v>4494</v>
      </c>
      <c r="G295" s="5" t="s">
        <v>88</v>
      </c>
      <c r="H295" s="5" t="s">
        <v>760</v>
      </c>
      <c r="I295" s="5" t="s">
        <v>2172</v>
      </c>
      <c r="J295" s="5" t="s">
        <v>2724</v>
      </c>
      <c r="K295" s="4">
        <v>40266</v>
      </c>
      <c r="L295" s="4">
        <v>40266</v>
      </c>
      <c r="M295" s="9">
        <f t="shared" si="36"/>
        <v>14</v>
      </c>
      <c r="N295" s="4" t="str">
        <f t="shared" si="38"/>
        <v>] 10 ; 15 ]</v>
      </c>
      <c r="O295" s="5" t="s">
        <v>3783</v>
      </c>
      <c r="P295" s="5" t="s">
        <v>3785</v>
      </c>
      <c r="Q295" s="5">
        <v>1</v>
      </c>
      <c r="R295" s="5" t="str">
        <f t="shared" si="39"/>
        <v>Specialisation</v>
      </c>
      <c r="S295" s="5" t="s">
        <v>3789</v>
      </c>
      <c r="T295" s="4">
        <v>29767</v>
      </c>
      <c r="U295" s="5">
        <f t="shared" si="40"/>
        <v>1981</v>
      </c>
      <c r="V295" s="5" t="s">
        <v>3793</v>
      </c>
      <c r="W295" s="9">
        <f t="shared" si="37"/>
        <v>43</v>
      </c>
      <c r="X295" s="5" t="str">
        <f t="shared" si="41"/>
        <v>[40 - 44 ans]</v>
      </c>
      <c r="Y295" s="5" t="str">
        <f t="shared" si="42"/>
        <v xml:space="preserve"> Mellenials </v>
      </c>
      <c r="Z295" s="9">
        <f t="shared" si="43"/>
        <v>17</v>
      </c>
      <c r="AA295" s="5" t="str">
        <f t="shared" si="44"/>
        <v>RAS</v>
      </c>
      <c r="AB295" s="5" t="s">
        <v>3806</v>
      </c>
      <c r="AC295" s="6" t="s">
        <v>3799</v>
      </c>
      <c r="AE295" s="5" t="s">
        <v>3844</v>
      </c>
      <c r="AF295" s="5" t="s">
        <v>4482</v>
      </c>
      <c r="AG295" s="5" t="s">
        <v>4485</v>
      </c>
      <c r="AH295" s="5" t="s">
        <v>4488</v>
      </c>
      <c r="AI295" s="5" t="s">
        <v>4246</v>
      </c>
      <c r="AJ295" s="5" t="s">
        <v>4247</v>
      </c>
      <c r="AK295" s="5" t="s">
        <v>4211</v>
      </c>
      <c r="AL295" s="5" t="s">
        <v>3858</v>
      </c>
    </row>
    <row r="296" spans="1:38" x14ac:dyDescent="0.3">
      <c r="A296" s="4">
        <v>45716</v>
      </c>
      <c r="B296" s="5" t="s">
        <v>1118</v>
      </c>
      <c r="C296" s="5" t="s">
        <v>1119</v>
      </c>
      <c r="D296" s="5" t="s">
        <v>1120</v>
      </c>
      <c r="E296" s="5" t="s">
        <v>4494</v>
      </c>
      <c r="G296" s="5" t="s">
        <v>24</v>
      </c>
      <c r="H296" s="5" t="s">
        <v>256</v>
      </c>
      <c r="I296" s="5" t="s">
        <v>899</v>
      </c>
      <c r="J296" s="5" t="s">
        <v>23</v>
      </c>
      <c r="K296" s="4">
        <v>40266</v>
      </c>
      <c r="L296" s="4">
        <v>40266</v>
      </c>
      <c r="M296" s="9">
        <f t="shared" si="36"/>
        <v>14</v>
      </c>
      <c r="N296" s="4" t="str">
        <f t="shared" si="38"/>
        <v>] 10 ; 15 ]</v>
      </c>
      <c r="O296" s="5" t="s">
        <v>3786</v>
      </c>
      <c r="P296" s="5" t="s">
        <v>3786</v>
      </c>
      <c r="Q296" s="5">
        <v>1</v>
      </c>
      <c r="R296" s="5" t="str">
        <f t="shared" si="39"/>
        <v>Specialisation</v>
      </c>
      <c r="S296" s="5" t="s">
        <v>3789</v>
      </c>
      <c r="T296" s="4">
        <v>29722</v>
      </c>
      <c r="U296" s="5">
        <f t="shared" si="40"/>
        <v>1981</v>
      </c>
      <c r="V296" s="5" t="s">
        <v>3793</v>
      </c>
      <c r="W296" s="9">
        <f t="shared" si="37"/>
        <v>43</v>
      </c>
      <c r="X296" s="5" t="str">
        <f t="shared" si="41"/>
        <v>[40 - 44 ans]</v>
      </c>
      <c r="Y296" s="5" t="str">
        <f t="shared" si="42"/>
        <v xml:space="preserve"> Mellenials </v>
      </c>
      <c r="Z296" s="9">
        <f t="shared" si="43"/>
        <v>17</v>
      </c>
      <c r="AA296" s="5" t="str">
        <f t="shared" si="44"/>
        <v>RAS</v>
      </c>
      <c r="AB296" s="5" t="s">
        <v>3805</v>
      </c>
      <c r="AC296" s="6" t="s">
        <v>3799</v>
      </c>
      <c r="AE296" s="5" t="s">
        <v>3844</v>
      </c>
      <c r="AF296" s="5" t="s">
        <v>4482</v>
      </c>
      <c r="AG296" s="5" t="s">
        <v>4485</v>
      </c>
      <c r="AH296" s="5" t="s">
        <v>4488</v>
      </c>
      <c r="AI296" s="5" t="s">
        <v>4218</v>
      </c>
      <c r="AJ296" s="5" t="s">
        <v>4248</v>
      </c>
      <c r="AK296" s="5" t="s">
        <v>3983</v>
      </c>
      <c r="AL296" s="5" t="s">
        <v>3858</v>
      </c>
    </row>
    <row r="297" spans="1:38" x14ac:dyDescent="0.3">
      <c r="A297" s="4">
        <v>45716</v>
      </c>
      <c r="B297" s="5" t="s">
        <v>1121</v>
      </c>
      <c r="C297" s="5" t="s">
        <v>1122</v>
      </c>
      <c r="D297" s="5" t="s">
        <v>1123</v>
      </c>
      <c r="E297" s="5" t="s">
        <v>4494</v>
      </c>
      <c r="G297" s="5" t="s">
        <v>88</v>
      </c>
      <c r="H297" s="5" t="s">
        <v>456</v>
      </c>
      <c r="I297" s="5" t="s">
        <v>1002</v>
      </c>
      <c r="J297" s="5" t="s">
        <v>883</v>
      </c>
      <c r="K297" s="4">
        <v>40266</v>
      </c>
      <c r="L297" s="4">
        <v>40266</v>
      </c>
      <c r="M297" s="9">
        <f t="shared" si="36"/>
        <v>14</v>
      </c>
      <c r="N297" s="4" t="str">
        <f t="shared" si="38"/>
        <v>] 10 ; 15 ]</v>
      </c>
      <c r="O297" s="5" t="s">
        <v>3780</v>
      </c>
      <c r="P297" s="5" t="s">
        <v>3780</v>
      </c>
      <c r="Q297" s="5">
        <v>3</v>
      </c>
      <c r="R297" s="5" t="str">
        <f t="shared" si="39"/>
        <v>Qualification</v>
      </c>
      <c r="S297" s="5" t="s">
        <v>3790</v>
      </c>
      <c r="T297" s="4">
        <v>29870</v>
      </c>
      <c r="U297" s="5">
        <f t="shared" si="40"/>
        <v>1981</v>
      </c>
      <c r="V297" s="5" t="s">
        <v>3793</v>
      </c>
      <c r="W297" s="9">
        <f t="shared" si="37"/>
        <v>43</v>
      </c>
      <c r="X297" s="5" t="str">
        <f t="shared" si="41"/>
        <v>[40 - 44 ans]</v>
      </c>
      <c r="Y297" s="5" t="str">
        <f t="shared" si="42"/>
        <v xml:space="preserve"> Mellenials </v>
      </c>
      <c r="Z297" s="9">
        <f t="shared" si="43"/>
        <v>17</v>
      </c>
      <c r="AA297" s="5" t="str">
        <f t="shared" si="44"/>
        <v>RAS</v>
      </c>
      <c r="AB297" s="5" t="s">
        <v>3818</v>
      </c>
      <c r="AC297" s="6" t="s">
        <v>3799</v>
      </c>
      <c r="AE297" s="5" t="s">
        <v>3844</v>
      </c>
      <c r="AF297" s="5" t="s">
        <v>4482</v>
      </c>
      <c r="AG297" s="5" t="s">
        <v>4485</v>
      </c>
      <c r="AH297" s="5" t="s">
        <v>4488</v>
      </c>
      <c r="AI297" s="5" t="s">
        <v>4149</v>
      </c>
      <c r="AJ297" s="5" t="s">
        <v>4150</v>
      </c>
      <c r="AK297" s="5" t="s">
        <v>4151</v>
      </c>
      <c r="AL297" s="5" t="s">
        <v>3858</v>
      </c>
    </row>
    <row r="298" spans="1:38" x14ac:dyDescent="0.3">
      <c r="A298" s="4">
        <v>45716</v>
      </c>
      <c r="B298" s="5" t="s">
        <v>1124</v>
      </c>
      <c r="C298" s="5" t="s">
        <v>1125</v>
      </c>
      <c r="D298" s="5" t="s">
        <v>1126</v>
      </c>
      <c r="E298" s="5" t="s">
        <v>4494</v>
      </c>
      <c r="G298" s="5" t="s">
        <v>78</v>
      </c>
      <c r="H298" s="5" t="s">
        <v>1127</v>
      </c>
      <c r="I298" s="5" t="s">
        <v>298</v>
      </c>
      <c r="J298" s="5" t="s">
        <v>169</v>
      </c>
      <c r="K298" s="4">
        <v>40266</v>
      </c>
      <c r="L298" s="4">
        <v>40231</v>
      </c>
      <c r="M298" s="9">
        <f t="shared" si="36"/>
        <v>15</v>
      </c>
      <c r="N298" s="4" t="str">
        <f t="shared" si="38"/>
        <v>] 10 ; 15 ]</v>
      </c>
      <c r="O298" s="5" t="s">
        <v>3783</v>
      </c>
      <c r="P298" s="5" t="s">
        <v>3785</v>
      </c>
      <c r="Q298" s="5">
        <v>1</v>
      </c>
      <c r="R298" s="5" t="str">
        <f t="shared" si="39"/>
        <v>Specialisation</v>
      </c>
      <c r="S298" s="5" t="s">
        <v>3789</v>
      </c>
      <c r="T298" s="4">
        <v>29923</v>
      </c>
      <c r="U298" s="5">
        <f t="shared" si="40"/>
        <v>1981</v>
      </c>
      <c r="V298" s="5" t="s">
        <v>3792</v>
      </c>
      <c r="W298" s="9">
        <f t="shared" si="37"/>
        <v>43</v>
      </c>
      <c r="X298" s="5" t="str">
        <f t="shared" si="41"/>
        <v>[40 - 44 ans]</v>
      </c>
      <c r="Y298" s="5" t="str">
        <f t="shared" si="42"/>
        <v xml:space="preserve"> Mellenials </v>
      </c>
      <c r="Z298" s="9">
        <f t="shared" si="43"/>
        <v>17</v>
      </c>
      <c r="AA298" s="5" t="str">
        <f t="shared" si="44"/>
        <v>RAS</v>
      </c>
      <c r="AB298" s="5" t="s">
        <v>3808</v>
      </c>
      <c r="AC298" s="6" t="s">
        <v>3799</v>
      </c>
      <c r="AE298" s="5" t="s">
        <v>3845</v>
      </c>
      <c r="AF298" s="5" t="s">
        <v>4482</v>
      </c>
      <c r="AG298" s="5" t="s">
        <v>4485</v>
      </c>
      <c r="AH298" s="5" t="s">
        <v>4488</v>
      </c>
      <c r="AI298" s="5" t="s">
        <v>4095</v>
      </c>
      <c r="AJ298" s="5" t="s">
        <v>4096</v>
      </c>
      <c r="AK298" s="5" t="s">
        <v>4097</v>
      </c>
      <c r="AL298" s="5" t="s">
        <v>3854</v>
      </c>
    </row>
    <row r="299" spans="1:38" x14ac:dyDescent="0.3">
      <c r="A299" s="4">
        <v>45716</v>
      </c>
      <c r="B299" s="5" t="s">
        <v>1128</v>
      </c>
      <c r="C299" s="5" t="s">
        <v>1129</v>
      </c>
      <c r="D299" s="5" t="s">
        <v>1130</v>
      </c>
      <c r="E299" s="5" t="s">
        <v>4494</v>
      </c>
      <c r="G299" s="5" t="s">
        <v>39</v>
      </c>
      <c r="H299" s="5" t="s">
        <v>1131</v>
      </c>
      <c r="I299" s="5" t="s">
        <v>1702</v>
      </c>
      <c r="J299" s="5" t="s">
        <v>120</v>
      </c>
      <c r="K299" s="4">
        <v>40266</v>
      </c>
      <c r="L299" s="4">
        <v>40266</v>
      </c>
      <c r="M299" s="9">
        <f t="shared" si="36"/>
        <v>14</v>
      </c>
      <c r="N299" s="4" t="str">
        <f t="shared" si="38"/>
        <v>] 10 ; 15 ]</v>
      </c>
      <c r="O299" s="5" t="s">
        <v>3786</v>
      </c>
      <c r="P299" s="5" t="s">
        <v>3786</v>
      </c>
      <c r="Q299" s="5">
        <v>1</v>
      </c>
      <c r="R299" s="5" t="str">
        <f t="shared" si="39"/>
        <v>Specialisation</v>
      </c>
      <c r="S299" s="5" t="s">
        <v>3789</v>
      </c>
      <c r="T299" s="4">
        <v>30719</v>
      </c>
      <c r="U299" s="5">
        <f t="shared" si="40"/>
        <v>1984</v>
      </c>
      <c r="V299" s="5" t="s">
        <v>3792</v>
      </c>
      <c r="W299" s="9">
        <f t="shared" si="37"/>
        <v>41</v>
      </c>
      <c r="X299" s="5" t="str">
        <f t="shared" si="41"/>
        <v>[40 - 44 ans]</v>
      </c>
      <c r="Y299" s="5" t="str">
        <f t="shared" si="42"/>
        <v xml:space="preserve"> Mellenials </v>
      </c>
      <c r="Z299" s="9">
        <f t="shared" si="43"/>
        <v>19</v>
      </c>
      <c r="AA299" s="5" t="str">
        <f t="shared" si="44"/>
        <v>RAS</v>
      </c>
      <c r="AB299" s="5" t="s">
        <v>3807</v>
      </c>
      <c r="AC299" s="6" t="s">
        <v>3799</v>
      </c>
      <c r="AE299" s="5" t="s">
        <v>3844</v>
      </c>
      <c r="AF299" s="5" t="s">
        <v>4482</v>
      </c>
      <c r="AG299" s="5" t="s">
        <v>4485</v>
      </c>
      <c r="AH299" s="5" t="s">
        <v>4489</v>
      </c>
      <c r="AI299" s="5" t="s">
        <v>4203</v>
      </c>
      <c r="AJ299" s="5" t="s">
        <v>4249</v>
      </c>
      <c r="AK299" s="5" t="s">
        <v>3917</v>
      </c>
      <c r="AL299" s="5" t="s">
        <v>3858</v>
      </c>
    </row>
    <row r="300" spans="1:38" x14ac:dyDescent="0.3">
      <c r="A300" s="4">
        <v>45716</v>
      </c>
      <c r="B300" s="5" t="s">
        <v>1132</v>
      </c>
      <c r="C300" s="5" t="s">
        <v>1133</v>
      </c>
      <c r="D300" s="5" t="s">
        <v>1134</v>
      </c>
      <c r="E300" s="5" t="s">
        <v>4494</v>
      </c>
      <c r="G300" s="5" t="s">
        <v>78</v>
      </c>
      <c r="H300" s="5" t="s">
        <v>508</v>
      </c>
      <c r="I300" s="5" t="s">
        <v>1126</v>
      </c>
      <c r="J300" s="5" t="s">
        <v>298</v>
      </c>
      <c r="K300" s="4">
        <v>40266</v>
      </c>
      <c r="L300" s="4">
        <v>40266</v>
      </c>
      <c r="M300" s="9">
        <f t="shared" si="36"/>
        <v>14</v>
      </c>
      <c r="N300" s="4" t="str">
        <f t="shared" si="38"/>
        <v>] 10 ; 15 ]</v>
      </c>
      <c r="O300" s="5" t="s">
        <v>3788</v>
      </c>
      <c r="P300" s="5" t="s">
        <v>3788</v>
      </c>
      <c r="Q300" s="5">
        <v>2</v>
      </c>
      <c r="R300" s="5" t="str">
        <f t="shared" si="39"/>
        <v>Qualification</v>
      </c>
      <c r="S300" s="5" t="s">
        <v>3790</v>
      </c>
      <c r="T300" s="4">
        <v>29232</v>
      </c>
      <c r="U300" s="5">
        <f t="shared" si="40"/>
        <v>1980</v>
      </c>
      <c r="V300" s="5" t="s">
        <v>3793</v>
      </c>
      <c r="W300" s="9">
        <f t="shared" si="37"/>
        <v>45</v>
      </c>
      <c r="X300" s="5" t="str">
        <f t="shared" si="41"/>
        <v>[45 - 49 ans]</v>
      </c>
      <c r="Y300" s="5" t="str">
        <f t="shared" si="42"/>
        <v xml:space="preserve"> Generation X </v>
      </c>
      <c r="Z300" s="9">
        <f t="shared" si="43"/>
        <v>15</v>
      </c>
      <c r="AA300" s="5" t="str">
        <f t="shared" si="44"/>
        <v>RAS</v>
      </c>
      <c r="AB300" s="5" t="s">
        <v>3808</v>
      </c>
      <c r="AC300" s="6" t="s">
        <v>3799</v>
      </c>
      <c r="AE300" s="5" t="s">
        <v>3844</v>
      </c>
      <c r="AF300" s="5" t="s">
        <v>4482</v>
      </c>
      <c r="AG300" s="5" t="s">
        <v>4485</v>
      </c>
      <c r="AH300" s="5" t="s">
        <v>4488</v>
      </c>
      <c r="AI300" s="5" t="s">
        <v>4095</v>
      </c>
      <c r="AJ300" s="5" t="s">
        <v>4096</v>
      </c>
      <c r="AK300" s="5" t="s">
        <v>4097</v>
      </c>
      <c r="AL300" s="5" t="s">
        <v>3858</v>
      </c>
    </row>
    <row r="301" spans="1:38" x14ac:dyDescent="0.3">
      <c r="A301" s="4">
        <v>45716</v>
      </c>
      <c r="B301" s="5" t="s">
        <v>1135</v>
      </c>
      <c r="C301" s="5" t="s">
        <v>1136</v>
      </c>
      <c r="D301" s="5" t="s">
        <v>1137</v>
      </c>
      <c r="E301" s="5" t="s">
        <v>4494</v>
      </c>
      <c r="G301" s="5" t="s">
        <v>24</v>
      </c>
      <c r="H301" s="5" t="s">
        <v>1138</v>
      </c>
      <c r="I301" s="5" t="s">
        <v>899</v>
      </c>
      <c r="J301" s="5" t="s">
        <v>23</v>
      </c>
      <c r="K301" s="4">
        <v>40266</v>
      </c>
      <c r="L301" s="4">
        <v>40266</v>
      </c>
      <c r="M301" s="9">
        <f t="shared" si="36"/>
        <v>14</v>
      </c>
      <c r="N301" s="4" t="str">
        <f t="shared" si="38"/>
        <v>] 10 ; 15 ]</v>
      </c>
      <c r="O301" s="5" t="s">
        <v>3785</v>
      </c>
      <c r="P301" s="5" t="s">
        <v>3785</v>
      </c>
      <c r="Q301" s="5">
        <v>1</v>
      </c>
      <c r="R301" s="5" t="str">
        <f t="shared" si="39"/>
        <v>Specialisation</v>
      </c>
      <c r="S301" s="5" t="s">
        <v>3789</v>
      </c>
      <c r="T301" s="4">
        <v>29582</v>
      </c>
      <c r="U301" s="5">
        <f t="shared" si="40"/>
        <v>1980</v>
      </c>
      <c r="V301" s="5" t="s">
        <v>3793</v>
      </c>
      <c r="W301" s="9">
        <f t="shared" si="37"/>
        <v>44</v>
      </c>
      <c r="X301" s="5" t="str">
        <f t="shared" si="41"/>
        <v>[40 - 44 ans]</v>
      </c>
      <c r="Y301" s="5" t="str">
        <f t="shared" si="42"/>
        <v xml:space="preserve"> Generation X </v>
      </c>
      <c r="Z301" s="9">
        <f t="shared" si="43"/>
        <v>16</v>
      </c>
      <c r="AA301" s="5" t="str">
        <f t="shared" si="44"/>
        <v>RAS</v>
      </c>
      <c r="AB301" s="5" t="s">
        <v>3822</v>
      </c>
      <c r="AC301" s="6" t="s">
        <v>3802</v>
      </c>
      <c r="AE301" s="5" t="s">
        <v>3844</v>
      </c>
      <c r="AF301" s="5" t="s">
        <v>4481</v>
      </c>
      <c r="AG301" s="5" t="s">
        <v>4485</v>
      </c>
      <c r="AH301" s="5" t="s">
        <v>4488</v>
      </c>
      <c r="AI301" s="5" t="s">
        <v>4218</v>
      </c>
      <c r="AJ301" s="5" t="s">
        <v>4248</v>
      </c>
      <c r="AK301" s="5" t="s">
        <v>3983</v>
      </c>
      <c r="AL301" s="5" t="s">
        <v>3858</v>
      </c>
    </row>
    <row r="302" spans="1:38" x14ac:dyDescent="0.3">
      <c r="A302" s="4">
        <v>45716</v>
      </c>
      <c r="B302" s="5" t="s">
        <v>1139</v>
      </c>
      <c r="C302" s="5" t="s">
        <v>1140</v>
      </c>
      <c r="D302" s="5" t="s">
        <v>1141</v>
      </c>
      <c r="E302" s="5" t="s">
        <v>4494</v>
      </c>
      <c r="G302" s="5" t="s">
        <v>78</v>
      </c>
      <c r="H302" s="5" t="s">
        <v>1066</v>
      </c>
      <c r="I302" s="5" t="s">
        <v>1306</v>
      </c>
      <c r="J302" s="5" t="s">
        <v>1510</v>
      </c>
      <c r="K302" s="4">
        <v>40266</v>
      </c>
      <c r="L302" s="4">
        <v>40266</v>
      </c>
      <c r="M302" s="9">
        <f t="shared" si="36"/>
        <v>14</v>
      </c>
      <c r="N302" s="4" t="str">
        <f t="shared" si="38"/>
        <v>] 10 ; 15 ]</v>
      </c>
      <c r="O302" s="5" t="s">
        <v>3788</v>
      </c>
      <c r="P302" s="5" t="s">
        <v>3780</v>
      </c>
      <c r="Q302" s="5">
        <v>1</v>
      </c>
      <c r="R302" s="5" t="str">
        <f t="shared" si="39"/>
        <v>Qualification</v>
      </c>
      <c r="S302" s="5" t="s">
        <v>3790</v>
      </c>
      <c r="T302" s="4">
        <v>31088</v>
      </c>
      <c r="U302" s="5">
        <f t="shared" si="40"/>
        <v>1985</v>
      </c>
      <c r="V302" s="5" t="s">
        <v>3793</v>
      </c>
      <c r="W302" s="9">
        <f t="shared" si="37"/>
        <v>40</v>
      </c>
      <c r="X302" s="5" t="str">
        <f t="shared" si="41"/>
        <v>[40 - 44 ans]</v>
      </c>
      <c r="Y302" s="5" t="str">
        <f t="shared" si="42"/>
        <v xml:space="preserve"> Mellenials </v>
      </c>
      <c r="Z302" s="9">
        <f t="shared" si="43"/>
        <v>20</v>
      </c>
      <c r="AA302" s="5" t="str">
        <f t="shared" si="44"/>
        <v>RAS</v>
      </c>
      <c r="AB302" s="5" t="s">
        <v>3808</v>
      </c>
      <c r="AC302" s="6" t="s">
        <v>3799</v>
      </c>
      <c r="AE302" s="5" t="s">
        <v>3844</v>
      </c>
      <c r="AF302" s="5" t="s">
        <v>4482</v>
      </c>
      <c r="AG302" s="5" t="s">
        <v>4485</v>
      </c>
      <c r="AH302" s="5" t="s">
        <v>4488</v>
      </c>
      <c r="AI302" s="5" t="s">
        <v>4241</v>
      </c>
      <c r="AJ302" s="5" t="s">
        <v>4250</v>
      </c>
      <c r="AK302" s="5" t="s">
        <v>4242</v>
      </c>
      <c r="AL302" s="5" t="s">
        <v>3858</v>
      </c>
    </row>
    <row r="303" spans="1:38" x14ac:dyDescent="0.3">
      <c r="A303" s="4">
        <v>45716</v>
      </c>
      <c r="B303" s="5" t="s">
        <v>1142</v>
      </c>
      <c r="C303" s="5" t="s">
        <v>1143</v>
      </c>
      <c r="D303" s="5" t="s">
        <v>1144</v>
      </c>
      <c r="E303" s="5" t="s">
        <v>4494</v>
      </c>
      <c r="G303" s="5" t="s">
        <v>29</v>
      </c>
      <c r="H303" s="5" t="s">
        <v>30</v>
      </c>
      <c r="I303" s="5" t="s">
        <v>377</v>
      </c>
      <c r="J303" s="5" t="s">
        <v>69</v>
      </c>
      <c r="K303" s="4">
        <v>40266</v>
      </c>
      <c r="L303" s="4">
        <v>40266</v>
      </c>
      <c r="M303" s="9">
        <f t="shared" si="36"/>
        <v>14</v>
      </c>
      <c r="N303" s="4" t="str">
        <f t="shared" si="38"/>
        <v>] 10 ; 15 ]</v>
      </c>
      <c r="O303" s="5" t="s">
        <v>3780</v>
      </c>
      <c r="P303" s="5" t="s">
        <v>3786</v>
      </c>
      <c r="Q303" s="5">
        <v>1</v>
      </c>
      <c r="R303" s="5" t="str">
        <f t="shared" si="39"/>
        <v>Qualification</v>
      </c>
      <c r="S303" s="5" t="s">
        <v>3789</v>
      </c>
      <c r="T303" s="4">
        <v>27131</v>
      </c>
      <c r="U303" s="5">
        <f t="shared" si="40"/>
        <v>1974</v>
      </c>
      <c r="V303" s="5" t="s">
        <v>3793</v>
      </c>
      <c r="W303" s="9">
        <f t="shared" si="37"/>
        <v>50</v>
      </c>
      <c r="X303" s="5" t="str">
        <f t="shared" si="41"/>
        <v>[50 ans, +oo [</v>
      </c>
      <c r="Y303" s="5" t="str">
        <f t="shared" si="42"/>
        <v xml:space="preserve"> Generation X </v>
      </c>
      <c r="Z303" s="9">
        <f t="shared" si="43"/>
        <v>10</v>
      </c>
      <c r="AA303" s="5" t="str">
        <f t="shared" si="44"/>
        <v>RAS</v>
      </c>
      <c r="AB303" s="5" t="s">
        <v>3806</v>
      </c>
      <c r="AC303" s="6" t="s">
        <v>3799</v>
      </c>
      <c r="AE303" s="5" t="s">
        <v>3844</v>
      </c>
      <c r="AF303" s="5" t="s">
        <v>4482</v>
      </c>
      <c r="AG303" s="5" t="s">
        <v>4485</v>
      </c>
      <c r="AH303" s="5" t="s">
        <v>4488</v>
      </c>
      <c r="AI303" s="5" t="s">
        <v>3855</v>
      </c>
      <c r="AJ303" s="5" t="s">
        <v>3856</v>
      </c>
      <c r="AK303" s="5" t="s">
        <v>3857</v>
      </c>
      <c r="AL303" s="5" t="s">
        <v>3858</v>
      </c>
    </row>
    <row r="304" spans="1:38" x14ac:dyDescent="0.3">
      <c r="A304" s="4">
        <v>45716</v>
      </c>
      <c r="B304" s="5" t="s">
        <v>1145</v>
      </c>
      <c r="C304" s="5" t="s">
        <v>1146</v>
      </c>
      <c r="D304" s="5" t="s">
        <v>1147</v>
      </c>
      <c r="E304" s="5" t="s">
        <v>4494</v>
      </c>
      <c r="G304" s="5" t="s">
        <v>88</v>
      </c>
      <c r="H304" s="5" t="s">
        <v>456</v>
      </c>
      <c r="I304" s="5" t="s">
        <v>779</v>
      </c>
      <c r="J304" s="5" t="s">
        <v>883</v>
      </c>
      <c r="K304" s="4">
        <v>40266</v>
      </c>
      <c r="L304" s="4">
        <v>40266</v>
      </c>
      <c r="M304" s="9">
        <f t="shared" si="36"/>
        <v>14</v>
      </c>
      <c r="N304" s="4" t="str">
        <f t="shared" si="38"/>
        <v>] 10 ; 15 ]</v>
      </c>
      <c r="O304" s="5" t="s">
        <v>3780</v>
      </c>
      <c r="P304" s="5" t="s">
        <v>3786</v>
      </c>
      <c r="Q304" s="5">
        <v>1</v>
      </c>
      <c r="R304" s="5" t="str">
        <f t="shared" si="39"/>
        <v>Qualification</v>
      </c>
      <c r="S304" s="5" t="s">
        <v>3789</v>
      </c>
      <c r="T304" s="4">
        <v>30113</v>
      </c>
      <c r="U304" s="5">
        <f t="shared" si="40"/>
        <v>1982</v>
      </c>
      <c r="V304" s="5" t="s">
        <v>3793</v>
      </c>
      <c r="W304" s="9">
        <f t="shared" si="37"/>
        <v>42</v>
      </c>
      <c r="X304" s="5" t="str">
        <f t="shared" si="41"/>
        <v>[40 - 44 ans]</v>
      </c>
      <c r="Y304" s="5" t="str">
        <f t="shared" si="42"/>
        <v xml:space="preserve"> Mellenials </v>
      </c>
      <c r="Z304" s="9">
        <f t="shared" si="43"/>
        <v>18</v>
      </c>
      <c r="AA304" s="5" t="str">
        <f t="shared" si="44"/>
        <v>RAS</v>
      </c>
      <c r="AB304" s="5" t="s">
        <v>3819</v>
      </c>
      <c r="AC304" s="6" t="s">
        <v>3802</v>
      </c>
      <c r="AE304" s="5" t="s">
        <v>3844</v>
      </c>
      <c r="AF304" s="5" t="s">
        <v>4482</v>
      </c>
      <c r="AG304" s="5" t="s">
        <v>4485</v>
      </c>
      <c r="AH304" s="5" t="s">
        <v>4488</v>
      </c>
      <c r="AI304" s="5" t="s">
        <v>4161</v>
      </c>
      <c r="AJ304" s="5" t="s">
        <v>3819</v>
      </c>
      <c r="AK304" s="5" t="s">
        <v>4162</v>
      </c>
      <c r="AL304" s="5" t="s">
        <v>3858</v>
      </c>
    </row>
    <row r="305" spans="1:38" x14ac:dyDescent="0.3">
      <c r="A305" s="4">
        <v>45716</v>
      </c>
      <c r="B305" s="5" t="s">
        <v>1148</v>
      </c>
      <c r="C305" s="5" t="s">
        <v>1149</v>
      </c>
      <c r="D305" s="5" t="s">
        <v>1150</v>
      </c>
      <c r="E305" s="5" t="s">
        <v>4494</v>
      </c>
      <c r="G305" s="5" t="s">
        <v>29</v>
      </c>
      <c r="H305" s="5" t="s">
        <v>30</v>
      </c>
      <c r="I305" s="5" t="s">
        <v>377</v>
      </c>
      <c r="J305" s="5" t="s">
        <v>69</v>
      </c>
      <c r="K305" s="4">
        <v>40266</v>
      </c>
      <c r="L305" s="4">
        <v>40266</v>
      </c>
      <c r="M305" s="9">
        <f t="shared" si="36"/>
        <v>14</v>
      </c>
      <c r="N305" s="4" t="str">
        <f t="shared" si="38"/>
        <v>] 10 ; 15 ]</v>
      </c>
      <c r="O305" s="5" t="s">
        <v>3780</v>
      </c>
      <c r="P305" s="5" t="s">
        <v>3786</v>
      </c>
      <c r="Q305" s="5">
        <v>1</v>
      </c>
      <c r="R305" s="5" t="str">
        <f t="shared" si="39"/>
        <v>Qualification</v>
      </c>
      <c r="S305" s="5" t="s">
        <v>3789</v>
      </c>
      <c r="T305" s="4">
        <v>31644</v>
      </c>
      <c r="U305" s="5">
        <f t="shared" si="40"/>
        <v>1986</v>
      </c>
      <c r="V305" s="5" t="s">
        <v>3793</v>
      </c>
      <c r="W305" s="9">
        <f t="shared" si="37"/>
        <v>38</v>
      </c>
      <c r="X305" s="5" t="str">
        <f t="shared" si="41"/>
        <v>[35 - 39 ans ]</v>
      </c>
      <c r="Y305" s="5" t="str">
        <f t="shared" si="42"/>
        <v xml:space="preserve"> Mellenials </v>
      </c>
      <c r="Z305" s="9">
        <f t="shared" si="43"/>
        <v>22</v>
      </c>
      <c r="AA305" s="5" t="str">
        <f t="shared" si="44"/>
        <v>RAS</v>
      </c>
      <c r="AB305" s="5" t="s">
        <v>3831</v>
      </c>
      <c r="AC305" s="6" t="s">
        <v>3800</v>
      </c>
      <c r="AE305" s="5" t="s">
        <v>3844</v>
      </c>
      <c r="AF305" s="5" t="s">
        <v>4482</v>
      </c>
      <c r="AG305" s="5" t="s">
        <v>4485</v>
      </c>
      <c r="AH305" s="5" t="s">
        <v>4488</v>
      </c>
      <c r="AI305" s="5" t="s">
        <v>3855</v>
      </c>
      <c r="AJ305" s="5" t="s">
        <v>3856</v>
      </c>
      <c r="AK305" s="5" t="s">
        <v>3857</v>
      </c>
      <c r="AL305" s="5" t="s">
        <v>3858</v>
      </c>
    </row>
    <row r="306" spans="1:38" x14ac:dyDescent="0.3">
      <c r="A306" s="4">
        <v>45716</v>
      </c>
      <c r="B306" s="5" t="s">
        <v>1151</v>
      </c>
      <c r="C306" s="5" t="s">
        <v>1152</v>
      </c>
      <c r="D306" s="5" t="s">
        <v>1153</v>
      </c>
      <c r="E306" s="5" t="s">
        <v>4494</v>
      </c>
      <c r="G306" s="5" t="s">
        <v>78</v>
      </c>
      <c r="H306" s="5" t="s">
        <v>1066</v>
      </c>
      <c r="I306" s="5" t="s">
        <v>1664</v>
      </c>
      <c r="J306" s="5" t="s">
        <v>1510</v>
      </c>
      <c r="K306" s="4">
        <v>40266</v>
      </c>
      <c r="L306" s="4">
        <v>40266</v>
      </c>
      <c r="M306" s="9">
        <f t="shared" si="36"/>
        <v>14</v>
      </c>
      <c r="N306" s="4" t="str">
        <f t="shared" si="38"/>
        <v>] 10 ; 15 ]</v>
      </c>
      <c r="O306" s="5" t="s">
        <v>3788</v>
      </c>
      <c r="P306" s="5" t="s">
        <v>3780</v>
      </c>
      <c r="Q306" s="5">
        <v>1</v>
      </c>
      <c r="R306" s="5" t="str">
        <f t="shared" si="39"/>
        <v>Qualification</v>
      </c>
      <c r="S306" s="5" t="s">
        <v>3790</v>
      </c>
      <c r="T306" s="4">
        <v>31416</v>
      </c>
      <c r="U306" s="5">
        <f t="shared" si="40"/>
        <v>1986</v>
      </c>
      <c r="V306" s="5" t="s">
        <v>3793</v>
      </c>
      <c r="W306" s="9">
        <f t="shared" si="37"/>
        <v>39</v>
      </c>
      <c r="X306" s="5" t="str">
        <f t="shared" si="41"/>
        <v>[35 - 39 ans ]</v>
      </c>
      <c r="Y306" s="5" t="str">
        <f t="shared" si="42"/>
        <v xml:space="preserve"> Mellenials </v>
      </c>
      <c r="Z306" s="9">
        <f t="shared" si="43"/>
        <v>21</v>
      </c>
      <c r="AA306" s="5" t="str">
        <f t="shared" si="44"/>
        <v>RAS</v>
      </c>
      <c r="AB306" s="5" t="s">
        <v>3808</v>
      </c>
      <c r="AC306" s="6" t="s">
        <v>3799</v>
      </c>
      <c r="AE306" s="5" t="s">
        <v>3844</v>
      </c>
      <c r="AF306" s="5" t="s">
        <v>4482</v>
      </c>
      <c r="AG306" s="5" t="s">
        <v>4485</v>
      </c>
      <c r="AH306" s="5" t="s">
        <v>4488</v>
      </c>
      <c r="AI306" s="5" t="s">
        <v>4251</v>
      </c>
      <c r="AJ306" s="5" t="s">
        <v>4252</v>
      </c>
      <c r="AK306" s="5" t="s">
        <v>4242</v>
      </c>
      <c r="AL306" s="5" t="s">
        <v>3858</v>
      </c>
    </row>
    <row r="307" spans="1:38" x14ac:dyDescent="0.3">
      <c r="A307" s="4">
        <v>45716</v>
      </c>
      <c r="B307" s="5" t="s">
        <v>1154</v>
      </c>
      <c r="C307" s="5" t="s">
        <v>1155</v>
      </c>
      <c r="D307" s="5" t="s">
        <v>1156</v>
      </c>
      <c r="E307" s="5" t="s">
        <v>4494</v>
      </c>
      <c r="G307" s="5" t="s">
        <v>78</v>
      </c>
      <c r="H307" s="5" t="s">
        <v>815</v>
      </c>
      <c r="I307" s="5" t="s">
        <v>491</v>
      </c>
      <c r="J307" s="5" t="s">
        <v>1823</v>
      </c>
      <c r="K307" s="4">
        <v>40266</v>
      </c>
      <c r="L307" s="4">
        <v>40266</v>
      </c>
      <c r="M307" s="9">
        <f t="shared" si="36"/>
        <v>14</v>
      </c>
      <c r="N307" s="4" t="str">
        <f t="shared" si="38"/>
        <v>] 10 ; 15 ]</v>
      </c>
      <c r="O307" s="5" t="s">
        <v>3786</v>
      </c>
      <c r="P307" s="5" t="s">
        <v>3786</v>
      </c>
      <c r="Q307" s="5">
        <v>1</v>
      </c>
      <c r="R307" s="5" t="str">
        <f t="shared" si="39"/>
        <v>Specialisation</v>
      </c>
      <c r="S307" s="5" t="s">
        <v>3789</v>
      </c>
      <c r="T307" s="4">
        <v>30404</v>
      </c>
      <c r="U307" s="5">
        <f t="shared" si="40"/>
        <v>1983</v>
      </c>
      <c r="V307" s="5" t="s">
        <v>3793</v>
      </c>
      <c r="W307" s="9">
        <f t="shared" si="37"/>
        <v>41</v>
      </c>
      <c r="X307" s="5" t="str">
        <f t="shared" si="41"/>
        <v>[40 - 44 ans]</v>
      </c>
      <c r="Y307" s="5" t="str">
        <f t="shared" si="42"/>
        <v xml:space="preserve"> Mellenials </v>
      </c>
      <c r="Z307" s="9">
        <f t="shared" si="43"/>
        <v>19</v>
      </c>
      <c r="AA307" s="5" t="str">
        <f t="shared" si="44"/>
        <v>RAS</v>
      </c>
      <c r="AB307" s="5" t="s">
        <v>3808</v>
      </c>
      <c r="AC307" s="6" t="s">
        <v>3799</v>
      </c>
      <c r="AE307" s="5" t="s">
        <v>3844</v>
      </c>
      <c r="AF307" s="5" t="s">
        <v>4482</v>
      </c>
      <c r="AG307" s="5" t="s">
        <v>4485</v>
      </c>
      <c r="AH307" s="5" t="s">
        <v>4488</v>
      </c>
      <c r="AI307" s="5" t="s">
        <v>4091</v>
      </c>
      <c r="AJ307" s="5" t="s">
        <v>4092</v>
      </c>
      <c r="AK307" s="5" t="s">
        <v>3946</v>
      </c>
      <c r="AL307" s="5" t="s">
        <v>3858</v>
      </c>
    </row>
    <row r="308" spans="1:38" x14ac:dyDescent="0.3">
      <c r="A308" s="4">
        <v>45716</v>
      </c>
      <c r="B308" s="5" t="s">
        <v>1157</v>
      </c>
      <c r="C308" s="5" t="s">
        <v>1158</v>
      </c>
      <c r="D308" s="5" t="s">
        <v>1159</v>
      </c>
      <c r="E308" s="5" t="s">
        <v>4494</v>
      </c>
      <c r="G308" s="5" t="s">
        <v>44</v>
      </c>
      <c r="H308" s="5" t="s">
        <v>1160</v>
      </c>
      <c r="I308" s="5" t="s">
        <v>1888</v>
      </c>
      <c r="J308" s="5" t="s">
        <v>92</v>
      </c>
      <c r="K308" s="4">
        <v>40266</v>
      </c>
      <c r="L308" s="4">
        <v>40266</v>
      </c>
      <c r="M308" s="9">
        <f t="shared" si="36"/>
        <v>14</v>
      </c>
      <c r="N308" s="4" t="str">
        <f t="shared" si="38"/>
        <v>] 10 ; 15 ]</v>
      </c>
      <c r="O308" s="5" t="s">
        <v>3785</v>
      </c>
      <c r="P308" s="5" t="s">
        <v>3782</v>
      </c>
      <c r="Q308" s="5">
        <v>1</v>
      </c>
      <c r="R308" s="5" t="str">
        <f t="shared" si="39"/>
        <v>Specialisation</v>
      </c>
      <c r="S308" s="5" t="s">
        <v>3790</v>
      </c>
      <c r="T308" s="4">
        <v>31464</v>
      </c>
      <c r="U308" s="5">
        <f t="shared" si="40"/>
        <v>1986</v>
      </c>
      <c r="V308" s="5" t="s">
        <v>3793</v>
      </c>
      <c r="W308" s="9">
        <f t="shared" si="37"/>
        <v>39</v>
      </c>
      <c r="X308" s="5" t="str">
        <f t="shared" si="41"/>
        <v>[35 - 39 ans ]</v>
      </c>
      <c r="Y308" s="5" t="str">
        <f t="shared" si="42"/>
        <v xml:space="preserve"> Mellenials </v>
      </c>
      <c r="Z308" s="9">
        <f t="shared" si="43"/>
        <v>21</v>
      </c>
      <c r="AA308" s="5" t="str">
        <f t="shared" si="44"/>
        <v>RAS</v>
      </c>
      <c r="AB308" s="5" t="s">
        <v>3806</v>
      </c>
      <c r="AC308" s="6" t="s">
        <v>3799</v>
      </c>
      <c r="AE308" s="5" t="s">
        <v>3845</v>
      </c>
      <c r="AF308" s="5" t="s">
        <v>4481</v>
      </c>
      <c r="AG308" s="5" t="s">
        <v>4485</v>
      </c>
      <c r="AH308" s="5" t="s">
        <v>4487</v>
      </c>
      <c r="AI308" s="5" t="s">
        <v>4253</v>
      </c>
      <c r="AJ308" s="5" t="s">
        <v>4254</v>
      </c>
      <c r="AK308" s="5" t="s">
        <v>3900</v>
      </c>
      <c r="AL308" s="5" t="s">
        <v>3854</v>
      </c>
    </row>
    <row r="309" spans="1:38" x14ac:dyDescent="0.3">
      <c r="A309" s="4">
        <v>45716</v>
      </c>
      <c r="B309" s="5" t="s">
        <v>1161</v>
      </c>
      <c r="C309" s="5" t="s">
        <v>1162</v>
      </c>
      <c r="D309" s="5" t="s">
        <v>1163</v>
      </c>
      <c r="E309" s="5" t="s">
        <v>4494</v>
      </c>
      <c r="G309" s="5" t="s">
        <v>78</v>
      </c>
      <c r="H309" s="5" t="s">
        <v>1066</v>
      </c>
      <c r="I309" s="5" t="s">
        <v>1664</v>
      </c>
      <c r="J309" s="5" t="s">
        <v>1510</v>
      </c>
      <c r="K309" s="4">
        <v>40266</v>
      </c>
      <c r="L309" s="4">
        <v>40266</v>
      </c>
      <c r="M309" s="9">
        <f t="shared" si="36"/>
        <v>14</v>
      </c>
      <c r="N309" s="4" t="str">
        <f t="shared" si="38"/>
        <v>] 10 ; 15 ]</v>
      </c>
      <c r="O309" s="5" t="s">
        <v>3788</v>
      </c>
      <c r="P309" s="5" t="s">
        <v>3780</v>
      </c>
      <c r="Q309" s="5">
        <v>1</v>
      </c>
      <c r="R309" s="5" t="str">
        <f t="shared" si="39"/>
        <v>Qualification</v>
      </c>
      <c r="S309" s="5" t="s">
        <v>3790</v>
      </c>
      <c r="T309" s="4">
        <v>28258</v>
      </c>
      <c r="U309" s="5">
        <f t="shared" si="40"/>
        <v>1977</v>
      </c>
      <c r="V309" s="5" t="s">
        <v>3793</v>
      </c>
      <c r="W309" s="9">
        <f t="shared" si="37"/>
        <v>47</v>
      </c>
      <c r="X309" s="5" t="str">
        <f t="shared" si="41"/>
        <v>[45 - 49 ans]</v>
      </c>
      <c r="Y309" s="5" t="str">
        <f t="shared" si="42"/>
        <v xml:space="preserve"> Generation X </v>
      </c>
      <c r="Z309" s="9">
        <f t="shared" si="43"/>
        <v>13</v>
      </c>
      <c r="AA309" s="5" t="str">
        <f t="shared" si="44"/>
        <v>RAS</v>
      </c>
      <c r="AB309" s="5" t="s">
        <v>3808</v>
      </c>
      <c r="AC309" s="6" t="s">
        <v>3799</v>
      </c>
      <c r="AE309" s="5" t="s">
        <v>3844</v>
      </c>
      <c r="AF309" s="5" t="s">
        <v>4482</v>
      </c>
      <c r="AG309" s="5" t="s">
        <v>4485</v>
      </c>
      <c r="AH309" s="5" t="s">
        <v>4488</v>
      </c>
      <c r="AI309" s="5" t="s">
        <v>4251</v>
      </c>
      <c r="AJ309" s="5" t="s">
        <v>4252</v>
      </c>
      <c r="AK309" s="5" t="s">
        <v>4242</v>
      </c>
      <c r="AL309" s="5" t="s">
        <v>3858</v>
      </c>
    </row>
    <row r="310" spans="1:38" x14ac:dyDescent="0.3">
      <c r="A310" s="4">
        <v>45716</v>
      </c>
      <c r="B310" s="5" t="s">
        <v>1164</v>
      </c>
      <c r="C310" s="5" t="s">
        <v>1165</v>
      </c>
      <c r="D310" s="5" t="s">
        <v>1166</v>
      </c>
      <c r="E310" s="5" t="s">
        <v>4494</v>
      </c>
      <c r="G310" s="5" t="s">
        <v>178</v>
      </c>
      <c r="H310" s="5" t="s">
        <v>1167</v>
      </c>
      <c r="I310" s="5" t="s">
        <v>3312</v>
      </c>
      <c r="J310" s="5" t="s">
        <v>1393</v>
      </c>
      <c r="K310" s="4">
        <v>40266</v>
      </c>
      <c r="L310" s="4">
        <v>40266</v>
      </c>
      <c r="M310" s="9">
        <f t="shared" si="36"/>
        <v>14</v>
      </c>
      <c r="N310" s="4" t="str">
        <f t="shared" si="38"/>
        <v>] 10 ; 15 ]</v>
      </c>
      <c r="O310" s="5" t="s">
        <v>3783</v>
      </c>
      <c r="P310" s="5" t="s">
        <v>3785</v>
      </c>
      <c r="Q310" s="5">
        <v>1</v>
      </c>
      <c r="R310" s="5" t="str">
        <f t="shared" si="39"/>
        <v>Specialisation</v>
      </c>
      <c r="S310" s="5" t="s">
        <v>3789</v>
      </c>
      <c r="T310" s="4">
        <v>30362</v>
      </c>
      <c r="U310" s="5">
        <f t="shared" si="40"/>
        <v>1983</v>
      </c>
      <c r="V310" s="5" t="s">
        <v>3793</v>
      </c>
      <c r="W310" s="9">
        <f t="shared" si="37"/>
        <v>42</v>
      </c>
      <c r="X310" s="5" t="str">
        <f t="shared" si="41"/>
        <v>[40 - 44 ans]</v>
      </c>
      <c r="Y310" s="5" t="str">
        <f t="shared" si="42"/>
        <v xml:space="preserve"> Mellenials </v>
      </c>
      <c r="Z310" s="9">
        <f t="shared" si="43"/>
        <v>18</v>
      </c>
      <c r="AA310" s="5" t="str">
        <f t="shared" si="44"/>
        <v>RAS</v>
      </c>
      <c r="AB310" s="5" t="s">
        <v>3806</v>
      </c>
      <c r="AC310" s="6" t="s">
        <v>3799</v>
      </c>
      <c r="AE310" s="5" t="s">
        <v>3844</v>
      </c>
      <c r="AF310" s="5" t="s">
        <v>4482</v>
      </c>
      <c r="AG310" s="5" t="s">
        <v>4485</v>
      </c>
      <c r="AH310" s="5" t="s">
        <v>4488</v>
      </c>
      <c r="AI310" s="5" t="s">
        <v>4255</v>
      </c>
      <c r="AJ310" s="5" t="s">
        <v>4256</v>
      </c>
      <c r="AK310" s="5" t="s">
        <v>3980</v>
      </c>
      <c r="AL310" s="5" t="s">
        <v>3858</v>
      </c>
    </row>
    <row r="311" spans="1:38" x14ac:dyDescent="0.3">
      <c r="A311" s="4">
        <v>45716</v>
      </c>
      <c r="B311" s="5" t="s">
        <v>1168</v>
      </c>
      <c r="C311" s="5" t="s">
        <v>1169</v>
      </c>
      <c r="D311" s="5" t="s">
        <v>1170</v>
      </c>
      <c r="E311" s="5" t="s">
        <v>4494</v>
      </c>
      <c r="G311" s="5" t="s">
        <v>24</v>
      </c>
      <c r="H311" s="5" t="s">
        <v>1138</v>
      </c>
      <c r="I311" s="5" t="s">
        <v>1317</v>
      </c>
      <c r="J311" s="5" t="s">
        <v>23</v>
      </c>
      <c r="K311" s="4">
        <v>40266</v>
      </c>
      <c r="L311" s="4">
        <v>40266</v>
      </c>
      <c r="M311" s="9">
        <f t="shared" si="36"/>
        <v>14</v>
      </c>
      <c r="N311" s="4" t="str">
        <f t="shared" si="38"/>
        <v>] 10 ; 15 ]</v>
      </c>
      <c r="O311" s="5" t="s">
        <v>3785</v>
      </c>
      <c r="P311" s="5" t="s">
        <v>3785</v>
      </c>
      <c r="Q311" s="5">
        <v>2</v>
      </c>
      <c r="R311" s="5" t="str">
        <f t="shared" si="39"/>
        <v>Specialisation</v>
      </c>
      <c r="S311" s="5" t="s">
        <v>3789</v>
      </c>
      <c r="T311" s="4">
        <v>29790</v>
      </c>
      <c r="U311" s="5">
        <f t="shared" si="40"/>
        <v>1981</v>
      </c>
      <c r="V311" s="5" t="s">
        <v>3793</v>
      </c>
      <c r="W311" s="9">
        <f t="shared" si="37"/>
        <v>43</v>
      </c>
      <c r="X311" s="5" t="str">
        <f t="shared" si="41"/>
        <v>[40 - 44 ans]</v>
      </c>
      <c r="Y311" s="5" t="str">
        <f t="shared" si="42"/>
        <v xml:space="preserve"> Mellenials </v>
      </c>
      <c r="Z311" s="9">
        <f t="shared" si="43"/>
        <v>17</v>
      </c>
      <c r="AA311" s="5" t="str">
        <f t="shared" si="44"/>
        <v>RAS</v>
      </c>
      <c r="AB311" s="5" t="s">
        <v>3805</v>
      </c>
      <c r="AC311" s="6" t="s">
        <v>3799</v>
      </c>
      <c r="AE311" s="5" t="s">
        <v>3844</v>
      </c>
      <c r="AF311" s="5" t="s">
        <v>4481</v>
      </c>
      <c r="AG311" s="5" t="s">
        <v>4485</v>
      </c>
      <c r="AH311" s="5" t="s">
        <v>4488</v>
      </c>
      <c r="AI311" s="5" t="s">
        <v>4133</v>
      </c>
      <c r="AJ311" s="5" t="s">
        <v>4134</v>
      </c>
      <c r="AK311" s="5" t="s">
        <v>3983</v>
      </c>
      <c r="AL311" s="5" t="s">
        <v>3858</v>
      </c>
    </row>
    <row r="312" spans="1:38" x14ac:dyDescent="0.3">
      <c r="A312" s="4">
        <v>45716</v>
      </c>
      <c r="B312" s="5" t="s">
        <v>1171</v>
      </c>
      <c r="C312" s="5" t="s">
        <v>1172</v>
      </c>
      <c r="D312" s="5" t="s">
        <v>1173</v>
      </c>
      <c r="E312" s="5" t="s">
        <v>4494</v>
      </c>
      <c r="G312" s="5" t="s">
        <v>57</v>
      </c>
      <c r="H312" s="5" t="s">
        <v>448</v>
      </c>
      <c r="I312" s="5" t="s">
        <v>810</v>
      </c>
      <c r="J312" s="5" t="s">
        <v>56</v>
      </c>
      <c r="K312" s="4">
        <v>40266</v>
      </c>
      <c r="L312" s="4">
        <v>40266</v>
      </c>
      <c r="M312" s="9">
        <f t="shared" si="36"/>
        <v>14</v>
      </c>
      <c r="N312" s="4" t="str">
        <f t="shared" si="38"/>
        <v>] 10 ; 15 ]</v>
      </c>
      <c r="O312" s="5" t="s">
        <v>3786</v>
      </c>
      <c r="P312" s="5" t="s">
        <v>3785</v>
      </c>
      <c r="Q312" s="5">
        <v>1</v>
      </c>
      <c r="R312" s="5" t="str">
        <f t="shared" si="39"/>
        <v>Specialisation</v>
      </c>
      <c r="S312" s="5" t="s">
        <v>3789</v>
      </c>
      <c r="T312" s="4">
        <v>29035</v>
      </c>
      <c r="U312" s="5">
        <f t="shared" si="40"/>
        <v>1979</v>
      </c>
      <c r="V312" s="5" t="s">
        <v>3793</v>
      </c>
      <c r="W312" s="9">
        <f t="shared" si="37"/>
        <v>45</v>
      </c>
      <c r="X312" s="5" t="str">
        <f t="shared" si="41"/>
        <v>[45 - 49 ans]</v>
      </c>
      <c r="Y312" s="5" t="str">
        <f t="shared" si="42"/>
        <v xml:space="preserve"> Generation X </v>
      </c>
      <c r="Z312" s="9">
        <f t="shared" si="43"/>
        <v>15</v>
      </c>
      <c r="AA312" s="5" t="str">
        <f t="shared" si="44"/>
        <v>RAS</v>
      </c>
      <c r="AB312" s="5" t="s">
        <v>3806</v>
      </c>
      <c r="AC312" s="6" t="s">
        <v>3799</v>
      </c>
      <c r="AE312" s="5" t="s">
        <v>3844</v>
      </c>
      <c r="AF312" s="5" t="s">
        <v>4482</v>
      </c>
      <c r="AG312" s="5" t="s">
        <v>4485</v>
      </c>
      <c r="AH312" s="5" t="s">
        <v>4487</v>
      </c>
      <c r="AI312" s="5" t="s">
        <v>4067</v>
      </c>
      <c r="AJ312" s="5" t="s">
        <v>4115</v>
      </c>
      <c r="AK312" s="5">
        <v>41410</v>
      </c>
      <c r="AL312" s="5" t="s">
        <v>3858</v>
      </c>
    </row>
    <row r="313" spans="1:38" x14ac:dyDescent="0.3">
      <c r="A313" s="4">
        <v>45716</v>
      </c>
      <c r="B313" s="5" t="s">
        <v>1174</v>
      </c>
      <c r="C313" s="5" t="s">
        <v>1175</v>
      </c>
      <c r="D313" s="5" t="s">
        <v>1176</v>
      </c>
      <c r="E313" s="5" t="s">
        <v>4494</v>
      </c>
      <c r="G313" s="5" t="s">
        <v>24</v>
      </c>
      <c r="H313" s="5" t="s">
        <v>579</v>
      </c>
      <c r="I313" s="5" t="s">
        <v>899</v>
      </c>
      <c r="J313" s="5" t="s">
        <v>23</v>
      </c>
      <c r="K313" s="4">
        <v>40266</v>
      </c>
      <c r="L313" s="4">
        <v>40266</v>
      </c>
      <c r="M313" s="9">
        <f t="shared" si="36"/>
        <v>14</v>
      </c>
      <c r="N313" s="4" t="str">
        <f t="shared" si="38"/>
        <v>] 10 ; 15 ]</v>
      </c>
      <c r="O313" s="5" t="s">
        <v>3785</v>
      </c>
      <c r="P313" s="5" t="s">
        <v>3782</v>
      </c>
      <c r="Q313" s="5">
        <v>1</v>
      </c>
      <c r="R313" s="5" t="str">
        <f t="shared" si="39"/>
        <v>Specialisation</v>
      </c>
      <c r="S313" s="5" t="s">
        <v>3789</v>
      </c>
      <c r="T313" s="4">
        <v>31747</v>
      </c>
      <c r="U313" s="5">
        <f t="shared" si="40"/>
        <v>1986</v>
      </c>
      <c r="V313" s="5" t="s">
        <v>3792</v>
      </c>
      <c r="W313" s="9">
        <f t="shared" si="37"/>
        <v>38</v>
      </c>
      <c r="X313" s="5" t="str">
        <f t="shared" si="41"/>
        <v>[35 - 39 ans ]</v>
      </c>
      <c r="Y313" s="5" t="str">
        <f t="shared" si="42"/>
        <v xml:space="preserve"> Mellenials </v>
      </c>
      <c r="Z313" s="9">
        <f t="shared" si="43"/>
        <v>22</v>
      </c>
      <c r="AA313" s="5" t="str">
        <f t="shared" si="44"/>
        <v>RAS</v>
      </c>
      <c r="AB313" s="5" t="s">
        <v>3805</v>
      </c>
      <c r="AC313" s="6" t="s">
        <v>3799</v>
      </c>
      <c r="AE313" s="5" t="s">
        <v>3844</v>
      </c>
      <c r="AF313" s="5" t="s">
        <v>4481</v>
      </c>
      <c r="AG313" s="5" t="s">
        <v>4485</v>
      </c>
      <c r="AH313" s="5" t="s">
        <v>4488</v>
      </c>
      <c r="AI313" s="5" t="s">
        <v>4218</v>
      </c>
      <c r="AJ313" s="5" t="s">
        <v>4248</v>
      </c>
      <c r="AK313" s="5" t="s">
        <v>3983</v>
      </c>
      <c r="AL313" s="5" t="s">
        <v>3858</v>
      </c>
    </row>
    <row r="314" spans="1:38" x14ac:dyDescent="0.3">
      <c r="A314" s="4">
        <v>45716</v>
      </c>
      <c r="B314" s="5" t="s">
        <v>1177</v>
      </c>
      <c r="C314" s="5" t="s">
        <v>1178</v>
      </c>
      <c r="D314" s="5" t="s">
        <v>1179</v>
      </c>
      <c r="E314" s="5" t="s">
        <v>4494</v>
      </c>
      <c r="G314" s="5" t="s">
        <v>78</v>
      </c>
      <c r="H314" s="5" t="s">
        <v>1180</v>
      </c>
      <c r="I314" s="5" t="s">
        <v>3225</v>
      </c>
      <c r="J314" s="5" t="s">
        <v>3762</v>
      </c>
      <c r="K314" s="4">
        <v>40266</v>
      </c>
      <c r="L314" s="4">
        <v>40266</v>
      </c>
      <c r="M314" s="9">
        <f t="shared" si="36"/>
        <v>14</v>
      </c>
      <c r="N314" s="4" t="str">
        <f t="shared" si="38"/>
        <v>] 10 ; 15 ]</v>
      </c>
      <c r="O314" s="5" t="s">
        <v>3788</v>
      </c>
      <c r="P314" s="5" t="s">
        <v>3780</v>
      </c>
      <c r="Q314" s="5">
        <v>1</v>
      </c>
      <c r="R314" s="5" t="str">
        <f t="shared" si="39"/>
        <v>Qualification</v>
      </c>
      <c r="S314" s="5" t="s">
        <v>3789</v>
      </c>
      <c r="T314" s="4">
        <v>28326</v>
      </c>
      <c r="U314" s="5">
        <f t="shared" si="40"/>
        <v>1977</v>
      </c>
      <c r="V314" s="5" t="s">
        <v>3793</v>
      </c>
      <c r="W314" s="9">
        <f t="shared" si="37"/>
        <v>47</v>
      </c>
      <c r="X314" s="5" t="str">
        <f t="shared" si="41"/>
        <v>[45 - 49 ans]</v>
      </c>
      <c r="Y314" s="5" t="str">
        <f t="shared" si="42"/>
        <v xml:space="preserve"> Generation X </v>
      </c>
      <c r="Z314" s="9">
        <f t="shared" si="43"/>
        <v>13</v>
      </c>
      <c r="AA314" s="5" t="str">
        <f t="shared" si="44"/>
        <v>RAS</v>
      </c>
      <c r="AB314" s="5" t="s">
        <v>3808</v>
      </c>
      <c r="AC314" s="6" t="s">
        <v>3799</v>
      </c>
      <c r="AE314" s="5" t="s">
        <v>3844</v>
      </c>
      <c r="AF314" s="5" t="s">
        <v>4482</v>
      </c>
      <c r="AG314" s="5" t="s">
        <v>4485</v>
      </c>
      <c r="AH314" s="5" t="s">
        <v>4488</v>
      </c>
      <c r="AI314" s="5" t="s">
        <v>4257</v>
      </c>
      <c r="AJ314" s="5" t="s">
        <v>4258</v>
      </c>
      <c r="AK314" s="5" t="s">
        <v>4090</v>
      </c>
      <c r="AL314" s="5" t="s">
        <v>3858</v>
      </c>
    </row>
    <row r="315" spans="1:38" x14ac:dyDescent="0.3">
      <c r="A315" s="4">
        <v>45716</v>
      </c>
      <c r="B315" s="5" t="s">
        <v>1181</v>
      </c>
      <c r="C315" s="5" t="s">
        <v>1182</v>
      </c>
      <c r="D315" s="5" t="s">
        <v>1183</v>
      </c>
      <c r="E315" s="5" t="s">
        <v>4494</v>
      </c>
      <c r="G315" s="5" t="s">
        <v>787</v>
      </c>
      <c r="H315" s="5" t="s">
        <v>1184</v>
      </c>
      <c r="I315" s="5" t="s">
        <v>2254</v>
      </c>
      <c r="J315" s="5" t="s">
        <v>3773</v>
      </c>
      <c r="K315" s="4">
        <v>40266</v>
      </c>
      <c r="L315" s="4">
        <v>40266</v>
      </c>
      <c r="M315" s="9">
        <f t="shared" si="36"/>
        <v>14</v>
      </c>
      <c r="N315" s="4" t="str">
        <f t="shared" si="38"/>
        <v>] 10 ; 15 ]</v>
      </c>
      <c r="O315" s="5" t="s">
        <v>3786</v>
      </c>
      <c r="P315" s="5" t="s">
        <v>3786</v>
      </c>
      <c r="Q315" s="5">
        <v>1</v>
      </c>
      <c r="R315" s="5" t="str">
        <f t="shared" si="39"/>
        <v>Specialisation</v>
      </c>
      <c r="S315" s="5" t="s">
        <v>3789</v>
      </c>
      <c r="T315" s="4">
        <v>28773</v>
      </c>
      <c r="U315" s="5">
        <f t="shared" si="40"/>
        <v>1978</v>
      </c>
      <c r="V315" s="5" t="s">
        <v>3793</v>
      </c>
      <c r="W315" s="9">
        <f t="shared" si="37"/>
        <v>46</v>
      </c>
      <c r="X315" s="5" t="str">
        <f t="shared" si="41"/>
        <v>[45 - 49 ans]</v>
      </c>
      <c r="Y315" s="5" t="str">
        <f t="shared" si="42"/>
        <v xml:space="preserve"> Generation X </v>
      </c>
      <c r="Z315" s="9">
        <f t="shared" si="43"/>
        <v>14</v>
      </c>
      <c r="AA315" s="5" t="str">
        <f t="shared" si="44"/>
        <v>RAS</v>
      </c>
      <c r="AB315" s="5" t="s">
        <v>3806</v>
      </c>
      <c r="AC315" s="6" t="s">
        <v>3799</v>
      </c>
      <c r="AE315" s="5" t="s">
        <v>3844</v>
      </c>
      <c r="AF315" s="5" t="s">
        <v>4482</v>
      </c>
      <c r="AG315" s="5" t="s">
        <v>4485</v>
      </c>
      <c r="AH315" s="5" t="s">
        <v>4487</v>
      </c>
      <c r="AI315" s="5" t="s">
        <v>4259</v>
      </c>
      <c r="AJ315" s="5" t="s">
        <v>4260</v>
      </c>
      <c r="AK315" s="5" t="s">
        <v>4195</v>
      </c>
      <c r="AL315" s="5" t="s">
        <v>3858</v>
      </c>
    </row>
    <row r="316" spans="1:38" x14ac:dyDescent="0.3">
      <c r="A316" s="4">
        <v>45716</v>
      </c>
      <c r="B316" s="5" t="s">
        <v>1185</v>
      </c>
      <c r="C316" s="5" t="s">
        <v>1186</v>
      </c>
      <c r="D316" s="5" t="s">
        <v>1187</v>
      </c>
      <c r="E316" s="5" t="s">
        <v>4494</v>
      </c>
      <c r="G316" s="5" t="s">
        <v>88</v>
      </c>
      <c r="H316" s="5" t="s">
        <v>1188</v>
      </c>
      <c r="I316" s="5" t="s">
        <v>3774</v>
      </c>
      <c r="J316" s="5" t="s">
        <v>1389</v>
      </c>
      <c r="K316" s="4">
        <v>40266</v>
      </c>
      <c r="L316" s="4">
        <v>40266</v>
      </c>
      <c r="M316" s="9">
        <f t="shared" si="36"/>
        <v>14</v>
      </c>
      <c r="N316" s="4" t="str">
        <f t="shared" si="38"/>
        <v>] 10 ; 15 ]</v>
      </c>
      <c r="O316" s="5" t="s">
        <v>3783</v>
      </c>
      <c r="P316" s="5" t="s">
        <v>3783</v>
      </c>
      <c r="Q316" s="5">
        <v>1</v>
      </c>
      <c r="R316" s="5" t="str">
        <f t="shared" si="39"/>
        <v>Specialisation</v>
      </c>
      <c r="S316" s="5" t="s">
        <v>3789</v>
      </c>
      <c r="T316" s="4">
        <v>29132</v>
      </c>
      <c r="U316" s="5">
        <f t="shared" si="40"/>
        <v>1979</v>
      </c>
      <c r="V316" s="5" t="s">
        <v>3793</v>
      </c>
      <c r="W316" s="9">
        <f t="shared" si="37"/>
        <v>45</v>
      </c>
      <c r="X316" s="5" t="str">
        <f t="shared" si="41"/>
        <v>[45 - 49 ans]</v>
      </c>
      <c r="Y316" s="5" t="str">
        <f t="shared" si="42"/>
        <v xml:space="preserve"> Generation X </v>
      </c>
      <c r="Z316" s="9">
        <f t="shared" si="43"/>
        <v>15</v>
      </c>
      <c r="AA316" s="5" t="str">
        <f t="shared" si="44"/>
        <v>RAS</v>
      </c>
      <c r="AB316" s="5" t="s">
        <v>3806</v>
      </c>
      <c r="AC316" s="6" t="s">
        <v>3799</v>
      </c>
      <c r="AE316" s="5" t="s">
        <v>3844</v>
      </c>
      <c r="AF316" s="5" t="s">
        <v>4482</v>
      </c>
      <c r="AG316" s="5" t="s">
        <v>4485</v>
      </c>
      <c r="AH316" s="5" t="s">
        <v>4488</v>
      </c>
      <c r="AI316" s="5" t="s">
        <v>4261</v>
      </c>
      <c r="AJ316" s="5" t="s">
        <v>4262</v>
      </c>
      <c r="AK316" s="5" t="s">
        <v>4100</v>
      </c>
      <c r="AL316" s="5" t="s">
        <v>3858</v>
      </c>
    </row>
    <row r="317" spans="1:38" x14ac:dyDescent="0.3">
      <c r="A317" s="4">
        <v>45716</v>
      </c>
      <c r="B317" s="5" t="s">
        <v>1189</v>
      </c>
      <c r="C317" s="5" t="s">
        <v>1190</v>
      </c>
      <c r="D317" s="5" t="s">
        <v>1191</v>
      </c>
      <c r="E317" s="5" t="s">
        <v>4494</v>
      </c>
      <c r="G317" s="5" t="s">
        <v>78</v>
      </c>
      <c r="H317" s="5" t="s">
        <v>1066</v>
      </c>
      <c r="I317" s="5" t="s">
        <v>1306</v>
      </c>
      <c r="J317" s="5" t="s">
        <v>1510</v>
      </c>
      <c r="K317" s="4">
        <v>40266</v>
      </c>
      <c r="L317" s="4">
        <v>40266</v>
      </c>
      <c r="M317" s="9">
        <f t="shared" si="36"/>
        <v>14</v>
      </c>
      <c r="N317" s="4" t="str">
        <f t="shared" si="38"/>
        <v>] 10 ; 15 ]</v>
      </c>
      <c r="O317" s="5" t="s">
        <v>3788</v>
      </c>
      <c r="P317" s="5" t="s">
        <v>3780</v>
      </c>
      <c r="Q317" s="5">
        <v>1</v>
      </c>
      <c r="R317" s="5" t="str">
        <f t="shared" si="39"/>
        <v>Qualification</v>
      </c>
      <c r="S317" s="5" t="s">
        <v>3790</v>
      </c>
      <c r="T317" s="4">
        <v>30181</v>
      </c>
      <c r="U317" s="5">
        <f t="shared" si="40"/>
        <v>1982</v>
      </c>
      <c r="V317" s="5" t="s">
        <v>3793</v>
      </c>
      <c r="W317" s="9">
        <f t="shared" si="37"/>
        <v>42</v>
      </c>
      <c r="X317" s="5" t="str">
        <f t="shared" si="41"/>
        <v>[40 - 44 ans]</v>
      </c>
      <c r="Y317" s="5" t="str">
        <f t="shared" si="42"/>
        <v xml:space="preserve"> Mellenials </v>
      </c>
      <c r="Z317" s="9">
        <f t="shared" si="43"/>
        <v>18</v>
      </c>
      <c r="AA317" s="5" t="str">
        <f t="shared" si="44"/>
        <v>RAS</v>
      </c>
      <c r="AB317" s="5" t="s">
        <v>3808</v>
      </c>
      <c r="AC317" s="6" t="s">
        <v>3799</v>
      </c>
      <c r="AE317" s="5" t="s">
        <v>3844</v>
      </c>
      <c r="AF317" s="5" t="s">
        <v>4482</v>
      </c>
      <c r="AG317" s="5" t="s">
        <v>4485</v>
      </c>
      <c r="AH317" s="5" t="s">
        <v>4488</v>
      </c>
      <c r="AI317" s="5" t="s">
        <v>4241</v>
      </c>
      <c r="AJ317" s="5" t="s">
        <v>4250</v>
      </c>
      <c r="AK317" s="5" t="s">
        <v>4242</v>
      </c>
      <c r="AL317" s="5" t="s">
        <v>3858</v>
      </c>
    </row>
    <row r="318" spans="1:38" x14ac:dyDescent="0.3">
      <c r="A318" s="4">
        <v>45716</v>
      </c>
      <c r="B318" s="5" t="s">
        <v>1192</v>
      </c>
      <c r="C318" s="5" t="s">
        <v>1193</v>
      </c>
      <c r="D318" s="5" t="s">
        <v>1194</v>
      </c>
      <c r="E318" s="5" t="s">
        <v>4494</v>
      </c>
      <c r="G318" s="5" t="s">
        <v>243</v>
      </c>
      <c r="H318" s="5" t="s">
        <v>1195</v>
      </c>
      <c r="I318" s="5" t="s">
        <v>242</v>
      </c>
      <c r="J318" s="5" t="s">
        <v>1272</v>
      </c>
      <c r="K318" s="4">
        <v>40266</v>
      </c>
      <c r="L318" s="4">
        <v>40266</v>
      </c>
      <c r="M318" s="9">
        <f t="shared" si="36"/>
        <v>14</v>
      </c>
      <c r="N318" s="4" t="str">
        <f t="shared" si="38"/>
        <v>] 10 ; 15 ]</v>
      </c>
      <c r="O318" s="5" t="s">
        <v>3785</v>
      </c>
      <c r="P318" s="5" t="s">
        <v>3785</v>
      </c>
      <c r="Q318" s="5">
        <v>1</v>
      </c>
      <c r="R318" s="5" t="str">
        <f t="shared" si="39"/>
        <v>Specialisation</v>
      </c>
      <c r="S318" s="5" t="s">
        <v>3790</v>
      </c>
      <c r="T318" s="4">
        <v>30521</v>
      </c>
      <c r="U318" s="5">
        <f t="shared" si="40"/>
        <v>1983</v>
      </c>
      <c r="V318" s="5" t="s">
        <v>3793</v>
      </c>
      <c r="W318" s="9">
        <f t="shared" si="37"/>
        <v>41</v>
      </c>
      <c r="X318" s="5" t="str">
        <f t="shared" si="41"/>
        <v>[40 - 44 ans]</v>
      </c>
      <c r="Y318" s="5" t="str">
        <f t="shared" si="42"/>
        <v xml:space="preserve"> Mellenials </v>
      </c>
      <c r="Z318" s="9">
        <f t="shared" si="43"/>
        <v>19</v>
      </c>
      <c r="AA318" s="5" t="str">
        <f t="shared" si="44"/>
        <v>RAS</v>
      </c>
      <c r="AB318" s="5" t="s">
        <v>3806</v>
      </c>
      <c r="AC318" s="6" t="s">
        <v>3799</v>
      </c>
      <c r="AE318" s="5" t="s">
        <v>3844</v>
      </c>
      <c r="AF318" s="5" t="s">
        <v>4481</v>
      </c>
      <c r="AG318" s="5" t="s">
        <v>4485</v>
      </c>
      <c r="AH318" s="5" t="s">
        <v>4487</v>
      </c>
      <c r="AI318" s="5" t="s">
        <v>3975</v>
      </c>
      <c r="AJ318" s="5" t="s">
        <v>3976</v>
      </c>
      <c r="AK318" s="5" t="s">
        <v>3977</v>
      </c>
      <c r="AL318" s="5" t="s">
        <v>3858</v>
      </c>
    </row>
    <row r="319" spans="1:38" x14ac:dyDescent="0.3">
      <c r="A319" s="4">
        <v>45716</v>
      </c>
      <c r="B319" s="5" t="s">
        <v>1196</v>
      </c>
      <c r="C319" s="5" t="s">
        <v>1197</v>
      </c>
      <c r="D319" s="5" t="s">
        <v>1198</v>
      </c>
      <c r="E319" s="5" t="s">
        <v>4494</v>
      </c>
      <c r="G319" s="5" t="s">
        <v>29</v>
      </c>
      <c r="H319" s="5" t="s">
        <v>1049</v>
      </c>
      <c r="I319" s="5" t="s">
        <v>73</v>
      </c>
      <c r="J319" s="5" t="s">
        <v>128</v>
      </c>
      <c r="K319" s="4">
        <v>40266</v>
      </c>
      <c r="L319" s="4">
        <v>40266</v>
      </c>
      <c r="M319" s="9">
        <f t="shared" si="36"/>
        <v>14</v>
      </c>
      <c r="N319" s="4" t="str">
        <f t="shared" si="38"/>
        <v>] 10 ; 15 ]</v>
      </c>
      <c r="O319" s="5" t="s">
        <v>3783</v>
      </c>
      <c r="P319" s="5" t="s">
        <v>3783</v>
      </c>
      <c r="Q319" s="5">
        <v>2</v>
      </c>
      <c r="R319" s="5" t="str">
        <f t="shared" si="39"/>
        <v>Specialisation</v>
      </c>
      <c r="S319" s="5" t="s">
        <v>3790</v>
      </c>
      <c r="T319" s="4">
        <v>31184</v>
      </c>
      <c r="U319" s="5">
        <f t="shared" si="40"/>
        <v>1985</v>
      </c>
      <c r="V319" s="5" t="s">
        <v>3793</v>
      </c>
      <c r="W319" s="9">
        <f t="shared" si="37"/>
        <v>39</v>
      </c>
      <c r="X319" s="5" t="str">
        <f t="shared" si="41"/>
        <v>[35 - 39 ans ]</v>
      </c>
      <c r="Y319" s="5" t="str">
        <f t="shared" si="42"/>
        <v xml:space="preserve"> Mellenials </v>
      </c>
      <c r="Z319" s="9">
        <f t="shared" si="43"/>
        <v>21</v>
      </c>
      <c r="AA319" s="5" t="str">
        <f t="shared" si="44"/>
        <v>RAS</v>
      </c>
      <c r="AB319" s="5" t="s">
        <v>3806</v>
      </c>
      <c r="AC319" s="6" t="s">
        <v>3799</v>
      </c>
      <c r="AE319" s="5" t="s">
        <v>3844</v>
      </c>
      <c r="AF319" s="5" t="s">
        <v>4482</v>
      </c>
      <c r="AG319" s="5" t="s">
        <v>4485</v>
      </c>
      <c r="AH319" s="5" t="s">
        <v>4487</v>
      </c>
      <c r="AI319" s="5" t="s">
        <v>3886</v>
      </c>
      <c r="AJ319" s="5" t="s">
        <v>3887</v>
      </c>
      <c r="AK319" s="5" t="s">
        <v>3888</v>
      </c>
      <c r="AL319" s="5" t="s">
        <v>3858</v>
      </c>
    </row>
    <row r="320" spans="1:38" x14ac:dyDescent="0.3">
      <c r="A320" s="4">
        <v>45716</v>
      </c>
      <c r="B320" s="5" t="s">
        <v>1199</v>
      </c>
      <c r="C320" s="5" t="s">
        <v>1200</v>
      </c>
      <c r="D320" s="5" t="s">
        <v>1201</v>
      </c>
      <c r="E320" s="5" t="s">
        <v>4494</v>
      </c>
      <c r="G320" s="5" t="s">
        <v>78</v>
      </c>
      <c r="H320" s="5" t="s">
        <v>523</v>
      </c>
      <c r="I320" s="5" t="s">
        <v>2069</v>
      </c>
      <c r="J320" s="5" t="s">
        <v>1518</v>
      </c>
      <c r="K320" s="4">
        <v>40266</v>
      </c>
      <c r="L320" s="4">
        <v>40266</v>
      </c>
      <c r="M320" s="9">
        <f t="shared" si="36"/>
        <v>14</v>
      </c>
      <c r="N320" s="4" t="str">
        <f t="shared" si="38"/>
        <v>] 10 ; 15 ]</v>
      </c>
      <c r="O320" s="5" t="s">
        <v>3788</v>
      </c>
      <c r="P320" s="5" t="s">
        <v>3780</v>
      </c>
      <c r="Q320" s="5">
        <v>1</v>
      </c>
      <c r="R320" s="5" t="str">
        <f t="shared" si="39"/>
        <v>Qualification</v>
      </c>
      <c r="S320" s="5" t="s">
        <v>3790</v>
      </c>
      <c r="T320" s="4">
        <v>30064</v>
      </c>
      <c r="U320" s="5">
        <f t="shared" si="40"/>
        <v>1982</v>
      </c>
      <c r="V320" s="5" t="s">
        <v>3793</v>
      </c>
      <c r="W320" s="9">
        <f t="shared" si="37"/>
        <v>42</v>
      </c>
      <c r="X320" s="5" t="str">
        <f t="shared" si="41"/>
        <v>[40 - 44 ans]</v>
      </c>
      <c r="Y320" s="5" t="str">
        <f t="shared" si="42"/>
        <v xml:space="preserve"> Mellenials </v>
      </c>
      <c r="Z320" s="9">
        <f t="shared" si="43"/>
        <v>18</v>
      </c>
      <c r="AA320" s="5" t="str">
        <f t="shared" si="44"/>
        <v>RAS</v>
      </c>
      <c r="AB320" s="5" t="s">
        <v>3808</v>
      </c>
      <c r="AC320" s="6" t="s">
        <v>3799</v>
      </c>
      <c r="AE320" s="5" t="s">
        <v>3844</v>
      </c>
      <c r="AF320" s="5" t="s">
        <v>4482</v>
      </c>
      <c r="AG320" s="5" t="s">
        <v>4485</v>
      </c>
      <c r="AH320" s="5" t="s">
        <v>4488</v>
      </c>
      <c r="AI320" s="5" t="s">
        <v>4263</v>
      </c>
      <c r="AJ320" s="5" t="s">
        <v>4105</v>
      </c>
      <c r="AK320" s="5" t="s">
        <v>4090</v>
      </c>
      <c r="AL320" s="5" t="s">
        <v>3858</v>
      </c>
    </row>
    <row r="321" spans="1:38" x14ac:dyDescent="0.3">
      <c r="A321" s="4">
        <v>45716</v>
      </c>
      <c r="B321" s="5" t="s">
        <v>1202</v>
      </c>
      <c r="C321" s="5" t="s">
        <v>1203</v>
      </c>
      <c r="D321" s="5" t="s">
        <v>1204</v>
      </c>
      <c r="E321" s="5" t="s">
        <v>4494</v>
      </c>
      <c r="G321" s="5" t="s">
        <v>78</v>
      </c>
      <c r="H321" s="5" t="s">
        <v>1205</v>
      </c>
      <c r="I321" s="5" t="s">
        <v>1069</v>
      </c>
      <c r="J321" s="5" t="s">
        <v>298</v>
      </c>
      <c r="K321" s="4">
        <v>40266</v>
      </c>
      <c r="L321" s="4">
        <v>40266</v>
      </c>
      <c r="M321" s="9">
        <f t="shared" ref="M321:M384" si="45">DATEDIF(L321,A321,"y")</f>
        <v>14</v>
      </c>
      <c r="N321" s="4" t="str">
        <f t="shared" si="38"/>
        <v>] 10 ; 15 ]</v>
      </c>
      <c r="O321" s="5" t="s">
        <v>3788</v>
      </c>
      <c r="P321" s="5" t="s">
        <v>3780</v>
      </c>
      <c r="Q321" s="5">
        <v>1</v>
      </c>
      <c r="R321" s="5" t="str">
        <f t="shared" si="39"/>
        <v>Qualification</v>
      </c>
      <c r="S321" s="5" t="s">
        <v>3789</v>
      </c>
      <c r="T321" s="4">
        <v>30048</v>
      </c>
      <c r="U321" s="5">
        <f t="shared" si="40"/>
        <v>1982</v>
      </c>
      <c r="V321" s="5" t="s">
        <v>3793</v>
      </c>
      <c r="W321" s="9">
        <f t="shared" ref="W321:W384" si="46">DATEDIF(T321,A321,"y")</f>
        <v>42</v>
      </c>
      <c r="X321" s="5" t="str">
        <f t="shared" si="41"/>
        <v>[40 - 44 ans]</v>
      </c>
      <c r="Y321" s="5" t="str">
        <f t="shared" si="42"/>
        <v xml:space="preserve"> Mellenials </v>
      </c>
      <c r="Z321" s="9">
        <f t="shared" si="43"/>
        <v>18</v>
      </c>
      <c r="AA321" s="5" t="str">
        <f t="shared" si="44"/>
        <v>RAS</v>
      </c>
      <c r="AB321" s="5" t="s">
        <v>3808</v>
      </c>
      <c r="AC321" s="6" t="s">
        <v>3799</v>
      </c>
      <c r="AE321" s="5" t="s">
        <v>3844</v>
      </c>
      <c r="AF321" s="5" t="s">
        <v>4482</v>
      </c>
      <c r="AG321" s="5" t="s">
        <v>4485</v>
      </c>
      <c r="AH321" s="5" t="s">
        <v>4488</v>
      </c>
      <c r="AI321" s="5" t="s">
        <v>4240</v>
      </c>
      <c r="AJ321" s="5" t="s">
        <v>4264</v>
      </c>
      <c r="AK321" s="5" t="s">
        <v>4090</v>
      </c>
      <c r="AL321" s="5" t="s">
        <v>3858</v>
      </c>
    </row>
    <row r="322" spans="1:38" x14ac:dyDescent="0.3">
      <c r="A322" s="4">
        <v>45716</v>
      </c>
      <c r="B322" s="5" t="s">
        <v>1206</v>
      </c>
      <c r="C322" s="5" t="s">
        <v>1207</v>
      </c>
      <c r="D322" s="5" t="s">
        <v>1208</v>
      </c>
      <c r="E322" s="5" t="s">
        <v>4494</v>
      </c>
      <c r="G322" s="5" t="s">
        <v>39</v>
      </c>
      <c r="H322" s="5" t="s">
        <v>1131</v>
      </c>
      <c r="I322" s="5" t="s">
        <v>1702</v>
      </c>
      <c r="J322" s="5" t="s">
        <v>120</v>
      </c>
      <c r="K322" s="4">
        <v>40266</v>
      </c>
      <c r="L322" s="4">
        <v>40266</v>
      </c>
      <c r="M322" s="9">
        <f t="shared" si="45"/>
        <v>14</v>
      </c>
      <c r="N322" s="4" t="str">
        <f t="shared" ref="N322:N385" si="47">IF(M322&lt;=2," ] 0 ; 2 ]",IF(AND(M322&gt;2,M322&lt;=5),"] 2 ; 5 ]",IF(AND(M322&gt;5,M322&lt;=8),"] 5 ; 8 ]",IF(AND(M322&gt;8,M322&lt;=10),"] 8 ; 10 ]",IF(AND(M322&gt;10,M322&lt;=15),"] 10 ; 15 ]","] 15 ; +oo [")))))</f>
        <v>] 10 ; 15 ]</v>
      </c>
      <c r="O322" s="5" t="s">
        <v>3786</v>
      </c>
      <c r="P322" s="5" t="s">
        <v>3786</v>
      </c>
      <c r="Q322" s="5">
        <v>1</v>
      </c>
      <c r="R322" s="5" t="str">
        <f t="shared" ref="R322:R385" si="48">IF(OR(O322="A",O322="B",O322="C",O322="D"),"Qualification",IF(OR(O322="E",O322="F",O322="G"),"Specialisation","Management &amp; Expertise"))</f>
        <v>Specialisation</v>
      </c>
      <c r="S322" s="5" t="s">
        <v>3789</v>
      </c>
      <c r="T322" s="4">
        <v>28296</v>
      </c>
      <c r="U322" s="5">
        <f t="shared" ref="U322:U385" si="49">YEAR(T322)</f>
        <v>1977</v>
      </c>
      <c r="V322" s="5" t="s">
        <v>3793</v>
      </c>
      <c r="W322" s="9">
        <f t="shared" si="46"/>
        <v>47</v>
      </c>
      <c r="X322" s="5" t="str">
        <f t="shared" ref="X322:X385" si="50">IF(W322&lt;30,"[20 - 29 ans[",IF(AND(W322&gt;=30,W322&lt;35),"[30 - 34 ans]",IF(AND(W322&gt;=35,W322&lt;40),"[35 - 39 ans ]",IF(AND(W322&gt;=40,W322&lt;45),"[40 - 44 ans]",IF(AND(W322&gt;=45,W322&lt;50),"[45 - 49 ans]","[50 ans, +oo [")))))</f>
        <v>[45 - 49 ans]</v>
      </c>
      <c r="Y322" s="5" t="str">
        <f t="shared" ref="Y322:Y385" si="51">IF(AND(U322&gt;1946,U322&lt;=1965)," Baby - Boomers ",IF(AND(U322&gt;1965,U322&lt;=1980)," Generation X ",IF(AND(U322&gt;1980,U322&lt;1996)," Mellenials ",IF(AND(U322&gt;1996,U322&lt;2012)," Gen Z "," Gen Alpha"))))</f>
        <v xml:space="preserve"> Generation X </v>
      </c>
      <c r="Z322" s="9">
        <f t="shared" ref="Z322:Z385" si="52">60-W322</f>
        <v>13</v>
      </c>
      <c r="AA322" s="5" t="str">
        <f t="shared" ref="AA322:AA385" si="53">IF(Z322&lt;=5,"Départ à la Retraite 5ans","RAS")</f>
        <v>RAS</v>
      </c>
      <c r="AB322" s="5" t="s">
        <v>3827</v>
      </c>
      <c r="AC322" s="6" t="s">
        <v>3799</v>
      </c>
      <c r="AE322" s="5" t="s">
        <v>3844</v>
      </c>
      <c r="AF322" s="5" t="s">
        <v>4482</v>
      </c>
      <c r="AG322" s="5" t="s">
        <v>4485</v>
      </c>
      <c r="AH322" s="5" t="s">
        <v>4489</v>
      </c>
      <c r="AI322" s="5" t="s">
        <v>4203</v>
      </c>
      <c r="AJ322" s="5" t="s">
        <v>4249</v>
      </c>
      <c r="AK322" s="5" t="s">
        <v>3917</v>
      </c>
      <c r="AL322" s="5" t="s">
        <v>3858</v>
      </c>
    </row>
    <row r="323" spans="1:38" x14ac:dyDescent="0.3">
      <c r="A323" s="4">
        <v>45716</v>
      </c>
      <c r="B323" s="5" t="s">
        <v>1209</v>
      </c>
      <c r="C323" s="5" t="s">
        <v>1210</v>
      </c>
      <c r="D323" s="5" t="s">
        <v>1211</v>
      </c>
      <c r="E323" s="5" t="s">
        <v>4494</v>
      </c>
      <c r="G323" s="5" t="s">
        <v>78</v>
      </c>
      <c r="H323" s="5" t="s">
        <v>508</v>
      </c>
      <c r="I323" s="5" t="s">
        <v>1126</v>
      </c>
      <c r="J323" s="5" t="s">
        <v>298</v>
      </c>
      <c r="K323" s="4">
        <v>40266</v>
      </c>
      <c r="L323" s="4">
        <v>40266</v>
      </c>
      <c r="M323" s="9">
        <f t="shared" si="45"/>
        <v>14</v>
      </c>
      <c r="N323" s="4" t="str">
        <f t="shared" si="47"/>
        <v>] 10 ; 15 ]</v>
      </c>
      <c r="O323" s="5" t="s">
        <v>3788</v>
      </c>
      <c r="P323" s="5" t="s">
        <v>3788</v>
      </c>
      <c r="Q323" s="5">
        <v>2</v>
      </c>
      <c r="R323" s="5" t="str">
        <f t="shared" si="48"/>
        <v>Qualification</v>
      </c>
      <c r="S323" s="5" t="s">
        <v>3790</v>
      </c>
      <c r="T323" s="4">
        <v>26863</v>
      </c>
      <c r="U323" s="5">
        <f t="shared" si="49"/>
        <v>1973</v>
      </c>
      <c r="V323" s="5" t="s">
        <v>3793</v>
      </c>
      <c r="W323" s="9">
        <f t="shared" si="46"/>
        <v>51</v>
      </c>
      <c r="X323" s="5" t="str">
        <f t="shared" si="50"/>
        <v>[50 ans, +oo [</v>
      </c>
      <c r="Y323" s="5" t="str">
        <f t="shared" si="51"/>
        <v xml:space="preserve"> Generation X </v>
      </c>
      <c r="Z323" s="9">
        <f t="shared" si="52"/>
        <v>9</v>
      </c>
      <c r="AA323" s="5" t="str">
        <f t="shared" si="53"/>
        <v>RAS</v>
      </c>
      <c r="AB323" s="5" t="s">
        <v>3808</v>
      </c>
      <c r="AC323" s="6" t="s">
        <v>3799</v>
      </c>
      <c r="AE323" s="5" t="s">
        <v>3844</v>
      </c>
      <c r="AF323" s="5" t="s">
        <v>4482</v>
      </c>
      <c r="AG323" s="5" t="s">
        <v>4485</v>
      </c>
      <c r="AH323" s="5" t="s">
        <v>4488</v>
      </c>
      <c r="AI323" s="5" t="s">
        <v>4095</v>
      </c>
      <c r="AJ323" s="5" t="s">
        <v>4096</v>
      </c>
      <c r="AK323" s="5" t="s">
        <v>4097</v>
      </c>
      <c r="AL323" s="5" t="s">
        <v>3858</v>
      </c>
    </row>
    <row r="324" spans="1:38" x14ac:dyDescent="0.3">
      <c r="A324" s="4">
        <v>45716</v>
      </c>
      <c r="B324" s="5" t="s">
        <v>1212</v>
      </c>
      <c r="C324" s="5" t="s">
        <v>1213</v>
      </c>
      <c r="D324" s="5" t="s">
        <v>1214</v>
      </c>
      <c r="E324" s="5" t="s">
        <v>4494</v>
      </c>
      <c r="G324" s="5" t="s">
        <v>78</v>
      </c>
      <c r="H324" s="5" t="s">
        <v>1215</v>
      </c>
      <c r="I324" s="5" t="s">
        <v>1306</v>
      </c>
      <c r="J324" s="5" t="s">
        <v>1510</v>
      </c>
      <c r="K324" s="4">
        <v>40269</v>
      </c>
      <c r="L324" s="4">
        <v>40269</v>
      </c>
      <c r="M324" s="9">
        <f t="shared" si="45"/>
        <v>14</v>
      </c>
      <c r="N324" s="4" t="str">
        <f t="shared" si="47"/>
        <v>] 10 ; 15 ]</v>
      </c>
      <c r="O324" s="5" t="s">
        <v>3788</v>
      </c>
      <c r="P324" s="5" t="s">
        <v>3786</v>
      </c>
      <c r="Q324" s="5">
        <v>1</v>
      </c>
      <c r="R324" s="5" t="str">
        <f t="shared" si="48"/>
        <v>Qualification</v>
      </c>
      <c r="S324" s="5" t="s">
        <v>3789</v>
      </c>
      <c r="T324" s="4">
        <v>27548</v>
      </c>
      <c r="U324" s="5">
        <f t="shared" si="49"/>
        <v>1975</v>
      </c>
      <c r="V324" s="5" t="s">
        <v>3793</v>
      </c>
      <c r="W324" s="9">
        <f t="shared" si="46"/>
        <v>49</v>
      </c>
      <c r="X324" s="5" t="str">
        <f t="shared" si="50"/>
        <v>[45 - 49 ans]</v>
      </c>
      <c r="Y324" s="5" t="str">
        <f t="shared" si="51"/>
        <v xml:space="preserve"> Generation X </v>
      </c>
      <c r="Z324" s="9">
        <f t="shared" si="52"/>
        <v>11</v>
      </c>
      <c r="AA324" s="5" t="str">
        <f t="shared" si="53"/>
        <v>RAS</v>
      </c>
      <c r="AB324" s="5" t="s">
        <v>3820</v>
      </c>
      <c r="AC324" s="6" t="s">
        <v>3800</v>
      </c>
      <c r="AE324" s="5" t="s">
        <v>3844</v>
      </c>
      <c r="AF324" s="5" t="s">
        <v>4482</v>
      </c>
      <c r="AG324" s="5" t="s">
        <v>4485</v>
      </c>
      <c r="AH324" s="5" t="s">
        <v>4488</v>
      </c>
      <c r="AI324" s="5" t="s">
        <v>4241</v>
      </c>
      <c r="AJ324" s="5" t="s">
        <v>4250</v>
      </c>
      <c r="AK324" s="5" t="s">
        <v>4242</v>
      </c>
      <c r="AL324" s="5" t="s">
        <v>3858</v>
      </c>
    </row>
    <row r="325" spans="1:38" x14ac:dyDescent="0.3">
      <c r="A325" s="4">
        <v>45716</v>
      </c>
      <c r="B325" s="5" t="s">
        <v>1216</v>
      </c>
      <c r="C325" s="5" t="s">
        <v>1217</v>
      </c>
      <c r="D325" s="5" t="s">
        <v>1218</v>
      </c>
      <c r="E325" s="5" t="s">
        <v>4494</v>
      </c>
      <c r="G325" s="5" t="s">
        <v>39</v>
      </c>
      <c r="H325" s="5" t="s">
        <v>1219</v>
      </c>
      <c r="I325" s="5" t="s">
        <v>2821</v>
      </c>
      <c r="J325" s="5" t="s">
        <v>2841</v>
      </c>
      <c r="K325" s="4">
        <v>40273</v>
      </c>
      <c r="L325" s="4">
        <v>40273</v>
      </c>
      <c r="M325" s="9">
        <f t="shared" si="45"/>
        <v>14</v>
      </c>
      <c r="N325" s="4" t="str">
        <f t="shared" si="47"/>
        <v>] 10 ; 15 ]</v>
      </c>
      <c r="O325" s="5" t="s">
        <v>3779</v>
      </c>
      <c r="P325" s="5" t="s">
        <v>3779</v>
      </c>
      <c r="Q325" s="5">
        <v>1</v>
      </c>
      <c r="R325" s="5" t="str">
        <f t="shared" si="48"/>
        <v>Management &amp; Expertise</v>
      </c>
      <c r="S325" s="5" t="s">
        <v>3789</v>
      </c>
      <c r="T325" s="4">
        <v>30295</v>
      </c>
      <c r="U325" s="5">
        <f t="shared" si="49"/>
        <v>1982</v>
      </c>
      <c r="V325" s="5" t="s">
        <v>3793</v>
      </c>
      <c r="W325" s="9">
        <f t="shared" si="46"/>
        <v>42</v>
      </c>
      <c r="X325" s="5" t="str">
        <f t="shared" si="50"/>
        <v>[40 - 44 ans]</v>
      </c>
      <c r="Y325" s="5" t="str">
        <f t="shared" si="51"/>
        <v xml:space="preserve"> Mellenials </v>
      </c>
      <c r="Z325" s="9">
        <f t="shared" si="52"/>
        <v>18</v>
      </c>
      <c r="AA325" s="5" t="str">
        <f t="shared" si="53"/>
        <v>RAS</v>
      </c>
      <c r="AB325" s="5" t="s">
        <v>3807</v>
      </c>
      <c r="AC325" s="6" t="s">
        <v>3799</v>
      </c>
      <c r="AE325" s="5" t="s">
        <v>3845</v>
      </c>
      <c r="AF325" s="5" t="s">
        <v>4481</v>
      </c>
      <c r="AG325" s="5" t="s">
        <v>4484</v>
      </c>
      <c r="AH325" s="5" t="s">
        <v>4489</v>
      </c>
      <c r="AI325" s="5" t="s">
        <v>4265</v>
      </c>
      <c r="AJ325" s="5" t="s">
        <v>4266</v>
      </c>
      <c r="AK325" s="5">
        <v>14100</v>
      </c>
      <c r="AL325" s="5" t="s">
        <v>3854</v>
      </c>
    </row>
    <row r="326" spans="1:38" x14ac:dyDescent="0.3">
      <c r="A326" s="4">
        <v>45716</v>
      </c>
      <c r="B326" s="5" t="s">
        <v>1220</v>
      </c>
      <c r="C326" s="5" t="s">
        <v>1221</v>
      </c>
      <c r="D326" s="5" t="s">
        <v>1222</v>
      </c>
      <c r="E326" s="5" t="s">
        <v>4494</v>
      </c>
      <c r="G326" s="5" t="s">
        <v>83</v>
      </c>
      <c r="H326" s="5" t="s">
        <v>1223</v>
      </c>
      <c r="I326" s="5" t="s">
        <v>82</v>
      </c>
      <c r="J326" s="5" t="s">
        <v>2841</v>
      </c>
      <c r="K326" s="4">
        <v>40273</v>
      </c>
      <c r="L326" s="4">
        <v>40273</v>
      </c>
      <c r="M326" s="9">
        <f t="shared" si="45"/>
        <v>14</v>
      </c>
      <c r="N326" s="4" t="str">
        <f t="shared" si="47"/>
        <v>] 10 ; 15 ]</v>
      </c>
      <c r="O326" s="5" t="s">
        <v>3784</v>
      </c>
      <c r="P326" s="5" t="s">
        <v>3784</v>
      </c>
      <c r="Q326" s="5">
        <v>1</v>
      </c>
      <c r="R326" s="5" t="str">
        <f t="shared" si="48"/>
        <v>Management &amp; Expertise</v>
      </c>
      <c r="S326" s="5" t="s">
        <v>3789</v>
      </c>
      <c r="T326" s="4">
        <v>29394</v>
      </c>
      <c r="U326" s="5">
        <f t="shared" si="49"/>
        <v>1980</v>
      </c>
      <c r="V326" s="5" t="s">
        <v>3793</v>
      </c>
      <c r="W326" s="9">
        <f t="shared" si="46"/>
        <v>44</v>
      </c>
      <c r="X326" s="5" t="str">
        <f t="shared" si="50"/>
        <v>[40 - 44 ans]</v>
      </c>
      <c r="Y326" s="5" t="str">
        <f t="shared" si="51"/>
        <v xml:space="preserve"> Generation X </v>
      </c>
      <c r="Z326" s="9">
        <f t="shared" si="52"/>
        <v>16</v>
      </c>
      <c r="AA326" s="5" t="str">
        <f t="shared" si="53"/>
        <v>RAS</v>
      </c>
      <c r="AB326" s="5" t="s">
        <v>3807</v>
      </c>
      <c r="AC326" s="6" t="s">
        <v>3799</v>
      </c>
      <c r="AE326" s="5" t="s">
        <v>3845</v>
      </c>
      <c r="AF326" s="5" t="s">
        <v>4481</v>
      </c>
      <c r="AG326" s="5" t="s">
        <v>4485</v>
      </c>
      <c r="AH326" s="5" t="s">
        <v>4489</v>
      </c>
      <c r="AI326" s="5" t="s">
        <v>4267</v>
      </c>
      <c r="AJ326" s="5" t="s">
        <v>4268</v>
      </c>
      <c r="AK326" s="5" t="s">
        <v>3903</v>
      </c>
      <c r="AL326" s="5" t="s">
        <v>3854</v>
      </c>
    </row>
    <row r="327" spans="1:38" x14ac:dyDescent="0.3">
      <c r="A327" s="4">
        <v>45716</v>
      </c>
      <c r="B327" s="5" t="s">
        <v>1224</v>
      </c>
      <c r="C327" s="5" t="s">
        <v>1225</v>
      </c>
      <c r="D327" s="5" t="s">
        <v>1226</v>
      </c>
      <c r="E327" s="5" t="s">
        <v>4494</v>
      </c>
      <c r="G327" s="5" t="s">
        <v>222</v>
      </c>
      <c r="H327" s="5" t="s">
        <v>1227</v>
      </c>
      <c r="I327" s="5" t="s">
        <v>2086</v>
      </c>
      <c r="J327" s="5" t="s">
        <v>2841</v>
      </c>
      <c r="K327" s="4">
        <v>40273</v>
      </c>
      <c r="L327" s="4">
        <v>40273</v>
      </c>
      <c r="M327" s="9">
        <f t="shared" si="45"/>
        <v>14</v>
      </c>
      <c r="N327" s="4" t="str">
        <f t="shared" si="47"/>
        <v>] 10 ; 15 ]</v>
      </c>
      <c r="O327" s="5" t="s">
        <v>3784</v>
      </c>
      <c r="P327" s="5" t="s">
        <v>3784</v>
      </c>
      <c r="Q327" s="5">
        <v>1</v>
      </c>
      <c r="R327" s="5" t="str">
        <f t="shared" si="48"/>
        <v>Management &amp; Expertise</v>
      </c>
      <c r="S327" s="5" t="s">
        <v>3790</v>
      </c>
      <c r="T327" s="4">
        <v>30145</v>
      </c>
      <c r="U327" s="5">
        <f t="shared" si="49"/>
        <v>1982</v>
      </c>
      <c r="V327" s="5" t="s">
        <v>3793</v>
      </c>
      <c r="W327" s="9">
        <f t="shared" si="46"/>
        <v>42</v>
      </c>
      <c r="X327" s="5" t="str">
        <f t="shared" si="50"/>
        <v>[40 - 44 ans]</v>
      </c>
      <c r="Y327" s="5" t="str">
        <f t="shared" si="51"/>
        <v xml:space="preserve"> Mellenials </v>
      </c>
      <c r="Z327" s="9">
        <f t="shared" si="52"/>
        <v>18</v>
      </c>
      <c r="AA327" s="5" t="str">
        <f t="shared" si="53"/>
        <v>RAS</v>
      </c>
      <c r="AB327" s="5" t="s">
        <v>3806</v>
      </c>
      <c r="AC327" s="6" t="s">
        <v>3799</v>
      </c>
      <c r="AE327" s="5" t="s">
        <v>3845</v>
      </c>
      <c r="AF327" s="5" t="s">
        <v>4481</v>
      </c>
      <c r="AG327" s="5" t="s">
        <v>4485</v>
      </c>
      <c r="AH327" s="5" t="s">
        <v>4487</v>
      </c>
      <c r="AI327" s="5" t="s">
        <v>4269</v>
      </c>
      <c r="AJ327" s="5" t="s">
        <v>4270</v>
      </c>
      <c r="AK327" s="5" t="s">
        <v>4239</v>
      </c>
      <c r="AL327" s="5" t="s">
        <v>3858</v>
      </c>
    </row>
    <row r="328" spans="1:38" x14ac:dyDescent="0.3">
      <c r="A328" s="4">
        <v>45716</v>
      </c>
      <c r="B328" s="5" t="s">
        <v>1228</v>
      </c>
      <c r="C328" s="5" t="s">
        <v>1229</v>
      </c>
      <c r="D328" s="5" t="s">
        <v>1230</v>
      </c>
      <c r="E328" s="5" t="s">
        <v>4494</v>
      </c>
      <c r="G328" s="5" t="s">
        <v>78</v>
      </c>
      <c r="H328" s="5" t="s">
        <v>1231</v>
      </c>
      <c r="I328" s="5" t="s">
        <v>2288</v>
      </c>
      <c r="J328" s="5" t="s">
        <v>1823</v>
      </c>
      <c r="K328" s="4">
        <v>40273</v>
      </c>
      <c r="L328" s="4">
        <v>40273</v>
      </c>
      <c r="M328" s="9">
        <f t="shared" si="45"/>
        <v>14</v>
      </c>
      <c r="N328" s="4" t="str">
        <f t="shared" si="47"/>
        <v>] 10 ; 15 ]</v>
      </c>
      <c r="O328" s="5" t="s">
        <v>3786</v>
      </c>
      <c r="P328" s="5" t="s">
        <v>3786</v>
      </c>
      <c r="Q328" s="5">
        <v>2</v>
      </c>
      <c r="R328" s="5" t="str">
        <f t="shared" si="48"/>
        <v>Specialisation</v>
      </c>
      <c r="S328" s="5" t="s">
        <v>3790</v>
      </c>
      <c r="T328" s="4">
        <v>28500</v>
      </c>
      <c r="U328" s="5">
        <f t="shared" si="49"/>
        <v>1978</v>
      </c>
      <c r="V328" s="5" t="s">
        <v>3793</v>
      </c>
      <c r="W328" s="9">
        <f t="shared" si="46"/>
        <v>47</v>
      </c>
      <c r="X328" s="5" t="str">
        <f t="shared" si="50"/>
        <v>[45 - 49 ans]</v>
      </c>
      <c r="Y328" s="5" t="str">
        <f t="shared" si="51"/>
        <v xml:space="preserve"> Generation X </v>
      </c>
      <c r="Z328" s="9">
        <f t="shared" si="52"/>
        <v>13</v>
      </c>
      <c r="AA328" s="5" t="str">
        <f t="shared" si="53"/>
        <v>RAS</v>
      </c>
      <c r="AB328" s="5" t="s">
        <v>3808</v>
      </c>
      <c r="AC328" s="6" t="s">
        <v>3799</v>
      </c>
      <c r="AE328" s="5" t="s">
        <v>3844</v>
      </c>
      <c r="AF328" s="5" t="s">
        <v>4482</v>
      </c>
      <c r="AG328" s="5" t="s">
        <v>4485</v>
      </c>
      <c r="AH328" s="5" t="s">
        <v>4488</v>
      </c>
      <c r="AI328" s="5" t="s">
        <v>4271</v>
      </c>
      <c r="AJ328" s="5" t="s">
        <v>4272</v>
      </c>
      <c r="AK328" s="5" t="s">
        <v>3946</v>
      </c>
      <c r="AL328" s="5" t="s">
        <v>3858</v>
      </c>
    </row>
    <row r="329" spans="1:38" x14ac:dyDescent="0.3">
      <c r="A329" s="4">
        <v>45716</v>
      </c>
      <c r="B329" s="5" t="s">
        <v>1232</v>
      </c>
      <c r="C329" s="5" t="s">
        <v>1233</v>
      </c>
      <c r="D329" s="5" t="s">
        <v>1234</v>
      </c>
      <c r="E329" s="5" t="s">
        <v>4494</v>
      </c>
      <c r="G329" s="5" t="s">
        <v>44</v>
      </c>
      <c r="H329" s="5" t="s">
        <v>45</v>
      </c>
      <c r="I329" s="5" t="s">
        <v>217</v>
      </c>
      <c r="J329" s="5" t="s">
        <v>2337</v>
      </c>
      <c r="K329" s="4">
        <v>40280</v>
      </c>
      <c r="L329" s="4">
        <v>40280</v>
      </c>
      <c r="M329" s="9">
        <f t="shared" si="45"/>
        <v>14</v>
      </c>
      <c r="N329" s="4" t="str">
        <f t="shared" si="47"/>
        <v>] 10 ; 15 ]</v>
      </c>
      <c r="O329" s="5" t="s">
        <v>3783</v>
      </c>
      <c r="P329" s="5" t="s">
        <v>3785</v>
      </c>
      <c r="Q329" s="5">
        <v>1</v>
      </c>
      <c r="R329" s="5" t="str">
        <f t="shared" si="48"/>
        <v>Specialisation</v>
      </c>
      <c r="S329" s="5" t="s">
        <v>3789</v>
      </c>
      <c r="T329" s="4">
        <v>29424</v>
      </c>
      <c r="U329" s="5">
        <f t="shared" si="49"/>
        <v>1980</v>
      </c>
      <c r="V329" s="5" t="s">
        <v>3793</v>
      </c>
      <c r="W329" s="9">
        <f t="shared" si="46"/>
        <v>44</v>
      </c>
      <c r="X329" s="5" t="str">
        <f t="shared" si="50"/>
        <v>[40 - 44 ans]</v>
      </c>
      <c r="Y329" s="5" t="str">
        <f t="shared" si="51"/>
        <v xml:space="preserve"> Generation X </v>
      </c>
      <c r="Z329" s="9">
        <f t="shared" si="52"/>
        <v>16</v>
      </c>
      <c r="AA329" s="5" t="str">
        <f t="shared" si="53"/>
        <v>RAS</v>
      </c>
      <c r="AB329" s="5" t="s">
        <v>3808</v>
      </c>
      <c r="AC329" s="6" t="s">
        <v>3799</v>
      </c>
      <c r="AE329" s="5" t="s">
        <v>3844</v>
      </c>
      <c r="AF329" s="5" t="s">
        <v>4482</v>
      </c>
      <c r="AG329" s="5" t="s">
        <v>4485</v>
      </c>
      <c r="AH329" s="5" t="s">
        <v>4487</v>
      </c>
      <c r="AI329" s="5" t="s">
        <v>3963</v>
      </c>
      <c r="AJ329" s="5" t="s">
        <v>3964</v>
      </c>
      <c r="AK329" s="5" t="s">
        <v>3867</v>
      </c>
      <c r="AL329" s="5" t="s">
        <v>3858</v>
      </c>
    </row>
    <row r="330" spans="1:38" x14ac:dyDescent="0.3">
      <c r="A330" s="4">
        <v>45716</v>
      </c>
      <c r="B330" s="5" t="s">
        <v>1235</v>
      </c>
      <c r="C330" s="5" t="s">
        <v>1236</v>
      </c>
      <c r="D330" s="5" t="s">
        <v>1237</v>
      </c>
      <c r="E330" s="5" t="s">
        <v>4494</v>
      </c>
      <c r="G330" s="5" t="s">
        <v>88</v>
      </c>
      <c r="H330" s="5" t="s">
        <v>1238</v>
      </c>
      <c r="I330" s="5" t="s">
        <v>165</v>
      </c>
      <c r="J330" s="5" t="s">
        <v>182</v>
      </c>
      <c r="K330" s="4">
        <v>40280</v>
      </c>
      <c r="L330" s="4">
        <v>40280</v>
      </c>
      <c r="M330" s="9">
        <f t="shared" si="45"/>
        <v>14</v>
      </c>
      <c r="N330" s="4" t="str">
        <f t="shared" si="47"/>
        <v>] 10 ; 15 ]</v>
      </c>
      <c r="O330" s="5" t="s">
        <v>3786</v>
      </c>
      <c r="P330" s="5" t="s">
        <v>3783</v>
      </c>
      <c r="Q330" s="5">
        <v>1</v>
      </c>
      <c r="R330" s="5" t="str">
        <f t="shared" si="48"/>
        <v>Specialisation</v>
      </c>
      <c r="S330" s="5" t="s">
        <v>3790</v>
      </c>
      <c r="T330" s="4">
        <v>28743</v>
      </c>
      <c r="U330" s="5">
        <f t="shared" si="49"/>
        <v>1978</v>
      </c>
      <c r="V330" s="5" t="s">
        <v>3793</v>
      </c>
      <c r="W330" s="9">
        <f t="shared" si="46"/>
        <v>46</v>
      </c>
      <c r="X330" s="5" t="str">
        <f t="shared" si="50"/>
        <v>[45 - 49 ans]</v>
      </c>
      <c r="Y330" s="5" t="str">
        <f t="shared" si="51"/>
        <v xml:space="preserve"> Generation X </v>
      </c>
      <c r="Z330" s="9">
        <f t="shared" si="52"/>
        <v>14</v>
      </c>
      <c r="AA330" s="5" t="str">
        <f t="shared" si="53"/>
        <v>RAS</v>
      </c>
      <c r="AB330" s="5" t="s">
        <v>3806</v>
      </c>
      <c r="AC330" s="6" t="s">
        <v>3799</v>
      </c>
      <c r="AE330" s="5" t="s">
        <v>3844</v>
      </c>
      <c r="AF330" s="5" t="s">
        <v>4482</v>
      </c>
      <c r="AG330" s="5" t="s">
        <v>4485</v>
      </c>
      <c r="AH330" s="5" t="s">
        <v>4488</v>
      </c>
      <c r="AI330" s="5" t="s">
        <v>3941</v>
      </c>
      <c r="AJ330" s="5" t="s">
        <v>3942</v>
      </c>
      <c r="AK330" s="5" t="s">
        <v>3943</v>
      </c>
      <c r="AL330" s="5" t="s">
        <v>3858</v>
      </c>
    </row>
    <row r="331" spans="1:38" x14ac:dyDescent="0.3">
      <c r="A331" s="4">
        <v>45716</v>
      </c>
      <c r="B331" s="5" t="s">
        <v>1239</v>
      </c>
      <c r="C331" s="5" t="s">
        <v>1240</v>
      </c>
      <c r="D331" s="5" t="s">
        <v>1241</v>
      </c>
      <c r="E331" s="5" t="s">
        <v>4494</v>
      </c>
      <c r="G331" s="5" t="s">
        <v>83</v>
      </c>
      <c r="H331" s="5" t="s">
        <v>1242</v>
      </c>
      <c r="I331" s="5" t="s">
        <v>1903</v>
      </c>
      <c r="J331" s="5" t="s">
        <v>82</v>
      </c>
      <c r="K331" s="4">
        <v>40280</v>
      </c>
      <c r="L331" s="4">
        <v>40280</v>
      </c>
      <c r="M331" s="9">
        <f t="shared" si="45"/>
        <v>14</v>
      </c>
      <c r="N331" s="4" t="str">
        <f t="shared" si="47"/>
        <v>] 10 ; 15 ]</v>
      </c>
      <c r="O331" s="5" t="s">
        <v>3782</v>
      </c>
      <c r="P331" s="5" t="s">
        <v>3782</v>
      </c>
      <c r="Q331" s="5">
        <v>1</v>
      </c>
      <c r="R331" s="5" t="str">
        <f t="shared" si="48"/>
        <v>Management &amp; Expertise</v>
      </c>
      <c r="S331" s="5" t="s">
        <v>3789</v>
      </c>
      <c r="T331" s="4">
        <v>28240</v>
      </c>
      <c r="U331" s="5">
        <f t="shared" si="49"/>
        <v>1977</v>
      </c>
      <c r="V331" s="5" t="s">
        <v>3793</v>
      </c>
      <c r="W331" s="9">
        <f t="shared" si="46"/>
        <v>47</v>
      </c>
      <c r="X331" s="5" t="str">
        <f t="shared" si="50"/>
        <v>[45 - 49 ans]</v>
      </c>
      <c r="Y331" s="5" t="str">
        <f t="shared" si="51"/>
        <v xml:space="preserve"> Generation X </v>
      </c>
      <c r="Z331" s="9">
        <f t="shared" si="52"/>
        <v>13</v>
      </c>
      <c r="AA331" s="5" t="str">
        <f t="shared" si="53"/>
        <v>RAS</v>
      </c>
      <c r="AB331" s="5" t="s">
        <v>3807</v>
      </c>
      <c r="AC331" s="6" t="s">
        <v>3799</v>
      </c>
      <c r="AE331" s="5" t="s">
        <v>3845</v>
      </c>
      <c r="AF331" s="5" t="s">
        <v>4481</v>
      </c>
      <c r="AG331" s="5" t="s">
        <v>4485</v>
      </c>
      <c r="AH331" s="5" t="s">
        <v>4489</v>
      </c>
      <c r="AI331" s="5" t="s">
        <v>4039</v>
      </c>
      <c r="AJ331" s="5" t="s">
        <v>4040</v>
      </c>
      <c r="AK331" s="5">
        <v>13171</v>
      </c>
      <c r="AL331" s="5" t="s">
        <v>3854</v>
      </c>
    </row>
    <row r="332" spans="1:38" x14ac:dyDescent="0.3">
      <c r="A332" s="4">
        <v>45716</v>
      </c>
      <c r="B332" s="5" t="s">
        <v>1243</v>
      </c>
      <c r="C332" s="5" t="s">
        <v>1244</v>
      </c>
      <c r="D332" s="5" t="s">
        <v>1245</v>
      </c>
      <c r="E332" s="5" t="s">
        <v>4494</v>
      </c>
      <c r="G332" s="5" t="s">
        <v>88</v>
      </c>
      <c r="H332" s="5" t="s">
        <v>1246</v>
      </c>
      <c r="I332" s="5" t="s">
        <v>182</v>
      </c>
      <c r="J332" s="5" t="s">
        <v>1857</v>
      </c>
      <c r="K332" s="4">
        <v>40288</v>
      </c>
      <c r="L332" s="4">
        <v>40288</v>
      </c>
      <c r="M332" s="9">
        <f t="shared" si="45"/>
        <v>14</v>
      </c>
      <c r="N332" s="4" t="str">
        <f t="shared" si="47"/>
        <v>] 10 ; 15 ]</v>
      </c>
      <c r="O332" s="5" t="s">
        <v>3782</v>
      </c>
      <c r="P332" s="5" t="s">
        <v>3784</v>
      </c>
      <c r="Q332" s="5">
        <v>1</v>
      </c>
      <c r="R332" s="5" t="str">
        <f t="shared" si="48"/>
        <v>Management &amp; Expertise</v>
      </c>
      <c r="S332" s="5" t="s">
        <v>3790</v>
      </c>
      <c r="T332" s="4">
        <v>30590</v>
      </c>
      <c r="U332" s="5">
        <f t="shared" si="49"/>
        <v>1983</v>
      </c>
      <c r="V332" s="5" t="s">
        <v>3792</v>
      </c>
      <c r="W332" s="9">
        <f t="shared" si="46"/>
        <v>41</v>
      </c>
      <c r="X332" s="5" t="str">
        <f t="shared" si="50"/>
        <v>[40 - 44 ans]</v>
      </c>
      <c r="Y332" s="5" t="str">
        <f t="shared" si="51"/>
        <v xml:space="preserve"> Mellenials </v>
      </c>
      <c r="Z332" s="9">
        <f t="shared" si="52"/>
        <v>19</v>
      </c>
      <c r="AA332" s="5" t="str">
        <f t="shared" si="53"/>
        <v>RAS</v>
      </c>
      <c r="AB332" s="5" t="s">
        <v>3805</v>
      </c>
      <c r="AC332" s="6" t="s">
        <v>3799</v>
      </c>
      <c r="AE332" s="5" t="s">
        <v>3845</v>
      </c>
      <c r="AF332" s="5" t="s">
        <v>4481</v>
      </c>
      <c r="AG332" s="5" t="s">
        <v>4485</v>
      </c>
      <c r="AH332" s="5" t="s">
        <v>4488</v>
      </c>
      <c r="AI332" s="5" t="s">
        <v>4273</v>
      </c>
      <c r="AJ332" s="5" t="s">
        <v>4274</v>
      </c>
      <c r="AK332" s="5">
        <v>11100</v>
      </c>
      <c r="AL332" s="5" t="s">
        <v>3854</v>
      </c>
    </row>
    <row r="333" spans="1:38" x14ac:dyDescent="0.3">
      <c r="A333" s="4">
        <v>45716</v>
      </c>
      <c r="B333" s="5" t="s">
        <v>1247</v>
      </c>
      <c r="C333" s="5" t="s">
        <v>1248</v>
      </c>
      <c r="D333" s="5" t="s">
        <v>1249</v>
      </c>
      <c r="E333" s="5" t="s">
        <v>4494</v>
      </c>
      <c r="G333" s="5" t="s">
        <v>39</v>
      </c>
      <c r="H333" s="5" t="s">
        <v>1250</v>
      </c>
      <c r="I333" s="5" t="s">
        <v>354</v>
      </c>
      <c r="J333" s="5" t="s">
        <v>1899</v>
      </c>
      <c r="K333" s="4">
        <v>40287</v>
      </c>
      <c r="L333" s="4">
        <v>40287</v>
      </c>
      <c r="M333" s="9">
        <f t="shared" si="45"/>
        <v>14</v>
      </c>
      <c r="N333" s="4" t="str">
        <f t="shared" si="47"/>
        <v>] 10 ; 15 ]</v>
      </c>
      <c r="O333" s="5" t="s">
        <v>3786</v>
      </c>
      <c r="P333" s="5" t="s">
        <v>3783</v>
      </c>
      <c r="Q333" s="5">
        <v>1</v>
      </c>
      <c r="R333" s="5" t="str">
        <f t="shared" si="48"/>
        <v>Specialisation</v>
      </c>
      <c r="S333" s="5" t="s">
        <v>3789</v>
      </c>
      <c r="T333" s="4">
        <v>28191</v>
      </c>
      <c r="U333" s="5">
        <f t="shared" si="49"/>
        <v>1977</v>
      </c>
      <c r="V333" s="5" t="s">
        <v>3793</v>
      </c>
      <c r="W333" s="9">
        <f t="shared" si="46"/>
        <v>47</v>
      </c>
      <c r="X333" s="5" t="str">
        <f t="shared" si="50"/>
        <v>[45 - 49 ans]</v>
      </c>
      <c r="Y333" s="5" t="str">
        <f t="shared" si="51"/>
        <v xml:space="preserve"> Generation X </v>
      </c>
      <c r="Z333" s="9">
        <f t="shared" si="52"/>
        <v>13</v>
      </c>
      <c r="AA333" s="5" t="str">
        <f t="shared" si="53"/>
        <v>RAS</v>
      </c>
      <c r="AB333" s="5" t="s">
        <v>3805</v>
      </c>
      <c r="AC333" s="6" t="s">
        <v>3799</v>
      </c>
      <c r="AE333" s="5" t="s">
        <v>3844</v>
      </c>
      <c r="AF333" s="5" t="s">
        <v>4482</v>
      </c>
      <c r="AG333" s="5" t="s">
        <v>4485</v>
      </c>
      <c r="AH333" s="5" t="s">
        <v>4489</v>
      </c>
      <c r="AI333" s="5" t="s">
        <v>4023</v>
      </c>
      <c r="AJ333" s="5" t="s">
        <v>4024</v>
      </c>
      <c r="AK333" s="5" t="s">
        <v>4025</v>
      </c>
      <c r="AL333" s="5" t="s">
        <v>3858</v>
      </c>
    </row>
    <row r="334" spans="1:38" x14ac:dyDescent="0.3">
      <c r="A334" s="4">
        <v>45716</v>
      </c>
      <c r="B334" s="5" t="s">
        <v>1251</v>
      </c>
      <c r="C334" s="5" t="s">
        <v>1252</v>
      </c>
      <c r="D334" s="5" t="s">
        <v>1253</v>
      </c>
      <c r="E334" s="5" t="s">
        <v>4494</v>
      </c>
      <c r="G334" s="5" t="s">
        <v>39</v>
      </c>
      <c r="H334" s="5" t="s">
        <v>471</v>
      </c>
      <c r="I334" s="5" t="s">
        <v>1835</v>
      </c>
      <c r="J334" s="5" t="s">
        <v>48</v>
      </c>
      <c r="K334" s="4">
        <v>40287</v>
      </c>
      <c r="L334" s="4">
        <v>40287</v>
      </c>
      <c r="M334" s="9">
        <f t="shared" si="45"/>
        <v>14</v>
      </c>
      <c r="N334" s="4" t="str">
        <f t="shared" si="47"/>
        <v>] 10 ; 15 ]</v>
      </c>
      <c r="O334" s="5" t="s">
        <v>3786</v>
      </c>
      <c r="P334" s="5" t="s">
        <v>3783</v>
      </c>
      <c r="Q334" s="5">
        <v>1</v>
      </c>
      <c r="R334" s="5" t="str">
        <f t="shared" si="48"/>
        <v>Specialisation</v>
      </c>
      <c r="S334" s="5" t="s">
        <v>3789</v>
      </c>
      <c r="T334" s="4">
        <v>31293</v>
      </c>
      <c r="U334" s="5">
        <f t="shared" si="49"/>
        <v>1985</v>
      </c>
      <c r="V334" s="5" t="s">
        <v>3793</v>
      </c>
      <c r="W334" s="9">
        <f t="shared" si="46"/>
        <v>39</v>
      </c>
      <c r="X334" s="5" t="str">
        <f t="shared" si="50"/>
        <v>[35 - 39 ans ]</v>
      </c>
      <c r="Y334" s="5" t="str">
        <f t="shared" si="51"/>
        <v xml:space="preserve"> Mellenials </v>
      </c>
      <c r="Z334" s="9">
        <f t="shared" si="52"/>
        <v>21</v>
      </c>
      <c r="AA334" s="5" t="str">
        <f t="shared" si="53"/>
        <v>RAS</v>
      </c>
      <c r="AB334" s="5" t="s">
        <v>3832</v>
      </c>
      <c r="AC334" s="6" t="s">
        <v>3801</v>
      </c>
      <c r="AE334" s="5" t="s">
        <v>3844</v>
      </c>
      <c r="AF334" s="5" t="s">
        <v>4482</v>
      </c>
      <c r="AG334" s="5" t="s">
        <v>4485</v>
      </c>
      <c r="AH334" s="5" t="s">
        <v>4489</v>
      </c>
      <c r="AI334" s="5" t="s">
        <v>4078</v>
      </c>
      <c r="AJ334" s="5" t="s">
        <v>4079</v>
      </c>
      <c r="AK334" s="5" t="s">
        <v>4080</v>
      </c>
      <c r="AL334" s="5" t="s">
        <v>3858</v>
      </c>
    </row>
    <row r="335" spans="1:38" x14ac:dyDescent="0.3">
      <c r="A335" s="4">
        <v>45716</v>
      </c>
      <c r="B335" s="5" t="s">
        <v>1254</v>
      </c>
      <c r="C335" s="5" t="s">
        <v>1255</v>
      </c>
      <c r="D335" s="5" t="s">
        <v>1256</v>
      </c>
      <c r="E335" s="5" t="s">
        <v>4494</v>
      </c>
      <c r="G335" s="5" t="s">
        <v>39</v>
      </c>
      <c r="H335" s="5" t="s">
        <v>1257</v>
      </c>
      <c r="I335" s="5" t="s">
        <v>1899</v>
      </c>
      <c r="J335" s="5" t="s">
        <v>2821</v>
      </c>
      <c r="K335" s="4">
        <v>40287</v>
      </c>
      <c r="L335" s="4">
        <v>40287</v>
      </c>
      <c r="M335" s="9">
        <f t="shared" si="45"/>
        <v>14</v>
      </c>
      <c r="N335" s="4" t="str">
        <f t="shared" si="47"/>
        <v>] 10 ; 15 ]</v>
      </c>
      <c r="O335" s="5" t="s">
        <v>3784</v>
      </c>
      <c r="P335" s="5" t="s">
        <v>3784</v>
      </c>
      <c r="Q335" s="5">
        <v>1</v>
      </c>
      <c r="R335" s="5" t="str">
        <f t="shared" si="48"/>
        <v>Management &amp; Expertise</v>
      </c>
      <c r="S335" s="5" t="s">
        <v>3789</v>
      </c>
      <c r="T335" s="4">
        <v>30661</v>
      </c>
      <c r="U335" s="5">
        <f t="shared" si="49"/>
        <v>1983</v>
      </c>
      <c r="V335" s="5" t="s">
        <v>3793</v>
      </c>
      <c r="W335" s="9">
        <f t="shared" si="46"/>
        <v>41</v>
      </c>
      <c r="X335" s="5" t="str">
        <f t="shared" si="50"/>
        <v>[40 - 44 ans]</v>
      </c>
      <c r="Y335" s="5" t="str">
        <f t="shared" si="51"/>
        <v xml:space="preserve"> Mellenials </v>
      </c>
      <c r="Z335" s="9">
        <f t="shared" si="52"/>
        <v>19</v>
      </c>
      <c r="AA335" s="5" t="str">
        <f t="shared" si="53"/>
        <v>RAS</v>
      </c>
      <c r="AB335" s="5" t="s">
        <v>3807</v>
      </c>
      <c r="AC335" s="6" t="s">
        <v>3799</v>
      </c>
      <c r="AE335" s="5" t="s">
        <v>3845</v>
      </c>
      <c r="AF335" s="5" t="s">
        <v>4481</v>
      </c>
      <c r="AG335" s="5" t="s">
        <v>4485</v>
      </c>
      <c r="AH335" s="5" t="s">
        <v>4489</v>
      </c>
      <c r="AI335" s="5" t="s">
        <v>4275</v>
      </c>
      <c r="AJ335" s="5" t="s">
        <v>4276</v>
      </c>
      <c r="AK335" s="5">
        <v>14141</v>
      </c>
      <c r="AL335" s="5" t="s">
        <v>3854</v>
      </c>
    </row>
    <row r="336" spans="1:38" x14ac:dyDescent="0.3">
      <c r="A336" s="4">
        <v>45716</v>
      </c>
      <c r="B336" s="5" t="s">
        <v>1258</v>
      </c>
      <c r="C336" s="5" t="s">
        <v>1259</v>
      </c>
      <c r="D336" s="5" t="s">
        <v>1260</v>
      </c>
      <c r="E336" s="5" t="s">
        <v>4494</v>
      </c>
      <c r="G336" s="5" t="s">
        <v>178</v>
      </c>
      <c r="H336" s="5" t="s">
        <v>1261</v>
      </c>
      <c r="I336" s="5" t="s">
        <v>201</v>
      </c>
      <c r="J336" s="5" t="s">
        <v>1368</v>
      </c>
      <c r="K336" s="4">
        <v>40287</v>
      </c>
      <c r="L336" s="4">
        <v>39251</v>
      </c>
      <c r="M336" s="9">
        <f t="shared" si="45"/>
        <v>17</v>
      </c>
      <c r="N336" s="4" t="str">
        <f t="shared" si="47"/>
        <v>] 15 ; +oo [</v>
      </c>
      <c r="O336" s="5" t="s">
        <v>3785</v>
      </c>
      <c r="P336" s="5" t="s">
        <v>3785</v>
      </c>
      <c r="Q336" s="5">
        <v>2</v>
      </c>
      <c r="R336" s="5" t="str">
        <f t="shared" si="48"/>
        <v>Specialisation</v>
      </c>
      <c r="S336" s="5" t="s">
        <v>3790</v>
      </c>
      <c r="T336" s="4">
        <v>29699</v>
      </c>
      <c r="U336" s="5">
        <f t="shared" si="49"/>
        <v>1981</v>
      </c>
      <c r="V336" s="5" t="s">
        <v>3793</v>
      </c>
      <c r="W336" s="9">
        <f t="shared" si="46"/>
        <v>43</v>
      </c>
      <c r="X336" s="5" t="str">
        <f t="shared" si="50"/>
        <v>[40 - 44 ans]</v>
      </c>
      <c r="Y336" s="5" t="str">
        <f t="shared" si="51"/>
        <v xml:space="preserve"> Mellenials </v>
      </c>
      <c r="Z336" s="9">
        <f t="shared" si="52"/>
        <v>17</v>
      </c>
      <c r="AA336" s="5" t="str">
        <f t="shared" si="53"/>
        <v>RAS</v>
      </c>
      <c r="AB336" s="5" t="s">
        <v>3806</v>
      </c>
      <c r="AC336" s="6" t="s">
        <v>3799</v>
      </c>
      <c r="AE336" s="5" t="s">
        <v>3844</v>
      </c>
      <c r="AF336" s="5" t="s">
        <v>4481</v>
      </c>
      <c r="AG336" s="5" t="s">
        <v>4485</v>
      </c>
      <c r="AH336" s="5" t="s">
        <v>4488</v>
      </c>
      <c r="AI336" s="5" t="s">
        <v>4233</v>
      </c>
      <c r="AJ336" s="5" t="s">
        <v>4277</v>
      </c>
      <c r="AK336" s="5">
        <v>12170</v>
      </c>
      <c r="AL336" s="5" t="s">
        <v>3858</v>
      </c>
    </row>
    <row r="337" spans="1:38" x14ac:dyDescent="0.3">
      <c r="A337" s="4">
        <v>45716</v>
      </c>
      <c r="B337" s="5" t="s">
        <v>1262</v>
      </c>
      <c r="C337" s="5" t="s">
        <v>1263</v>
      </c>
      <c r="D337" s="5" t="s">
        <v>1264</v>
      </c>
      <c r="E337" s="5" t="s">
        <v>4494</v>
      </c>
      <c r="G337" s="5" t="s">
        <v>39</v>
      </c>
      <c r="H337" s="5" t="s">
        <v>1265</v>
      </c>
      <c r="I337" s="5" t="s">
        <v>149</v>
      </c>
      <c r="J337" s="5" t="s">
        <v>2821</v>
      </c>
      <c r="K337" s="4">
        <v>40287</v>
      </c>
      <c r="L337" s="4">
        <v>40287</v>
      </c>
      <c r="M337" s="9">
        <f t="shared" si="45"/>
        <v>14</v>
      </c>
      <c r="N337" s="4" t="str">
        <f t="shared" si="47"/>
        <v>] 10 ; 15 ]</v>
      </c>
      <c r="O337" s="5" t="s">
        <v>3784</v>
      </c>
      <c r="P337" s="5" t="s">
        <v>3784</v>
      </c>
      <c r="Q337" s="5">
        <v>1</v>
      </c>
      <c r="R337" s="5" t="str">
        <f t="shared" si="48"/>
        <v>Management &amp; Expertise</v>
      </c>
      <c r="S337" s="5" t="s">
        <v>3789</v>
      </c>
      <c r="T337" s="4">
        <v>29699</v>
      </c>
      <c r="U337" s="5">
        <f t="shared" si="49"/>
        <v>1981</v>
      </c>
      <c r="V337" s="5" t="s">
        <v>3793</v>
      </c>
      <c r="W337" s="9">
        <f t="shared" si="46"/>
        <v>43</v>
      </c>
      <c r="X337" s="5" t="str">
        <f t="shared" si="50"/>
        <v>[40 - 44 ans]</v>
      </c>
      <c r="Y337" s="5" t="str">
        <f t="shared" si="51"/>
        <v xml:space="preserve"> Mellenials </v>
      </c>
      <c r="Z337" s="9">
        <f t="shared" si="52"/>
        <v>17</v>
      </c>
      <c r="AA337" s="5" t="str">
        <f t="shared" si="53"/>
        <v>RAS</v>
      </c>
      <c r="AB337" s="5" t="s">
        <v>3807</v>
      </c>
      <c r="AC337" s="6" t="s">
        <v>3799</v>
      </c>
      <c r="AE337" s="5" t="s">
        <v>3845</v>
      </c>
      <c r="AF337" s="5" t="s">
        <v>4481</v>
      </c>
      <c r="AG337" s="5" t="s">
        <v>4485</v>
      </c>
      <c r="AH337" s="5" t="s">
        <v>4489</v>
      </c>
      <c r="AI337" s="5" t="s">
        <v>4278</v>
      </c>
      <c r="AJ337" s="5" t="s">
        <v>4279</v>
      </c>
      <c r="AK337" s="5" t="s">
        <v>4280</v>
      </c>
      <c r="AL337" s="5" t="s">
        <v>3854</v>
      </c>
    </row>
    <row r="338" spans="1:38" x14ac:dyDescent="0.3">
      <c r="A338" s="4">
        <v>45716</v>
      </c>
      <c r="B338" s="5" t="s">
        <v>1266</v>
      </c>
      <c r="C338" s="5" t="s">
        <v>1267</v>
      </c>
      <c r="D338" s="5" t="s">
        <v>1268</v>
      </c>
      <c r="E338" s="5" t="s">
        <v>4494</v>
      </c>
      <c r="G338" s="5" t="s">
        <v>39</v>
      </c>
      <c r="H338" s="5" t="s">
        <v>1269</v>
      </c>
      <c r="I338" s="5" t="s">
        <v>52</v>
      </c>
      <c r="J338" s="5" t="s">
        <v>1218</v>
      </c>
      <c r="K338" s="4">
        <v>40291</v>
      </c>
      <c r="L338" s="4">
        <v>40291</v>
      </c>
      <c r="M338" s="9">
        <f t="shared" si="45"/>
        <v>14</v>
      </c>
      <c r="N338" s="4" t="str">
        <f t="shared" si="47"/>
        <v>] 10 ; 15 ]</v>
      </c>
      <c r="O338" s="5" t="s">
        <v>3782</v>
      </c>
      <c r="P338" s="5" t="s">
        <v>3782</v>
      </c>
      <c r="Q338" s="5">
        <v>1</v>
      </c>
      <c r="R338" s="5" t="str">
        <f t="shared" si="48"/>
        <v>Management &amp; Expertise</v>
      </c>
      <c r="S338" s="5" t="s">
        <v>3789</v>
      </c>
      <c r="T338" s="4">
        <v>30426</v>
      </c>
      <c r="U338" s="5">
        <f t="shared" si="49"/>
        <v>1983</v>
      </c>
      <c r="V338" s="5" t="s">
        <v>3793</v>
      </c>
      <c r="W338" s="9">
        <f t="shared" si="46"/>
        <v>41</v>
      </c>
      <c r="X338" s="5" t="str">
        <f t="shared" si="50"/>
        <v>[40 - 44 ans]</v>
      </c>
      <c r="Y338" s="5" t="str">
        <f t="shared" si="51"/>
        <v xml:space="preserve"> Mellenials </v>
      </c>
      <c r="Z338" s="9">
        <f t="shared" si="52"/>
        <v>19</v>
      </c>
      <c r="AA338" s="5" t="str">
        <f t="shared" si="53"/>
        <v>RAS</v>
      </c>
      <c r="AB338" s="5" t="s">
        <v>3807</v>
      </c>
      <c r="AC338" s="6" t="s">
        <v>3799</v>
      </c>
      <c r="AE338" s="5" t="s">
        <v>3845</v>
      </c>
      <c r="AF338" s="5" t="s">
        <v>4481</v>
      </c>
      <c r="AG338" s="5" t="s">
        <v>4485</v>
      </c>
      <c r="AH338" s="5" t="s">
        <v>4489</v>
      </c>
      <c r="AI338" s="5" t="s">
        <v>4013</v>
      </c>
      <c r="AJ338" s="5" t="s">
        <v>4014</v>
      </c>
      <c r="AK338" s="5" t="s">
        <v>4015</v>
      </c>
      <c r="AL338" s="5" t="s">
        <v>3854</v>
      </c>
    </row>
    <row r="339" spans="1:38" x14ac:dyDescent="0.3">
      <c r="A339" s="4">
        <v>45716</v>
      </c>
      <c r="B339" s="5" t="s">
        <v>1270</v>
      </c>
      <c r="C339" s="5" t="s">
        <v>1271</v>
      </c>
      <c r="D339" s="5" t="s">
        <v>1272</v>
      </c>
      <c r="E339" s="5" t="s">
        <v>4494</v>
      </c>
      <c r="G339" s="5" t="s">
        <v>243</v>
      </c>
      <c r="H339" s="5" t="s">
        <v>1273</v>
      </c>
      <c r="I339" s="5" t="s">
        <v>1857</v>
      </c>
      <c r="J339" s="5" t="s">
        <v>2841</v>
      </c>
      <c r="K339" s="4">
        <v>40294</v>
      </c>
      <c r="L339" s="4">
        <v>40294</v>
      </c>
      <c r="M339" s="9">
        <f t="shared" si="45"/>
        <v>14</v>
      </c>
      <c r="N339" s="4" t="str">
        <f t="shared" si="47"/>
        <v>] 10 ; 15 ]</v>
      </c>
      <c r="O339" s="5" t="s">
        <v>3779</v>
      </c>
      <c r="P339" s="5" t="s">
        <v>3779</v>
      </c>
      <c r="Q339" s="5">
        <v>1</v>
      </c>
      <c r="R339" s="5" t="str">
        <f t="shared" si="48"/>
        <v>Management &amp; Expertise</v>
      </c>
      <c r="S339" s="5" t="s">
        <v>3790</v>
      </c>
      <c r="T339" s="4">
        <v>28856</v>
      </c>
      <c r="U339" s="5">
        <f t="shared" si="49"/>
        <v>1979</v>
      </c>
      <c r="V339" s="5" t="s">
        <v>3793</v>
      </c>
      <c r="W339" s="9">
        <f t="shared" si="46"/>
        <v>46</v>
      </c>
      <c r="X339" s="5" t="str">
        <f t="shared" si="50"/>
        <v>[45 - 49 ans]</v>
      </c>
      <c r="Y339" s="5" t="str">
        <f t="shared" si="51"/>
        <v xml:space="preserve"> Generation X </v>
      </c>
      <c r="Z339" s="9">
        <f t="shared" si="52"/>
        <v>14</v>
      </c>
      <c r="AA339" s="5" t="str">
        <f t="shared" si="53"/>
        <v>RAS</v>
      </c>
      <c r="AB339" s="5" t="s">
        <v>3806</v>
      </c>
      <c r="AC339" s="6" t="s">
        <v>3799</v>
      </c>
      <c r="AE339" s="5" t="s">
        <v>3845</v>
      </c>
      <c r="AF339" s="5" t="s">
        <v>4481</v>
      </c>
      <c r="AG339" s="5" t="s">
        <v>4484</v>
      </c>
      <c r="AH339" s="5" t="s">
        <v>4487</v>
      </c>
      <c r="AI339" s="5" t="s">
        <v>4281</v>
      </c>
      <c r="AJ339" s="5" t="s">
        <v>4282</v>
      </c>
      <c r="AK339" s="5" t="s">
        <v>3977</v>
      </c>
      <c r="AL339" s="5" t="s">
        <v>3854</v>
      </c>
    </row>
    <row r="340" spans="1:38" x14ac:dyDescent="0.3">
      <c r="A340" s="4">
        <v>45716</v>
      </c>
      <c r="B340" s="5" t="s">
        <v>1274</v>
      </c>
      <c r="C340" s="5" t="s">
        <v>1275</v>
      </c>
      <c r="D340" s="5" t="s">
        <v>1276</v>
      </c>
      <c r="E340" s="5" t="s">
        <v>4494</v>
      </c>
      <c r="G340" s="5" t="s">
        <v>88</v>
      </c>
      <c r="H340" s="5" t="s">
        <v>1277</v>
      </c>
      <c r="I340" s="5" t="s">
        <v>1389</v>
      </c>
      <c r="J340" s="5" t="s">
        <v>182</v>
      </c>
      <c r="K340" s="4">
        <v>40295</v>
      </c>
      <c r="L340" s="4">
        <v>40295</v>
      </c>
      <c r="M340" s="9">
        <f t="shared" si="45"/>
        <v>14</v>
      </c>
      <c r="N340" s="4" t="str">
        <f t="shared" si="47"/>
        <v>] 10 ; 15 ]</v>
      </c>
      <c r="O340" s="5" t="s">
        <v>3782</v>
      </c>
      <c r="P340" s="5" t="s">
        <v>3785</v>
      </c>
      <c r="Q340" s="5">
        <v>1</v>
      </c>
      <c r="R340" s="5" t="str">
        <f t="shared" si="48"/>
        <v>Management &amp; Expertise</v>
      </c>
      <c r="S340" s="5" t="s">
        <v>3790</v>
      </c>
      <c r="T340" s="4">
        <v>30788</v>
      </c>
      <c r="U340" s="5">
        <f t="shared" si="49"/>
        <v>1984</v>
      </c>
      <c r="V340" s="5" t="s">
        <v>3792</v>
      </c>
      <c r="W340" s="9">
        <f t="shared" si="46"/>
        <v>40</v>
      </c>
      <c r="X340" s="5" t="str">
        <f t="shared" si="50"/>
        <v>[40 - 44 ans]</v>
      </c>
      <c r="Y340" s="5" t="str">
        <f t="shared" si="51"/>
        <v xml:space="preserve"> Mellenials </v>
      </c>
      <c r="Z340" s="9">
        <f t="shared" si="52"/>
        <v>20</v>
      </c>
      <c r="AA340" s="5" t="str">
        <f t="shared" si="53"/>
        <v>RAS</v>
      </c>
      <c r="AB340" s="5" t="s">
        <v>3806</v>
      </c>
      <c r="AC340" s="6" t="s">
        <v>3799</v>
      </c>
      <c r="AE340" s="5" t="s">
        <v>3845</v>
      </c>
      <c r="AF340" s="5" t="s">
        <v>4481</v>
      </c>
      <c r="AG340" s="5" t="s">
        <v>4485</v>
      </c>
      <c r="AH340" s="5" t="s">
        <v>4488</v>
      </c>
      <c r="AI340" s="5" t="s">
        <v>4261</v>
      </c>
      <c r="AJ340" s="5" t="s">
        <v>4262</v>
      </c>
      <c r="AK340" s="5" t="s">
        <v>4100</v>
      </c>
      <c r="AL340" s="5" t="s">
        <v>3854</v>
      </c>
    </row>
    <row r="341" spans="1:38" x14ac:dyDescent="0.3">
      <c r="A341" s="4">
        <v>45716</v>
      </c>
      <c r="B341" s="5" t="s">
        <v>1278</v>
      </c>
      <c r="C341" s="5" t="s">
        <v>1279</v>
      </c>
      <c r="D341" s="5" t="s">
        <v>1280</v>
      </c>
      <c r="E341" s="5" t="s">
        <v>4494</v>
      </c>
      <c r="G341" s="5" t="s">
        <v>39</v>
      </c>
      <c r="H341" s="5" t="s">
        <v>1281</v>
      </c>
      <c r="I341" s="5" t="s">
        <v>2981</v>
      </c>
      <c r="J341" s="5" t="s">
        <v>1264</v>
      </c>
      <c r="K341" s="4">
        <v>40300</v>
      </c>
      <c r="L341" s="4">
        <v>40300</v>
      </c>
      <c r="M341" s="9">
        <f t="shared" si="45"/>
        <v>14</v>
      </c>
      <c r="N341" s="4" t="str">
        <f t="shared" si="47"/>
        <v>] 10 ; 15 ]</v>
      </c>
      <c r="O341" s="5" t="s">
        <v>3782</v>
      </c>
      <c r="P341" s="5" t="s">
        <v>3784</v>
      </c>
      <c r="Q341" s="5">
        <v>1</v>
      </c>
      <c r="R341" s="5" t="str">
        <f t="shared" si="48"/>
        <v>Management &amp; Expertise</v>
      </c>
      <c r="S341" s="5" t="s">
        <v>3789</v>
      </c>
      <c r="T341" s="4">
        <v>26641</v>
      </c>
      <c r="U341" s="5">
        <f t="shared" si="49"/>
        <v>1972</v>
      </c>
      <c r="V341" s="5" t="s">
        <v>3793</v>
      </c>
      <c r="W341" s="9">
        <f t="shared" si="46"/>
        <v>52</v>
      </c>
      <c r="X341" s="5" t="str">
        <f t="shared" si="50"/>
        <v>[50 ans, +oo [</v>
      </c>
      <c r="Y341" s="5" t="str">
        <f t="shared" si="51"/>
        <v xml:space="preserve"> Generation X </v>
      </c>
      <c r="Z341" s="9">
        <f t="shared" si="52"/>
        <v>8</v>
      </c>
      <c r="AA341" s="5" t="str">
        <f t="shared" si="53"/>
        <v>RAS</v>
      </c>
      <c r="AB341" s="5" t="s">
        <v>3807</v>
      </c>
      <c r="AC341" s="6" t="s">
        <v>3799</v>
      </c>
      <c r="AE341" s="5" t="s">
        <v>3844</v>
      </c>
      <c r="AF341" s="5" t="s">
        <v>4481</v>
      </c>
      <c r="AG341" s="5" t="s">
        <v>4485</v>
      </c>
      <c r="AH341" s="5" t="s">
        <v>4489</v>
      </c>
      <c r="AI341" s="5" t="s">
        <v>4057</v>
      </c>
      <c r="AJ341" s="5" t="s">
        <v>4058</v>
      </c>
      <c r="AK341" s="5" t="s">
        <v>4059</v>
      </c>
      <c r="AL341" s="5" t="s">
        <v>3858</v>
      </c>
    </row>
    <row r="342" spans="1:38" x14ac:dyDescent="0.3">
      <c r="A342" s="4">
        <v>45716</v>
      </c>
      <c r="B342" s="5" t="s">
        <v>1282</v>
      </c>
      <c r="C342" s="5" t="s">
        <v>1283</v>
      </c>
      <c r="D342" s="5" t="s">
        <v>1284</v>
      </c>
      <c r="E342" s="5" t="s">
        <v>4494</v>
      </c>
      <c r="G342" s="5" t="s">
        <v>88</v>
      </c>
      <c r="H342" s="5" t="s">
        <v>101</v>
      </c>
      <c r="I342" s="5" t="s">
        <v>795</v>
      </c>
      <c r="J342" s="5" t="s">
        <v>879</v>
      </c>
      <c r="K342" s="4">
        <v>40303</v>
      </c>
      <c r="L342" s="4">
        <v>40303</v>
      </c>
      <c r="M342" s="9">
        <f t="shared" si="45"/>
        <v>14</v>
      </c>
      <c r="N342" s="4" t="str">
        <f t="shared" si="47"/>
        <v>] 10 ; 15 ]</v>
      </c>
      <c r="O342" s="5" t="s">
        <v>3783</v>
      </c>
      <c r="P342" s="5" t="s">
        <v>3785</v>
      </c>
      <c r="Q342" s="5">
        <v>1</v>
      </c>
      <c r="R342" s="5" t="str">
        <f t="shared" si="48"/>
        <v>Specialisation</v>
      </c>
      <c r="S342" s="5" t="s">
        <v>3789</v>
      </c>
      <c r="T342" s="4">
        <v>27935</v>
      </c>
      <c r="U342" s="5">
        <f t="shared" si="49"/>
        <v>1976</v>
      </c>
      <c r="V342" s="5" t="s">
        <v>3793</v>
      </c>
      <c r="W342" s="9">
        <f t="shared" si="46"/>
        <v>48</v>
      </c>
      <c r="X342" s="5" t="str">
        <f t="shared" si="50"/>
        <v>[45 - 49 ans]</v>
      </c>
      <c r="Y342" s="5" t="str">
        <f t="shared" si="51"/>
        <v xml:space="preserve"> Generation X </v>
      </c>
      <c r="Z342" s="9">
        <f t="shared" si="52"/>
        <v>12</v>
      </c>
      <c r="AA342" s="5" t="str">
        <f t="shared" si="53"/>
        <v>RAS</v>
      </c>
      <c r="AB342" s="5" t="s">
        <v>3819</v>
      </c>
      <c r="AC342" s="6" t="s">
        <v>3802</v>
      </c>
      <c r="AE342" s="5" t="s">
        <v>3844</v>
      </c>
      <c r="AF342" s="5" t="s">
        <v>4482</v>
      </c>
      <c r="AG342" s="5" t="s">
        <v>4485</v>
      </c>
      <c r="AH342" s="5" t="s">
        <v>4488</v>
      </c>
      <c r="AI342" s="5" t="s">
        <v>4197</v>
      </c>
      <c r="AJ342" s="5" t="s">
        <v>4223</v>
      </c>
      <c r="AK342" s="5" t="s">
        <v>4198</v>
      </c>
      <c r="AL342" s="5" t="s">
        <v>3858</v>
      </c>
    </row>
    <row r="343" spans="1:38" x14ac:dyDescent="0.3">
      <c r="A343" s="4">
        <v>45716</v>
      </c>
      <c r="B343" s="5" t="s">
        <v>1285</v>
      </c>
      <c r="C343" s="5" t="s">
        <v>1286</v>
      </c>
      <c r="D343" s="5" t="s">
        <v>1287</v>
      </c>
      <c r="E343" s="5" t="s">
        <v>4494</v>
      </c>
      <c r="G343" s="5" t="s">
        <v>222</v>
      </c>
      <c r="H343" s="5" t="s">
        <v>1288</v>
      </c>
      <c r="I343" s="5" t="s">
        <v>2086</v>
      </c>
      <c r="J343" s="5" t="s">
        <v>2841</v>
      </c>
      <c r="K343" s="4">
        <v>40308</v>
      </c>
      <c r="L343" s="4">
        <v>40308</v>
      </c>
      <c r="M343" s="9">
        <f t="shared" si="45"/>
        <v>14</v>
      </c>
      <c r="N343" s="4" t="str">
        <f t="shared" si="47"/>
        <v>] 10 ; 15 ]</v>
      </c>
      <c r="O343" s="5" t="s">
        <v>3782</v>
      </c>
      <c r="P343" s="5" t="s">
        <v>3782</v>
      </c>
      <c r="Q343" s="5">
        <v>2</v>
      </c>
      <c r="R343" s="5" t="str">
        <f t="shared" si="48"/>
        <v>Management &amp; Expertise</v>
      </c>
      <c r="S343" s="5" t="s">
        <v>3789</v>
      </c>
      <c r="T343" s="4">
        <v>31145</v>
      </c>
      <c r="U343" s="5">
        <f t="shared" si="49"/>
        <v>1985</v>
      </c>
      <c r="V343" s="5" t="s">
        <v>3793</v>
      </c>
      <c r="W343" s="9">
        <f t="shared" si="46"/>
        <v>39</v>
      </c>
      <c r="X343" s="5" t="str">
        <f t="shared" si="50"/>
        <v>[35 - 39 ans ]</v>
      </c>
      <c r="Y343" s="5" t="str">
        <f t="shared" si="51"/>
        <v xml:space="preserve"> Mellenials </v>
      </c>
      <c r="Z343" s="9">
        <f t="shared" si="52"/>
        <v>21</v>
      </c>
      <c r="AA343" s="5" t="str">
        <f t="shared" si="53"/>
        <v>RAS</v>
      </c>
      <c r="AB343" s="5" t="s">
        <v>3806</v>
      </c>
      <c r="AC343" s="6" t="s">
        <v>3799</v>
      </c>
      <c r="AE343" s="5" t="s">
        <v>3845</v>
      </c>
      <c r="AF343" s="5" t="s">
        <v>4481</v>
      </c>
      <c r="AG343" s="5" t="s">
        <v>4485</v>
      </c>
      <c r="AH343" s="5" t="s">
        <v>4487</v>
      </c>
      <c r="AI343" s="5" t="s">
        <v>4088</v>
      </c>
      <c r="AJ343" s="5" t="s">
        <v>4089</v>
      </c>
      <c r="AK343" s="5" t="s">
        <v>4090</v>
      </c>
      <c r="AL343" s="5" t="s">
        <v>3854</v>
      </c>
    </row>
    <row r="344" spans="1:38" x14ac:dyDescent="0.3">
      <c r="A344" s="4">
        <v>45716</v>
      </c>
      <c r="B344" s="5" t="s">
        <v>1289</v>
      </c>
      <c r="C344" s="5" t="s">
        <v>1290</v>
      </c>
      <c r="D344" s="5" t="s">
        <v>1291</v>
      </c>
      <c r="E344" s="5" t="s">
        <v>4494</v>
      </c>
      <c r="G344" s="5" t="s">
        <v>88</v>
      </c>
      <c r="H344" s="5" t="s">
        <v>1292</v>
      </c>
      <c r="I344" s="5" t="s">
        <v>2724</v>
      </c>
      <c r="J344" s="5" t="s">
        <v>182</v>
      </c>
      <c r="K344" s="4">
        <v>40308</v>
      </c>
      <c r="L344" s="4">
        <v>40308</v>
      </c>
      <c r="M344" s="9">
        <f t="shared" si="45"/>
        <v>14</v>
      </c>
      <c r="N344" s="4" t="str">
        <f t="shared" si="47"/>
        <v>] 10 ; 15 ]</v>
      </c>
      <c r="O344" s="5" t="s">
        <v>3782</v>
      </c>
      <c r="P344" s="5" t="s">
        <v>3784</v>
      </c>
      <c r="Q344" s="5">
        <v>1</v>
      </c>
      <c r="R344" s="5" t="str">
        <f t="shared" si="48"/>
        <v>Management &amp; Expertise</v>
      </c>
      <c r="S344" s="5" t="s">
        <v>3789</v>
      </c>
      <c r="T344" s="4">
        <v>30678</v>
      </c>
      <c r="U344" s="5">
        <f t="shared" si="49"/>
        <v>1983</v>
      </c>
      <c r="V344" s="5" t="s">
        <v>3793</v>
      </c>
      <c r="W344" s="9">
        <f t="shared" si="46"/>
        <v>41</v>
      </c>
      <c r="X344" s="5" t="str">
        <f t="shared" si="50"/>
        <v>[40 - 44 ans]</v>
      </c>
      <c r="Y344" s="5" t="str">
        <f t="shared" si="51"/>
        <v xml:space="preserve"> Mellenials </v>
      </c>
      <c r="Z344" s="9">
        <f t="shared" si="52"/>
        <v>19</v>
      </c>
      <c r="AA344" s="5" t="str">
        <f t="shared" si="53"/>
        <v>RAS</v>
      </c>
      <c r="AB344" s="5" t="s">
        <v>3806</v>
      </c>
      <c r="AC344" s="6" t="s">
        <v>3799</v>
      </c>
      <c r="AE344" s="5" t="s">
        <v>3845</v>
      </c>
      <c r="AF344" s="5" t="s">
        <v>4481</v>
      </c>
      <c r="AG344" s="5" t="s">
        <v>4485</v>
      </c>
      <c r="AH344" s="5" t="s">
        <v>4488</v>
      </c>
      <c r="AI344" s="5" t="s">
        <v>4283</v>
      </c>
      <c r="AJ344" s="5" t="s">
        <v>4284</v>
      </c>
      <c r="AK344" s="5" t="s">
        <v>4285</v>
      </c>
      <c r="AL344" s="5" t="s">
        <v>3854</v>
      </c>
    </row>
    <row r="345" spans="1:38" x14ac:dyDescent="0.3">
      <c r="A345" s="4">
        <v>45716</v>
      </c>
      <c r="B345" s="5" t="s">
        <v>1293</v>
      </c>
      <c r="C345" s="5" t="s">
        <v>1294</v>
      </c>
      <c r="D345" s="5" t="s">
        <v>1295</v>
      </c>
      <c r="E345" s="5" t="s">
        <v>4494</v>
      </c>
      <c r="G345" s="5" t="s">
        <v>83</v>
      </c>
      <c r="H345" s="5" t="s">
        <v>1296</v>
      </c>
      <c r="I345" s="5" t="s">
        <v>3572</v>
      </c>
      <c r="J345" s="5" t="s">
        <v>1361</v>
      </c>
      <c r="K345" s="4">
        <v>40308</v>
      </c>
      <c r="L345" s="4">
        <v>40308</v>
      </c>
      <c r="M345" s="9">
        <f t="shared" si="45"/>
        <v>14</v>
      </c>
      <c r="N345" s="4" t="str">
        <f t="shared" si="47"/>
        <v>] 10 ; 15 ]</v>
      </c>
      <c r="O345" s="5" t="s">
        <v>3785</v>
      </c>
      <c r="P345" s="5" t="s">
        <v>3785</v>
      </c>
      <c r="Q345" s="5">
        <v>2</v>
      </c>
      <c r="R345" s="5" t="str">
        <f t="shared" si="48"/>
        <v>Specialisation</v>
      </c>
      <c r="S345" s="5" t="s">
        <v>3789</v>
      </c>
      <c r="T345" s="4">
        <v>29466</v>
      </c>
      <c r="U345" s="5">
        <f t="shared" si="49"/>
        <v>1980</v>
      </c>
      <c r="V345" s="5" t="s">
        <v>3793</v>
      </c>
      <c r="W345" s="9">
        <f t="shared" si="46"/>
        <v>44</v>
      </c>
      <c r="X345" s="5" t="str">
        <f t="shared" si="50"/>
        <v>[40 - 44 ans]</v>
      </c>
      <c r="Y345" s="5" t="str">
        <f t="shared" si="51"/>
        <v xml:space="preserve"> Generation X </v>
      </c>
      <c r="Z345" s="9">
        <f t="shared" si="52"/>
        <v>16</v>
      </c>
      <c r="AA345" s="5" t="str">
        <f t="shared" si="53"/>
        <v>RAS</v>
      </c>
      <c r="AB345" s="5" t="s">
        <v>3806</v>
      </c>
      <c r="AC345" s="6" t="s">
        <v>3799</v>
      </c>
      <c r="AE345" s="5" t="s">
        <v>3844</v>
      </c>
      <c r="AF345" s="5" t="s">
        <v>4481</v>
      </c>
      <c r="AG345" s="5" t="s">
        <v>4485</v>
      </c>
      <c r="AH345" s="5" t="s">
        <v>4489</v>
      </c>
      <c r="AI345" s="5" t="s">
        <v>4286</v>
      </c>
      <c r="AJ345" s="5" t="s">
        <v>4287</v>
      </c>
      <c r="AK345" s="5">
        <v>13120</v>
      </c>
      <c r="AL345" s="5" t="s">
        <v>3858</v>
      </c>
    </row>
    <row r="346" spans="1:38" x14ac:dyDescent="0.3">
      <c r="A346" s="4">
        <v>45716</v>
      </c>
      <c r="B346" s="5" t="s">
        <v>1297</v>
      </c>
      <c r="C346" s="5" t="s">
        <v>1298</v>
      </c>
      <c r="D346" s="5" t="s">
        <v>1299</v>
      </c>
      <c r="E346" s="5" t="s">
        <v>4494</v>
      </c>
      <c r="G346" s="5" t="s">
        <v>39</v>
      </c>
      <c r="H346" s="5" t="s">
        <v>339</v>
      </c>
      <c r="I346" s="5" t="s">
        <v>1795</v>
      </c>
      <c r="J346" s="5" t="s">
        <v>52</v>
      </c>
      <c r="K346" s="4">
        <v>40308</v>
      </c>
      <c r="L346" s="4">
        <v>40308</v>
      </c>
      <c r="M346" s="9">
        <f t="shared" si="45"/>
        <v>14</v>
      </c>
      <c r="N346" s="4" t="str">
        <f t="shared" si="47"/>
        <v>] 10 ; 15 ]</v>
      </c>
      <c r="O346" s="5" t="s">
        <v>3780</v>
      </c>
      <c r="P346" s="5" t="s">
        <v>3786</v>
      </c>
      <c r="Q346" s="5">
        <v>1</v>
      </c>
      <c r="R346" s="5" t="str">
        <f t="shared" si="48"/>
        <v>Qualification</v>
      </c>
      <c r="S346" s="5" t="s">
        <v>3789</v>
      </c>
      <c r="T346" s="4">
        <v>29659</v>
      </c>
      <c r="U346" s="5">
        <f t="shared" si="49"/>
        <v>1981</v>
      </c>
      <c r="V346" s="5" t="s">
        <v>3793</v>
      </c>
      <c r="W346" s="9">
        <f t="shared" si="46"/>
        <v>43</v>
      </c>
      <c r="X346" s="5" t="str">
        <f t="shared" si="50"/>
        <v>[40 - 44 ans]</v>
      </c>
      <c r="Y346" s="5" t="str">
        <f t="shared" si="51"/>
        <v xml:space="preserve"> Mellenials </v>
      </c>
      <c r="Z346" s="9">
        <f t="shared" si="52"/>
        <v>17</v>
      </c>
      <c r="AA346" s="5" t="str">
        <f t="shared" si="53"/>
        <v>RAS</v>
      </c>
      <c r="AB346" s="5" t="s">
        <v>3807</v>
      </c>
      <c r="AC346" s="6" t="s">
        <v>3799</v>
      </c>
      <c r="AE346" s="5" t="s">
        <v>3844</v>
      </c>
      <c r="AF346" s="5" t="s">
        <v>4482</v>
      </c>
      <c r="AG346" s="5" t="s">
        <v>4485</v>
      </c>
      <c r="AH346" s="5" t="s">
        <v>4489</v>
      </c>
      <c r="AI346" s="5" t="s">
        <v>4146</v>
      </c>
      <c r="AJ346" s="5" t="s">
        <v>4147</v>
      </c>
      <c r="AK346" s="5" t="s">
        <v>4148</v>
      </c>
      <c r="AL346" s="5" t="s">
        <v>3858</v>
      </c>
    </row>
    <row r="347" spans="1:38" x14ac:dyDescent="0.3">
      <c r="A347" s="4">
        <v>45716</v>
      </c>
      <c r="B347" s="5" t="s">
        <v>1300</v>
      </c>
      <c r="C347" s="5" t="s">
        <v>1301</v>
      </c>
      <c r="D347" s="5" t="s">
        <v>1302</v>
      </c>
      <c r="E347" s="5" t="s">
        <v>4494</v>
      </c>
      <c r="G347" s="5" t="s">
        <v>88</v>
      </c>
      <c r="H347" s="5" t="s">
        <v>1303</v>
      </c>
      <c r="I347" s="5" t="s">
        <v>165</v>
      </c>
      <c r="J347" s="5" t="s">
        <v>182</v>
      </c>
      <c r="K347" s="4">
        <v>40308</v>
      </c>
      <c r="L347" s="4">
        <v>40308</v>
      </c>
      <c r="M347" s="9">
        <f t="shared" si="45"/>
        <v>14</v>
      </c>
      <c r="N347" s="4" t="str">
        <f t="shared" si="47"/>
        <v>] 10 ; 15 ]</v>
      </c>
      <c r="O347" s="5" t="s">
        <v>3786</v>
      </c>
      <c r="P347" s="5" t="s">
        <v>3783</v>
      </c>
      <c r="Q347" s="5">
        <v>1</v>
      </c>
      <c r="R347" s="5" t="str">
        <f t="shared" si="48"/>
        <v>Specialisation</v>
      </c>
      <c r="S347" s="5" t="s">
        <v>3790</v>
      </c>
      <c r="T347" s="4">
        <v>29354</v>
      </c>
      <c r="U347" s="5">
        <f t="shared" si="49"/>
        <v>1980</v>
      </c>
      <c r="V347" s="5" t="s">
        <v>3793</v>
      </c>
      <c r="W347" s="9">
        <f t="shared" si="46"/>
        <v>44</v>
      </c>
      <c r="X347" s="5" t="str">
        <f t="shared" si="50"/>
        <v>[40 - 44 ans]</v>
      </c>
      <c r="Y347" s="5" t="str">
        <f t="shared" si="51"/>
        <v xml:space="preserve"> Generation X </v>
      </c>
      <c r="Z347" s="9">
        <f t="shared" si="52"/>
        <v>16</v>
      </c>
      <c r="AA347" s="5" t="str">
        <f t="shared" si="53"/>
        <v>RAS</v>
      </c>
      <c r="AB347" s="5" t="s">
        <v>3806</v>
      </c>
      <c r="AC347" s="6" t="s">
        <v>3799</v>
      </c>
      <c r="AE347" s="5" t="s">
        <v>3844</v>
      </c>
      <c r="AF347" s="5" t="s">
        <v>4482</v>
      </c>
      <c r="AG347" s="5" t="s">
        <v>4485</v>
      </c>
      <c r="AH347" s="5" t="s">
        <v>4488</v>
      </c>
      <c r="AI347" s="5" t="s">
        <v>3941</v>
      </c>
      <c r="AJ347" s="5" t="s">
        <v>3942</v>
      </c>
      <c r="AK347" s="5" t="s">
        <v>3943</v>
      </c>
      <c r="AL347" s="5" t="s">
        <v>3858</v>
      </c>
    </row>
    <row r="348" spans="1:38" x14ac:dyDescent="0.3">
      <c r="A348" s="4">
        <v>45716</v>
      </c>
      <c r="B348" s="5" t="s">
        <v>1304</v>
      </c>
      <c r="C348" s="5" t="s">
        <v>1305</v>
      </c>
      <c r="D348" s="5" t="s">
        <v>1306</v>
      </c>
      <c r="E348" s="5" t="s">
        <v>4494</v>
      </c>
      <c r="G348" s="5" t="s">
        <v>78</v>
      </c>
      <c r="H348" s="5" t="s">
        <v>1307</v>
      </c>
      <c r="I348" s="5" t="s">
        <v>1510</v>
      </c>
      <c r="J348" s="5" t="s">
        <v>1357</v>
      </c>
      <c r="K348" s="4">
        <v>40324</v>
      </c>
      <c r="L348" s="4">
        <v>40324</v>
      </c>
      <c r="M348" s="9">
        <f t="shared" si="45"/>
        <v>14</v>
      </c>
      <c r="N348" s="4" t="str">
        <f t="shared" si="47"/>
        <v>] 10 ; 15 ]</v>
      </c>
      <c r="O348" s="5" t="s">
        <v>3783</v>
      </c>
      <c r="P348" s="5" t="s">
        <v>3785</v>
      </c>
      <c r="Q348" s="5">
        <v>1</v>
      </c>
      <c r="R348" s="5" t="str">
        <f t="shared" si="48"/>
        <v>Specialisation</v>
      </c>
      <c r="S348" s="5" t="s">
        <v>3790</v>
      </c>
      <c r="T348" s="4">
        <v>28910</v>
      </c>
      <c r="U348" s="5">
        <f t="shared" si="49"/>
        <v>1979</v>
      </c>
      <c r="V348" s="5" t="s">
        <v>3793</v>
      </c>
      <c r="W348" s="9">
        <f t="shared" si="46"/>
        <v>46</v>
      </c>
      <c r="X348" s="5" t="str">
        <f t="shared" si="50"/>
        <v>[45 - 49 ans]</v>
      </c>
      <c r="Y348" s="5" t="str">
        <f t="shared" si="51"/>
        <v xml:space="preserve"> Generation X </v>
      </c>
      <c r="Z348" s="9">
        <f t="shared" si="52"/>
        <v>14</v>
      </c>
      <c r="AA348" s="5" t="str">
        <f t="shared" si="53"/>
        <v>RAS</v>
      </c>
      <c r="AB348" s="5" t="s">
        <v>3808</v>
      </c>
      <c r="AC348" s="6" t="s">
        <v>3799</v>
      </c>
      <c r="AE348" s="5" t="s">
        <v>3845</v>
      </c>
      <c r="AF348" s="5" t="s">
        <v>4482</v>
      </c>
      <c r="AG348" s="5" t="s">
        <v>4485</v>
      </c>
      <c r="AH348" s="5" t="s">
        <v>4488</v>
      </c>
      <c r="AI348" s="5" t="s">
        <v>4241</v>
      </c>
      <c r="AJ348" s="5" t="s">
        <v>4250</v>
      </c>
      <c r="AK348" s="5" t="s">
        <v>4242</v>
      </c>
      <c r="AL348" s="5" t="s">
        <v>3854</v>
      </c>
    </row>
    <row r="349" spans="1:38" x14ac:dyDescent="0.3">
      <c r="A349" s="4">
        <v>45716</v>
      </c>
      <c r="B349" s="5" t="s">
        <v>1308</v>
      </c>
      <c r="C349" s="5" t="s">
        <v>1309</v>
      </c>
      <c r="D349" s="5" t="s">
        <v>1310</v>
      </c>
      <c r="E349" s="5" t="s">
        <v>4494</v>
      </c>
      <c r="G349" s="5" t="s">
        <v>88</v>
      </c>
      <c r="H349" s="5" t="s">
        <v>1311</v>
      </c>
      <c r="I349" s="5" t="s">
        <v>1245</v>
      </c>
      <c r="J349" s="5" t="s">
        <v>182</v>
      </c>
      <c r="K349" s="4">
        <v>40330</v>
      </c>
      <c r="L349" s="4">
        <v>39106</v>
      </c>
      <c r="M349" s="9">
        <f t="shared" si="45"/>
        <v>18</v>
      </c>
      <c r="N349" s="4" t="str">
        <f t="shared" si="47"/>
        <v>] 15 ; +oo [</v>
      </c>
      <c r="O349" s="5" t="s">
        <v>3785</v>
      </c>
      <c r="P349" s="5" t="s">
        <v>3785</v>
      </c>
      <c r="Q349" s="5">
        <v>1</v>
      </c>
      <c r="R349" s="5" t="str">
        <f t="shared" si="48"/>
        <v>Specialisation</v>
      </c>
      <c r="S349" s="5" t="s">
        <v>3789</v>
      </c>
      <c r="T349" s="4">
        <v>30413</v>
      </c>
      <c r="U349" s="5">
        <f t="shared" si="49"/>
        <v>1983</v>
      </c>
      <c r="V349" s="5" t="s">
        <v>3793</v>
      </c>
      <c r="W349" s="9">
        <f t="shared" si="46"/>
        <v>41</v>
      </c>
      <c r="X349" s="5" t="str">
        <f t="shared" si="50"/>
        <v>[40 - 44 ans]</v>
      </c>
      <c r="Y349" s="5" t="str">
        <f t="shared" si="51"/>
        <v xml:space="preserve"> Mellenials </v>
      </c>
      <c r="Z349" s="9">
        <f t="shared" si="52"/>
        <v>19</v>
      </c>
      <c r="AA349" s="5" t="str">
        <f t="shared" si="53"/>
        <v>RAS</v>
      </c>
      <c r="AB349" s="5" t="s">
        <v>3805</v>
      </c>
      <c r="AC349" s="6" t="s">
        <v>3799</v>
      </c>
      <c r="AE349" s="5" t="s">
        <v>3845</v>
      </c>
      <c r="AF349" s="5" t="s">
        <v>4481</v>
      </c>
      <c r="AG349" s="5" t="s">
        <v>4485</v>
      </c>
      <c r="AH349" s="5" t="s">
        <v>4488</v>
      </c>
      <c r="AI349" s="5" t="s">
        <v>4140</v>
      </c>
      <c r="AJ349" s="5" t="s">
        <v>4141</v>
      </c>
      <c r="AK349" s="5">
        <v>11100</v>
      </c>
      <c r="AL349" s="5" t="s">
        <v>3858</v>
      </c>
    </row>
    <row r="350" spans="1:38" x14ac:dyDescent="0.3">
      <c r="A350" s="4">
        <v>45716</v>
      </c>
      <c r="B350" s="5" t="s">
        <v>1312</v>
      </c>
      <c r="C350" s="5" t="s">
        <v>1313</v>
      </c>
      <c r="D350" s="5" t="s">
        <v>1314</v>
      </c>
      <c r="E350" s="5" t="s">
        <v>4494</v>
      </c>
      <c r="G350" s="5" t="s">
        <v>88</v>
      </c>
      <c r="H350" s="5" t="s">
        <v>315</v>
      </c>
      <c r="I350" s="5" t="s">
        <v>182</v>
      </c>
      <c r="J350" s="5" t="s">
        <v>1857</v>
      </c>
      <c r="K350" s="4">
        <v>40339</v>
      </c>
      <c r="L350" s="4">
        <v>40339</v>
      </c>
      <c r="M350" s="9">
        <f t="shared" si="45"/>
        <v>14</v>
      </c>
      <c r="N350" s="4" t="str">
        <f t="shared" si="47"/>
        <v>] 10 ; 15 ]</v>
      </c>
      <c r="O350" s="5" t="s">
        <v>3786</v>
      </c>
      <c r="P350" s="5" t="s">
        <v>3780</v>
      </c>
      <c r="Q350" s="5">
        <v>1</v>
      </c>
      <c r="R350" s="5" t="str">
        <f t="shared" si="48"/>
        <v>Specialisation</v>
      </c>
      <c r="S350" s="5" t="s">
        <v>3790</v>
      </c>
      <c r="T350" s="4">
        <v>27718</v>
      </c>
      <c r="U350" s="5">
        <f t="shared" si="49"/>
        <v>1975</v>
      </c>
      <c r="V350" s="5" t="s">
        <v>3792</v>
      </c>
      <c r="W350" s="9">
        <f t="shared" si="46"/>
        <v>49</v>
      </c>
      <c r="X350" s="5" t="str">
        <f t="shared" si="50"/>
        <v>[45 - 49 ans]</v>
      </c>
      <c r="Y350" s="5" t="str">
        <f t="shared" si="51"/>
        <v xml:space="preserve"> Generation X </v>
      </c>
      <c r="Z350" s="9">
        <f t="shared" si="52"/>
        <v>11</v>
      </c>
      <c r="AA350" s="5" t="str">
        <f t="shared" si="53"/>
        <v>RAS</v>
      </c>
      <c r="AB350" s="5" t="s">
        <v>3806</v>
      </c>
      <c r="AC350" s="6" t="s">
        <v>3799</v>
      </c>
      <c r="AE350" s="5" t="s">
        <v>3844</v>
      </c>
      <c r="AF350" s="5" t="s">
        <v>4482</v>
      </c>
      <c r="AG350" s="5" t="s">
        <v>4485</v>
      </c>
      <c r="AH350" s="5" t="s">
        <v>4488</v>
      </c>
      <c r="AI350" s="5" t="s">
        <v>3952</v>
      </c>
      <c r="AJ350" s="5" t="s">
        <v>3953</v>
      </c>
      <c r="AK350" s="5" t="s">
        <v>3943</v>
      </c>
      <c r="AL350" s="5" t="s">
        <v>3858</v>
      </c>
    </row>
    <row r="351" spans="1:38" x14ac:dyDescent="0.3">
      <c r="A351" s="4">
        <v>45716</v>
      </c>
      <c r="B351" s="5" t="s">
        <v>1315</v>
      </c>
      <c r="C351" s="5" t="s">
        <v>1316</v>
      </c>
      <c r="D351" s="5" t="s">
        <v>1317</v>
      </c>
      <c r="E351" s="5" t="s">
        <v>4494</v>
      </c>
      <c r="G351" s="5" t="s">
        <v>24</v>
      </c>
      <c r="H351" s="5" t="s">
        <v>1318</v>
      </c>
      <c r="I351" s="5" t="s">
        <v>23</v>
      </c>
      <c r="J351" s="5" t="s">
        <v>2841</v>
      </c>
      <c r="K351" s="4">
        <v>40350</v>
      </c>
      <c r="L351" s="4">
        <v>40350</v>
      </c>
      <c r="M351" s="9">
        <f t="shared" si="45"/>
        <v>14</v>
      </c>
      <c r="N351" s="4" t="str">
        <f t="shared" si="47"/>
        <v>] 10 ; 15 ]</v>
      </c>
      <c r="O351" s="5" t="s">
        <v>3782</v>
      </c>
      <c r="P351" s="5" t="s">
        <v>3784</v>
      </c>
      <c r="Q351" s="5">
        <v>1</v>
      </c>
      <c r="R351" s="5" t="str">
        <f t="shared" si="48"/>
        <v>Management &amp; Expertise</v>
      </c>
      <c r="S351" s="5" t="s">
        <v>3789</v>
      </c>
      <c r="T351" s="4">
        <v>28163</v>
      </c>
      <c r="U351" s="5">
        <f t="shared" si="49"/>
        <v>1977</v>
      </c>
      <c r="V351" s="5" t="s">
        <v>3793</v>
      </c>
      <c r="W351" s="9">
        <f t="shared" si="46"/>
        <v>48</v>
      </c>
      <c r="X351" s="5" t="str">
        <f t="shared" si="50"/>
        <v>[45 - 49 ans]</v>
      </c>
      <c r="Y351" s="5" t="str">
        <f t="shared" si="51"/>
        <v xml:space="preserve"> Generation X </v>
      </c>
      <c r="Z351" s="9">
        <f t="shared" si="52"/>
        <v>12</v>
      </c>
      <c r="AA351" s="5" t="str">
        <f t="shared" si="53"/>
        <v>RAS</v>
      </c>
      <c r="AB351" s="5" t="s">
        <v>3805</v>
      </c>
      <c r="AC351" s="6" t="s">
        <v>3799</v>
      </c>
      <c r="AE351" s="5" t="s">
        <v>3845</v>
      </c>
      <c r="AF351" s="5" t="s">
        <v>4481</v>
      </c>
      <c r="AG351" s="5" t="s">
        <v>4485</v>
      </c>
      <c r="AH351" s="5" t="s">
        <v>4488</v>
      </c>
      <c r="AI351" s="5" t="s">
        <v>4133</v>
      </c>
      <c r="AJ351" s="5" t="s">
        <v>4134</v>
      </c>
      <c r="AK351" s="5" t="s">
        <v>3983</v>
      </c>
      <c r="AL351" s="5" t="s">
        <v>3854</v>
      </c>
    </row>
    <row r="352" spans="1:38" x14ac:dyDescent="0.3">
      <c r="A352" s="4">
        <v>45716</v>
      </c>
      <c r="B352" s="5" t="s">
        <v>1319</v>
      </c>
      <c r="C352" s="5" t="s">
        <v>1320</v>
      </c>
      <c r="D352" s="5" t="s">
        <v>1321</v>
      </c>
      <c r="E352" s="5" t="s">
        <v>4494</v>
      </c>
      <c r="G352" s="5" t="s">
        <v>88</v>
      </c>
      <c r="H352" s="5" t="s">
        <v>101</v>
      </c>
      <c r="I352" s="5" t="s">
        <v>795</v>
      </c>
      <c r="J352" s="5" t="s">
        <v>879</v>
      </c>
      <c r="K352" s="4">
        <v>40350</v>
      </c>
      <c r="L352" s="4">
        <v>40350</v>
      </c>
      <c r="M352" s="9">
        <f t="shared" si="45"/>
        <v>14</v>
      </c>
      <c r="N352" s="4" t="str">
        <f t="shared" si="47"/>
        <v>] 10 ; 15 ]</v>
      </c>
      <c r="O352" s="5" t="s">
        <v>3783</v>
      </c>
      <c r="P352" s="5" t="s">
        <v>3785</v>
      </c>
      <c r="Q352" s="5">
        <v>1</v>
      </c>
      <c r="R352" s="5" t="str">
        <f t="shared" si="48"/>
        <v>Specialisation</v>
      </c>
      <c r="S352" s="5" t="s">
        <v>3789</v>
      </c>
      <c r="T352" s="4">
        <v>29863</v>
      </c>
      <c r="U352" s="5">
        <f t="shared" si="49"/>
        <v>1981</v>
      </c>
      <c r="V352" s="5" t="s">
        <v>3793</v>
      </c>
      <c r="W352" s="9">
        <f t="shared" si="46"/>
        <v>43</v>
      </c>
      <c r="X352" s="5" t="str">
        <f t="shared" si="50"/>
        <v>[40 - 44 ans]</v>
      </c>
      <c r="Y352" s="5" t="str">
        <f t="shared" si="51"/>
        <v xml:space="preserve"> Mellenials </v>
      </c>
      <c r="Z352" s="9">
        <f t="shared" si="52"/>
        <v>17</v>
      </c>
      <c r="AA352" s="5" t="str">
        <f t="shared" si="53"/>
        <v>RAS</v>
      </c>
      <c r="AB352" s="5" t="s">
        <v>3820</v>
      </c>
      <c r="AC352" s="6" t="s">
        <v>3800</v>
      </c>
      <c r="AE352" s="5" t="s">
        <v>3844</v>
      </c>
      <c r="AF352" s="5" t="s">
        <v>4482</v>
      </c>
      <c r="AG352" s="5" t="s">
        <v>4485</v>
      </c>
      <c r="AH352" s="5" t="s">
        <v>4488</v>
      </c>
      <c r="AI352" s="5" t="s">
        <v>4197</v>
      </c>
      <c r="AJ352" s="5" t="s">
        <v>4223</v>
      </c>
      <c r="AK352" s="5" t="s">
        <v>4198</v>
      </c>
      <c r="AL352" s="5" t="s">
        <v>3858</v>
      </c>
    </row>
    <row r="353" spans="1:38" x14ac:dyDescent="0.3">
      <c r="A353" s="4">
        <v>45716</v>
      </c>
      <c r="B353" s="5" t="s">
        <v>1322</v>
      </c>
      <c r="C353" s="5" t="s">
        <v>1323</v>
      </c>
      <c r="D353" s="5" t="s">
        <v>1324</v>
      </c>
      <c r="E353" s="5" t="s">
        <v>4494</v>
      </c>
      <c r="G353" s="5" t="s">
        <v>88</v>
      </c>
      <c r="H353" s="5" t="s">
        <v>456</v>
      </c>
      <c r="I353" s="5" t="s">
        <v>2020</v>
      </c>
      <c r="J353" s="5" t="s">
        <v>883</v>
      </c>
      <c r="K353" s="4">
        <v>40360</v>
      </c>
      <c r="L353" s="4">
        <v>40360</v>
      </c>
      <c r="M353" s="9">
        <f t="shared" si="45"/>
        <v>14</v>
      </c>
      <c r="N353" s="4" t="str">
        <f t="shared" si="47"/>
        <v>] 10 ; 15 ]</v>
      </c>
      <c r="O353" s="5" t="s">
        <v>3780</v>
      </c>
      <c r="P353" s="5" t="s">
        <v>3786</v>
      </c>
      <c r="Q353" s="5">
        <v>1</v>
      </c>
      <c r="R353" s="5" t="str">
        <f t="shared" si="48"/>
        <v>Qualification</v>
      </c>
      <c r="S353" s="5" t="s">
        <v>3790</v>
      </c>
      <c r="T353" s="4">
        <v>30173</v>
      </c>
      <c r="U353" s="5">
        <f t="shared" si="49"/>
        <v>1982</v>
      </c>
      <c r="V353" s="5" t="s">
        <v>3793</v>
      </c>
      <c r="W353" s="9">
        <f t="shared" si="46"/>
        <v>42</v>
      </c>
      <c r="X353" s="5" t="str">
        <f t="shared" si="50"/>
        <v>[40 - 44 ans]</v>
      </c>
      <c r="Y353" s="5" t="str">
        <f t="shared" si="51"/>
        <v xml:space="preserve"> Mellenials </v>
      </c>
      <c r="Z353" s="9">
        <f t="shared" si="52"/>
        <v>18</v>
      </c>
      <c r="AA353" s="5" t="str">
        <f t="shared" si="53"/>
        <v>RAS</v>
      </c>
      <c r="AB353" s="5" t="s">
        <v>3811</v>
      </c>
      <c r="AC353" s="6" t="s">
        <v>3801</v>
      </c>
      <c r="AE353" s="5" t="s">
        <v>3844</v>
      </c>
      <c r="AF353" s="5" t="s">
        <v>4482</v>
      </c>
      <c r="AG353" s="5" t="s">
        <v>4485</v>
      </c>
      <c r="AH353" s="5" t="s">
        <v>4488</v>
      </c>
      <c r="AI353" s="5" t="s">
        <v>4072</v>
      </c>
      <c r="AJ353" s="5" t="s">
        <v>4073</v>
      </c>
      <c r="AK353" s="5" t="s">
        <v>4074</v>
      </c>
      <c r="AL353" s="5" t="s">
        <v>3858</v>
      </c>
    </row>
    <row r="354" spans="1:38" x14ac:dyDescent="0.3">
      <c r="A354" s="4">
        <v>45716</v>
      </c>
      <c r="B354" s="5" t="s">
        <v>1325</v>
      </c>
      <c r="C354" s="5" t="s">
        <v>1326</v>
      </c>
      <c r="D354" s="5" t="s">
        <v>1327</v>
      </c>
      <c r="E354" s="5" t="s">
        <v>4494</v>
      </c>
      <c r="G354" s="5" t="s">
        <v>88</v>
      </c>
      <c r="H354" s="5" t="s">
        <v>456</v>
      </c>
      <c r="I354" s="5" t="s">
        <v>2020</v>
      </c>
      <c r="J354" s="5" t="s">
        <v>883</v>
      </c>
      <c r="K354" s="4">
        <v>40360</v>
      </c>
      <c r="L354" s="4">
        <v>40360</v>
      </c>
      <c r="M354" s="9">
        <f t="shared" si="45"/>
        <v>14</v>
      </c>
      <c r="N354" s="4" t="str">
        <f t="shared" si="47"/>
        <v>] 10 ; 15 ]</v>
      </c>
      <c r="O354" s="5" t="s">
        <v>3780</v>
      </c>
      <c r="P354" s="5" t="s">
        <v>3786</v>
      </c>
      <c r="Q354" s="5">
        <v>1</v>
      </c>
      <c r="R354" s="5" t="str">
        <f t="shared" si="48"/>
        <v>Qualification</v>
      </c>
      <c r="S354" s="5" t="s">
        <v>3789</v>
      </c>
      <c r="T354" s="4">
        <v>29760</v>
      </c>
      <c r="U354" s="5">
        <f t="shared" si="49"/>
        <v>1981</v>
      </c>
      <c r="V354" s="5" t="s">
        <v>3793</v>
      </c>
      <c r="W354" s="9">
        <f t="shared" si="46"/>
        <v>43</v>
      </c>
      <c r="X354" s="5" t="str">
        <f t="shared" si="50"/>
        <v>[40 - 44 ans]</v>
      </c>
      <c r="Y354" s="5" t="str">
        <f t="shared" si="51"/>
        <v xml:space="preserve"> Mellenials </v>
      </c>
      <c r="Z354" s="9">
        <f t="shared" si="52"/>
        <v>17</v>
      </c>
      <c r="AA354" s="5" t="str">
        <f t="shared" si="53"/>
        <v>RAS</v>
      </c>
      <c r="AB354" s="5" t="s">
        <v>3811</v>
      </c>
      <c r="AC354" s="6" t="s">
        <v>3801</v>
      </c>
      <c r="AE354" s="5" t="s">
        <v>3844</v>
      </c>
      <c r="AF354" s="5" t="s">
        <v>4482</v>
      </c>
      <c r="AG354" s="5" t="s">
        <v>4485</v>
      </c>
      <c r="AH354" s="5" t="s">
        <v>4488</v>
      </c>
      <c r="AI354" s="5" t="s">
        <v>4072</v>
      </c>
      <c r="AJ354" s="5" t="s">
        <v>4073</v>
      </c>
      <c r="AK354" s="5" t="s">
        <v>4074</v>
      </c>
      <c r="AL354" s="5" t="s">
        <v>3858</v>
      </c>
    </row>
    <row r="355" spans="1:38" x14ac:dyDescent="0.3">
      <c r="A355" s="4">
        <v>45716</v>
      </c>
      <c r="B355" s="5" t="s">
        <v>1328</v>
      </c>
      <c r="C355" s="5" t="s">
        <v>1329</v>
      </c>
      <c r="D355" s="5" t="s">
        <v>1330</v>
      </c>
      <c r="E355" s="5" t="s">
        <v>4494</v>
      </c>
      <c r="G355" s="5" t="s">
        <v>88</v>
      </c>
      <c r="H355" s="5" t="s">
        <v>1331</v>
      </c>
      <c r="I355" s="5" t="s">
        <v>2172</v>
      </c>
      <c r="J355" s="5" t="s">
        <v>2724</v>
      </c>
      <c r="K355" s="4">
        <v>40360</v>
      </c>
      <c r="L355" s="4">
        <v>40360</v>
      </c>
      <c r="M355" s="9">
        <f t="shared" si="45"/>
        <v>14</v>
      </c>
      <c r="N355" s="4" t="str">
        <f t="shared" si="47"/>
        <v>] 10 ; 15 ]</v>
      </c>
      <c r="O355" s="5" t="s">
        <v>3783</v>
      </c>
      <c r="P355" s="5" t="s">
        <v>3783</v>
      </c>
      <c r="Q355" s="5">
        <v>1</v>
      </c>
      <c r="R355" s="5" t="str">
        <f t="shared" si="48"/>
        <v>Specialisation</v>
      </c>
      <c r="S355" s="5" t="s">
        <v>3789</v>
      </c>
      <c r="T355" s="4">
        <v>30812</v>
      </c>
      <c r="U355" s="5">
        <f t="shared" si="49"/>
        <v>1984</v>
      </c>
      <c r="V355" s="5" t="s">
        <v>3793</v>
      </c>
      <c r="W355" s="9">
        <f t="shared" si="46"/>
        <v>40</v>
      </c>
      <c r="X355" s="5" t="str">
        <f t="shared" si="50"/>
        <v>[40 - 44 ans]</v>
      </c>
      <c r="Y355" s="5" t="str">
        <f t="shared" si="51"/>
        <v xml:space="preserve"> Mellenials </v>
      </c>
      <c r="Z355" s="9">
        <f t="shared" si="52"/>
        <v>20</v>
      </c>
      <c r="AA355" s="5" t="str">
        <f t="shared" si="53"/>
        <v>RAS</v>
      </c>
      <c r="AB355" s="5" t="s">
        <v>3810</v>
      </c>
      <c r="AC355" s="6" t="s">
        <v>3801</v>
      </c>
      <c r="AE355" s="5" t="s">
        <v>3844</v>
      </c>
      <c r="AF355" s="5" t="s">
        <v>4482</v>
      </c>
      <c r="AG355" s="5" t="s">
        <v>4485</v>
      </c>
      <c r="AH355" s="5" t="s">
        <v>4488</v>
      </c>
      <c r="AI355" s="5" t="s">
        <v>4246</v>
      </c>
      <c r="AJ355" s="5" t="s">
        <v>4247</v>
      </c>
      <c r="AK355" s="5" t="s">
        <v>4211</v>
      </c>
      <c r="AL355" s="5" t="s">
        <v>3858</v>
      </c>
    </row>
    <row r="356" spans="1:38" x14ac:dyDescent="0.3">
      <c r="A356" s="4">
        <v>45716</v>
      </c>
      <c r="B356" s="5" t="s">
        <v>1332</v>
      </c>
      <c r="C356" s="5" t="s">
        <v>1333</v>
      </c>
      <c r="D356" s="5" t="s">
        <v>1334</v>
      </c>
      <c r="E356" s="5" t="s">
        <v>4494</v>
      </c>
      <c r="G356" s="5" t="s">
        <v>39</v>
      </c>
      <c r="H356" s="5" t="s">
        <v>4501</v>
      </c>
      <c r="I356" s="5" t="s">
        <v>4512</v>
      </c>
      <c r="J356" s="5" t="s">
        <v>4513</v>
      </c>
      <c r="K356" s="4">
        <v>40360</v>
      </c>
      <c r="L356" s="4">
        <v>40360</v>
      </c>
      <c r="M356" s="9">
        <f t="shared" si="45"/>
        <v>14</v>
      </c>
      <c r="N356" s="4" t="str">
        <f t="shared" si="47"/>
        <v>] 10 ; 15 ]</v>
      </c>
      <c r="O356" s="5" t="s">
        <v>3785</v>
      </c>
      <c r="P356" s="5" t="s">
        <v>3782</v>
      </c>
      <c r="Q356" s="5">
        <v>1</v>
      </c>
      <c r="R356" s="5" t="str">
        <f t="shared" si="48"/>
        <v>Specialisation</v>
      </c>
      <c r="S356" s="5" t="s">
        <v>3789</v>
      </c>
      <c r="T356" s="4">
        <v>30811</v>
      </c>
      <c r="U356" s="5">
        <f t="shared" si="49"/>
        <v>1984</v>
      </c>
      <c r="V356" s="5" t="s">
        <v>3792</v>
      </c>
      <c r="W356" s="9">
        <f t="shared" si="46"/>
        <v>40</v>
      </c>
      <c r="X356" s="5" t="str">
        <f t="shared" si="50"/>
        <v>[40 - 44 ans]</v>
      </c>
      <c r="Y356" s="5" t="str">
        <f t="shared" si="51"/>
        <v xml:space="preserve"> Mellenials </v>
      </c>
      <c r="Z356" s="9">
        <f t="shared" si="52"/>
        <v>20</v>
      </c>
      <c r="AA356" s="5" t="str">
        <f t="shared" si="53"/>
        <v>RAS</v>
      </c>
      <c r="AB356" s="5" t="s">
        <v>3807</v>
      </c>
      <c r="AC356" s="6" t="s">
        <v>3799</v>
      </c>
      <c r="AE356" s="5" t="s">
        <v>3844</v>
      </c>
      <c r="AF356" s="5" t="s">
        <v>4481</v>
      </c>
      <c r="AG356" s="5" t="s">
        <v>4485</v>
      </c>
      <c r="AH356" s="5" t="s">
        <v>4489</v>
      </c>
      <c r="AI356" s="5" t="s">
        <v>4026</v>
      </c>
      <c r="AJ356" s="5" t="s">
        <v>4027</v>
      </c>
      <c r="AK356" s="5">
        <v>14100</v>
      </c>
      <c r="AL356" s="5" t="s">
        <v>3858</v>
      </c>
    </row>
    <row r="357" spans="1:38" x14ac:dyDescent="0.3">
      <c r="A357" s="4">
        <v>45716</v>
      </c>
      <c r="B357" s="5" t="s">
        <v>1335</v>
      </c>
      <c r="C357" s="5" t="s">
        <v>1336</v>
      </c>
      <c r="D357" s="5" t="s">
        <v>1337</v>
      </c>
      <c r="E357" s="5" t="s">
        <v>4494</v>
      </c>
      <c r="G357" s="5" t="s">
        <v>39</v>
      </c>
      <c r="H357" s="5" t="s">
        <v>331</v>
      </c>
      <c r="I357" s="5" t="s">
        <v>1268</v>
      </c>
      <c r="J357" s="5" t="s">
        <v>52</v>
      </c>
      <c r="K357" s="4">
        <v>40360</v>
      </c>
      <c r="L357" s="4">
        <v>40360</v>
      </c>
      <c r="M357" s="9">
        <f t="shared" si="45"/>
        <v>14</v>
      </c>
      <c r="N357" s="4" t="str">
        <f t="shared" si="47"/>
        <v>] 10 ; 15 ]</v>
      </c>
      <c r="O357" s="5" t="s">
        <v>3786</v>
      </c>
      <c r="P357" s="5" t="s">
        <v>3786</v>
      </c>
      <c r="Q357" s="5">
        <v>1</v>
      </c>
      <c r="R357" s="5" t="str">
        <f t="shared" si="48"/>
        <v>Specialisation</v>
      </c>
      <c r="S357" s="5" t="s">
        <v>3789</v>
      </c>
      <c r="T357" s="4">
        <v>30698</v>
      </c>
      <c r="U357" s="5">
        <f t="shared" si="49"/>
        <v>1984</v>
      </c>
      <c r="V357" s="5" t="s">
        <v>3793</v>
      </c>
      <c r="W357" s="9">
        <f t="shared" si="46"/>
        <v>41</v>
      </c>
      <c r="X357" s="5" t="str">
        <f t="shared" si="50"/>
        <v>[40 - 44 ans]</v>
      </c>
      <c r="Y357" s="5" t="str">
        <f t="shared" si="51"/>
        <v xml:space="preserve"> Mellenials </v>
      </c>
      <c r="Z357" s="9">
        <f t="shared" si="52"/>
        <v>19</v>
      </c>
      <c r="AA357" s="5" t="str">
        <f t="shared" si="53"/>
        <v>RAS</v>
      </c>
      <c r="AB357" s="5" t="s">
        <v>3807</v>
      </c>
      <c r="AC357" s="6" t="s">
        <v>3799</v>
      </c>
      <c r="AE357" s="5" t="s">
        <v>3844</v>
      </c>
      <c r="AF357" s="5" t="s">
        <v>4482</v>
      </c>
      <c r="AG357" s="5" t="s">
        <v>4485</v>
      </c>
      <c r="AH357" s="5" t="s">
        <v>4489</v>
      </c>
      <c r="AI357" s="5" t="s">
        <v>4013</v>
      </c>
      <c r="AJ357" s="5" t="s">
        <v>4014</v>
      </c>
      <c r="AK357" s="5" t="s">
        <v>4015</v>
      </c>
      <c r="AL357" s="5" t="s">
        <v>3858</v>
      </c>
    </row>
    <row r="358" spans="1:38" x14ac:dyDescent="0.3">
      <c r="A358" s="4">
        <v>45716</v>
      </c>
      <c r="B358" s="5" t="s">
        <v>1338</v>
      </c>
      <c r="C358" s="5" t="s">
        <v>1339</v>
      </c>
      <c r="D358" s="5" t="s">
        <v>1340</v>
      </c>
      <c r="E358" s="5" t="s">
        <v>4494</v>
      </c>
      <c r="G358" s="5" t="s">
        <v>78</v>
      </c>
      <c r="H358" s="5" t="s">
        <v>1087</v>
      </c>
      <c r="I358" s="5" t="s">
        <v>2069</v>
      </c>
      <c r="J358" s="5" t="s">
        <v>1518</v>
      </c>
      <c r="K358" s="4">
        <v>40360</v>
      </c>
      <c r="L358" s="4">
        <v>40360</v>
      </c>
      <c r="M358" s="9">
        <f t="shared" si="45"/>
        <v>14</v>
      </c>
      <c r="N358" s="4" t="str">
        <f t="shared" si="47"/>
        <v>] 10 ; 15 ]</v>
      </c>
      <c r="O358" s="5" t="s">
        <v>3788</v>
      </c>
      <c r="P358" s="5" t="s">
        <v>3780</v>
      </c>
      <c r="Q358" s="5">
        <v>1</v>
      </c>
      <c r="R358" s="5" t="str">
        <f t="shared" si="48"/>
        <v>Qualification</v>
      </c>
      <c r="S358" s="5" t="s">
        <v>3789</v>
      </c>
      <c r="T358" s="4">
        <v>29869</v>
      </c>
      <c r="U358" s="5">
        <f t="shared" si="49"/>
        <v>1981</v>
      </c>
      <c r="V358" s="5" t="s">
        <v>3793</v>
      </c>
      <c r="W358" s="9">
        <f t="shared" si="46"/>
        <v>43</v>
      </c>
      <c r="X358" s="5" t="str">
        <f t="shared" si="50"/>
        <v>[40 - 44 ans]</v>
      </c>
      <c r="Y358" s="5" t="str">
        <f t="shared" si="51"/>
        <v xml:space="preserve"> Mellenials </v>
      </c>
      <c r="Z358" s="9">
        <f t="shared" si="52"/>
        <v>17</v>
      </c>
      <c r="AA358" s="5" t="str">
        <f t="shared" si="53"/>
        <v>RAS</v>
      </c>
      <c r="AB358" s="5" t="s">
        <v>3808</v>
      </c>
      <c r="AC358" s="6" t="s">
        <v>3799</v>
      </c>
      <c r="AE358" s="5" t="s">
        <v>3844</v>
      </c>
      <c r="AF358" s="5" t="s">
        <v>4482</v>
      </c>
      <c r="AG358" s="5" t="s">
        <v>4485</v>
      </c>
      <c r="AH358" s="5" t="s">
        <v>4488</v>
      </c>
      <c r="AI358" s="5" t="s">
        <v>4104</v>
      </c>
      <c r="AJ358" s="5" t="s">
        <v>4105</v>
      </c>
      <c r="AK358" s="5" t="s">
        <v>4090</v>
      </c>
      <c r="AL358" s="5" t="s">
        <v>3858</v>
      </c>
    </row>
    <row r="359" spans="1:38" x14ac:dyDescent="0.3">
      <c r="A359" s="4">
        <v>45716</v>
      </c>
      <c r="B359" s="5" t="s">
        <v>1341</v>
      </c>
      <c r="C359" s="5" t="s">
        <v>1342</v>
      </c>
      <c r="D359" s="5" t="s">
        <v>1343</v>
      </c>
      <c r="E359" s="5" t="s">
        <v>4494</v>
      </c>
      <c r="G359" s="5" t="s">
        <v>88</v>
      </c>
      <c r="H359" s="5" t="s">
        <v>456</v>
      </c>
      <c r="I359" s="5" t="s">
        <v>741</v>
      </c>
      <c r="J359" s="5" t="s">
        <v>883</v>
      </c>
      <c r="K359" s="4">
        <v>40360</v>
      </c>
      <c r="L359" s="4">
        <v>40360</v>
      </c>
      <c r="M359" s="9">
        <f t="shared" si="45"/>
        <v>14</v>
      </c>
      <c r="N359" s="4" t="str">
        <f t="shared" si="47"/>
        <v>] 10 ; 15 ]</v>
      </c>
      <c r="O359" s="5" t="s">
        <v>3780</v>
      </c>
      <c r="P359" s="5" t="s">
        <v>3780</v>
      </c>
      <c r="Q359" s="5">
        <v>2</v>
      </c>
      <c r="R359" s="5" t="str">
        <f t="shared" si="48"/>
        <v>Qualification</v>
      </c>
      <c r="S359" s="5" t="s">
        <v>3789</v>
      </c>
      <c r="T359" s="4">
        <v>29512</v>
      </c>
      <c r="U359" s="5">
        <f t="shared" si="49"/>
        <v>1980</v>
      </c>
      <c r="V359" s="5" t="s">
        <v>3793</v>
      </c>
      <c r="W359" s="9">
        <f t="shared" si="46"/>
        <v>44</v>
      </c>
      <c r="X359" s="5" t="str">
        <f t="shared" si="50"/>
        <v>[40 - 44 ans]</v>
      </c>
      <c r="Y359" s="5" t="str">
        <f t="shared" si="51"/>
        <v xml:space="preserve"> Generation X </v>
      </c>
      <c r="Z359" s="9">
        <f t="shared" si="52"/>
        <v>16</v>
      </c>
      <c r="AA359" s="5" t="str">
        <f t="shared" si="53"/>
        <v>RAS</v>
      </c>
      <c r="AB359" s="5" t="s">
        <v>3827</v>
      </c>
      <c r="AC359" s="6" t="s">
        <v>3799</v>
      </c>
      <c r="AE359" s="5" t="s">
        <v>3844</v>
      </c>
      <c r="AF359" s="5" t="s">
        <v>4482</v>
      </c>
      <c r="AG359" s="5" t="s">
        <v>4485</v>
      </c>
      <c r="AH359" s="5" t="s">
        <v>4488</v>
      </c>
      <c r="AI359" s="5" t="s">
        <v>4184</v>
      </c>
      <c r="AJ359" s="5" t="s">
        <v>4185</v>
      </c>
      <c r="AK359" s="5" t="s">
        <v>4288</v>
      </c>
      <c r="AL359" s="5" t="s">
        <v>3858</v>
      </c>
    </row>
    <row r="360" spans="1:38" x14ac:dyDescent="0.3">
      <c r="A360" s="4">
        <v>45716</v>
      </c>
      <c r="B360" s="5" t="s">
        <v>1344</v>
      </c>
      <c r="C360" s="5" t="s">
        <v>1345</v>
      </c>
      <c r="D360" s="5" t="s">
        <v>1346</v>
      </c>
      <c r="E360" s="5" t="s">
        <v>4494</v>
      </c>
      <c r="G360" s="5" t="s">
        <v>137</v>
      </c>
      <c r="H360" s="5" t="s">
        <v>1347</v>
      </c>
      <c r="I360" s="5" t="s">
        <v>2841</v>
      </c>
      <c r="J360" s="5" t="s">
        <v>2841</v>
      </c>
      <c r="K360" s="4">
        <v>40378</v>
      </c>
      <c r="L360" s="4">
        <v>40378</v>
      </c>
      <c r="M360" s="9">
        <f t="shared" si="45"/>
        <v>14</v>
      </c>
      <c r="N360" s="4" t="str">
        <f t="shared" si="47"/>
        <v>] 10 ; 15 ]</v>
      </c>
      <c r="O360" s="5" t="s">
        <v>3779</v>
      </c>
      <c r="P360" s="5" t="s">
        <v>3779</v>
      </c>
      <c r="Q360" s="5">
        <v>1</v>
      </c>
      <c r="R360" s="5" t="str">
        <f t="shared" si="48"/>
        <v>Management &amp; Expertise</v>
      </c>
      <c r="S360" s="5" t="s">
        <v>3790</v>
      </c>
      <c r="T360" s="4">
        <v>26968</v>
      </c>
      <c r="U360" s="5">
        <f t="shared" si="49"/>
        <v>1973</v>
      </c>
      <c r="V360" s="5" t="s">
        <v>3793</v>
      </c>
      <c r="W360" s="9">
        <f t="shared" si="46"/>
        <v>51</v>
      </c>
      <c r="X360" s="5" t="str">
        <f t="shared" si="50"/>
        <v>[50 ans, +oo [</v>
      </c>
      <c r="Y360" s="5" t="str">
        <f t="shared" si="51"/>
        <v xml:space="preserve"> Generation X </v>
      </c>
      <c r="Z360" s="9">
        <f t="shared" si="52"/>
        <v>9</v>
      </c>
      <c r="AA360" s="5" t="str">
        <f t="shared" si="53"/>
        <v>RAS</v>
      </c>
      <c r="AB360" s="5" t="s">
        <v>3806</v>
      </c>
      <c r="AC360" s="6" t="s">
        <v>3799</v>
      </c>
      <c r="AE360" s="5" t="s">
        <v>3845</v>
      </c>
      <c r="AF360" s="5" t="s">
        <v>4481</v>
      </c>
      <c r="AG360" s="5" t="s">
        <v>4484</v>
      </c>
      <c r="AH360" s="5" t="s">
        <v>4487</v>
      </c>
      <c r="AI360" s="5" t="s">
        <v>4049</v>
      </c>
      <c r="AJ360" s="5" t="s">
        <v>4050</v>
      </c>
      <c r="AK360" s="5" t="s">
        <v>3925</v>
      </c>
      <c r="AL360" s="5" t="s">
        <v>3854</v>
      </c>
    </row>
    <row r="361" spans="1:38" x14ac:dyDescent="0.3">
      <c r="A361" s="4">
        <v>45716</v>
      </c>
      <c r="B361" s="5" t="s">
        <v>1348</v>
      </c>
      <c r="C361" s="5" t="s">
        <v>1349</v>
      </c>
      <c r="D361" s="5" t="s">
        <v>1350</v>
      </c>
      <c r="E361" s="5" t="s">
        <v>4494</v>
      </c>
      <c r="G361" s="5" t="s">
        <v>243</v>
      </c>
      <c r="H361" s="5" t="s">
        <v>1351</v>
      </c>
      <c r="I361" s="5" t="s">
        <v>1272</v>
      </c>
      <c r="J361" s="5" t="s">
        <v>1857</v>
      </c>
      <c r="K361" s="4">
        <v>40392</v>
      </c>
      <c r="L361" s="4">
        <v>40452</v>
      </c>
      <c r="M361" s="9">
        <f t="shared" si="45"/>
        <v>14</v>
      </c>
      <c r="N361" s="4" t="str">
        <f t="shared" si="47"/>
        <v>] 10 ; 15 ]</v>
      </c>
      <c r="O361" s="5" t="s">
        <v>3782</v>
      </c>
      <c r="P361" s="5" t="s">
        <v>3782</v>
      </c>
      <c r="Q361" s="5">
        <v>1</v>
      </c>
      <c r="R361" s="5" t="str">
        <f t="shared" si="48"/>
        <v>Management &amp; Expertise</v>
      </c>
      <c r="S361" s="5" t="s">
        <v>3790</v>
      </c>
      <c r="T361" s="4">
        <v>32064</v>
      </c>
      <c r="U361" s="5">
        <f t="shared" si="49"/>
        <v>1987</v>
      </c>
      <c r="V361" s="5" t="s">
        <v>3793</v>
      </c>
      <c r="W361" s="9">
        <f t="shared" si="46"/>
        <v>37</v>
      </c>
      <c r="X361" s="5" t="str">
        <f t="shared" si="50"/>
        <v>[35 - 39 ans ]</v>
      </c>
      <c r="Y361" s="5" t="str">
        <f t="shared" si="51"/>
        <v xml:space="preserve"> Mellenials </v>
      </c>
      <c r="Z361" s="9">
        <f t="shared" si="52"/>
        <v>23</v>
      </c>
      <c r="AA361" s="5" t="str">
        <f t="shared" si="53"/>
        <v>RAS</v>
      </c>
      <c r="AB361" s="5" t="s">
        <v>3806</v>
      </c>
      <c r="AC361" s="6" t="s">
        <v>3799</v>
      </c>
      <c r="AE361" s="5" t="s">
        <v>3845</v>
      </c>
      <c r="AF361" s="5" t="s">
        <v>4481</v>
      </c>
      <c r="AG361" s="5" t="s">
        <v>4485</v>
      </c>
      <c r="AH361" s="5" t="s">
        <v>4487</v>
      </c>
      <c r="AI361" s="5" t="s">
        <v>4281</v>
      </c>
      <c r="AJ361" s="5" t="s">
        <v>4087</v>
      </c>
      <c r="AK361" s="5" t="s">
        <v>3977</v>
      </c>
      <c r="AL361" s="5" t="s">
        <v>3854</v>
      </c>
    </row>
    <row r="362" spans="1:38" x14ac:dyDescent="0.3">
      <c r="A362" s="4">
        <v>45716</v>
      </c>
      <c r="B362" s="5" t="s">
        <v>1352</v>
      </c>
      <c r="C362" s="5" t="s">
        <v>1353</v>
      </c>
      <c r="D362" s="5" t="s">
        <v>1354</v>
      </c>
      <c r="E362" s="5" t="s">
        <v>4494</v>
      </c>
      <c r="G362" s="5" t="s">
        <v>39</v>
      </c>
      <c r="H362" s="5" t="s">
        <v>191</v>
      </c>
      <c r="I362" s="5" t="s">
        <v>205</v>
      </c>
      <c r="J362" s="5" t="s">
        <v>1372</v>
      </c>
      <c r="K362" s="4">
        <v>40393</v>
      </c>
      <c r="L362" s="4">
        <v>40393</v>
      </c>
      <c r="M362" s="9">
        <f t="shared" si="45"/>
        <v>14</v>
      </c>
      <c r="N362" s="4" t="str">
        <f t="shared" si="47"/>
        <v>] 10 ; 15 ]</v>
      </c>
      <c r="O362" s="5" t="s">
        <v>3786</v>
      </c>
      <c r="P362" s="5" t="s">
        <v>3783</v>
      </c>
      <c r="Q362" s="5">
        <v>1</v>
      </c>
      <c r="R362" s="5" t="str">
        <f t="shared" si="48"/>
        <v>Specialisation</v>
      </c>
      <c r="S362" s="5" t="s">
        <v>3789</v>
      </c>
      <c r="T362" s="4">
        <v>30958</v>
      </c>
      <c r="U362" s="5">
        <f t="shared" si="49"/>
        <v>1984</v>
      </c>
      <c r="V362" s="5" t="s">
        <v>3792</v>
      </c>
      <c r="W362" s="9">
        <f t="shared" si="46"/>
        <v>40</v>
      </c>
      <c r="X362" s="5" t="str">
        <f t="shared" si="50"/>
        <v>[40 - 44 ans]</v>
      </c>
      <c r="Y362" s="5" t="str">
        <f t="shared" si="51"/>
        <v xml:space="preserve"> Mellenials </v>
      </c>
      <c r="Z362" s="9">
        <f t="shared" si="52"/>
        <v>20</v>
      </c>
      <c r="AA362" s="5" t="str">
        <f t="shared" si="53"/>
        <v>RAS</v>
      </c>
      <c r="AB362" s="5" t="s">
        <v>3820</v>
      </c>
      <c r="AC362" s="6" t="s">
        <v>3800</v>
      </c>
      <c r="AE362" s="5" t="s">
        <v>3844</v>
      </c>
      <c r="AF362" s="5" t="s">
        <v>4482</v>
      </c>
      <c r="AG362" s="5" t="s">
        <v>4485</v>
      </c>
      <c r="AH362" s="5" t="s">
        <v>4489</v>
      </c>
      <c r="AI362" s="5" t="s">
        <v>3954</v>
      </c>
      <c r="AJ362" s="5" t="s">
        <v>3955</v>
      </c>
      <c r="AK362" s="5" t="s">
        <v>3956</v>
      </c>
      <c r="AL362" s="5" t="s">
        <v>3858</v>
      </c>
    </row>
    <row r="363" spans="1:38" x14ac:dyDescent="0.3">
      <c r="A363" s="4">
        <v>45716</v>
      </c>
      <c r="B363" s="5" t="s">
        <v>1355</v>
      </c>
      <c r="C363" s="5" t="s">
        <v>1356</v>
      </c>
      <c r="D363" s="5" t="s">
        <v>1357</v>
      </c>
      <c r="E363" s="5" t="s">
        <v>4494</v>
      </c>
      <c r="G363" s="5" t="s">
        <v>78</v>
      </c>
      <c r="H363" s="5" t="s">
        <v>1358</v>
      </c>
      <c r="I363" s="5" t="s">
        <v>1857</v>
      </c>
      <c r="J363" s="5" t="s">
        <v>2841</v>
      </c>
      <c r="K363" s="4">
        <v>40406</v>
      </c>
      <c r="L363" s="4">
        <v>40406</v>
      </c>
      <c r="M363" s="9">
        <f t="shared" si="45"/>
        <v>14</v>
      </c>
      <c r="N363" s="4" t="str">
        <f t="shared" si="47"/>
        <v>] 10 ; 15 ]</v>
      </c>
      <c r="O363" s="5" t="s">
        <v>3779</v>
      </c>
      <c r="P363" s="5" t="s">
        <v>3779</v>
      </c>
      <c r="Q363" s="5">
        <v>1</v>
      </c>
      <c r="R363" s="5" t="str">
        <f t="shared" si="48"/>
        <v>Management &amp; Expertise</v>
      </c>
      <c r="S363" s="5" t="s">
        <v>3789</v>
      </c>
      <c r="T363" s="4">
        <v>27589</v>
      </c>
      <c r="U363" s="5">
        <f t="shared" si="49"/>
        <v>1975</v>
      </c>
      <c r="V363" s="5" t="s">
        <v>3793</v>
      </c>
      <c r="W363" s="9">
        <f t="shared" si="46"/>
        <v>49</v>
      </c>
      <c r="X363" s="5" t="str">
        <f t="shared" si="50"/>
        <v>[45 - 49 ans]</v>
      </c>
      <c r="Y363" s="5" t="str">
        <f t="shared" si="51"/>
        <v xml:space="preserve"> Generation X </v>
      </c>
      <c r="Z363" s="9">
        <f t="shared" si="52"/>
        <v>11</v>
      </c>
      <c r="AA363" s="5" t="str">
        <f t="shared" si="53"/>
        <v>RAS</v>
      </c>
      <c r="AB363" s="5" t="s">
        <v>3808</v>
      </c>
      <c r="AC363" s="6" t="s">
        <v>3799</v>
      </c>
      <c r="AE363" s="5" t="s">
        <v>3845</v>
      </c>
      <c r="AF363" s="5" t="s">
        <v>4481</v>
      </c>
      <c r="AG363" s="5" t="s">
        <v>4484</v>
      </c>
      <c r="AH363" s="5" t="s">
        <v>4488</v>
      </c>
      <c r="AI363" s="5" t="s">
        <v>4289</v>
      </c>
      <c r="AJ363" s="5" t="s">
        <v>4290</v>
      </c>
      <c r="AK363" s="5" t="s">
        <v>4242</v>
      </c>
      <c r="AL363" s="5" t="s">
        <v>3854</v>
      </c>
    </row>
    <row r="364" spans="1:38" x14ac:dyDescent="0.3">
      <c r="A364" s="4">
        <v>45716</v>
      </c>
      <c r="B364" s="5" t="s">
        <v>1359</v>
      </c>
      <c r="C364" s="5" t="s">
        <v>1360</v>
      </c>
      <c r="D364" s="5" t="s">
        <v>1361</v>
      </c>
      <c r="E364" s="5" t="s">
        <v>4494</v>
      </c>
      <c r="G364" s="5" t="s">
        <v>83</v>
      </c>
      <c r="H364" s="5" t="s">
        <v>1362</v>
      </c>
      <c r="I364" s="5" t="s">
        <v>82</v>
      </c>
      <c r="J364" s="5" t="s">
        <v>2841</v>
      </c>
      <c r="K364" s="4">
        <v>40406</v>
      </c>
      <c r="L364" s="4">
        <v>40406</v>
      </c>
      <c r="M364" s="9">
        <f t="shared" si="45"/>
        <v>14</v>
      </c>
      <c r="N364" s="4" t="str">
        <f t="shared" si="47"/>
        <v>] 10 ; 15 ]</v>
      </c>
      <c r="O364" s="5" t="s">
        <v>3784</v>
      </c>
      <c r="P364" s="5" t="s">
        <v>3784</v>
      </c>
      <c r="Q364" s="5">
        <v>2</v>
      </c>
      <c r="R364" s="5" t="str">
        <f t="shared" si="48"/>
        <v>Management &amp; Expertise</v>
      </c>
      <c r="S364" s="5" t="s">
        <v>3789</v>
      </c>
      <c r="T364" s="4">
        <v>26230</v>
      </c>
      <c r="U364" s="5">
        <f t="shared" si="49"/>
        <v>1971</v>
      </c>
      <c r="V364" s="5" t="s">
        <v>3793</v>
      </c>
      <c r="W364" s="9">
        <f t="shared" si="46"/>
        <v>53</v>
      </c>
      <c r="X364" s="5" t="str">
        <f t="shared" si="50"/>
        <v>[50 ans, +oo [</v>
      </c>
      <c r="Y364" s="5" t="str">
        <f t="shared" si="51"/>
        <v xml:space="preserve"> Generation X </v>
      </c>
      <c r="Z364" s="9">
        <f t="shared" si="52"/>
        <v>7</v>
      </c>
      <c r="AA364" s="5" t="str">
        <f t="shared" si="53"/>
        <v>RAS</v>
      </c>
      <c r="AB364" s="5" t="s">
        <v>3806</v>
      </c>
      <c r="AC364" s="6" t="s">
        <v>3799</v>
      </c>
      <c r="AE364" s="5" t="s">
        <v>3845</v>
      </c>
      <c r="AF364" s="5" t="s">
        <v>4481</v>
      </c>
      <c r="AG364" s="5" t="s">
        <v>4485</v>
      </c>
      <c r="AH364" s="5" t="s">
        <v>4489</v>
      </c>
      <c r="AI364" s="5" t="s">
        <v>4291</v>
      </c>
      <c r="AJ364" s="5" t="s">
        <v>4292</v>
      </c>
      <c r="AK364" s="5" t="s">
        <v>4293</v>
      </c>
      <c r="AL364" s="5" t="s">
        <v>3854</v>
      </c>
    </row>
    <row r="365" spans="1:38" x14ac:dyDescent="0.3">
      <c r="A365" s="4">
        <v>45716</v>
      </c>
      <c r="B365" s="5" t="s">
        <v>1363</v>
      </c>
      <c r="C365" s="5" t="s">
        <v>1364</v>
      </c>
      <c r="D365" s="5" t="s">
        <v>1365</v>
      </c>
      <c r="E365" s="5" t="s">
        <v>4494</v>
      </c>
      <c r="G365" s="5" t="s">
        <v>44</v>
      </c>
      <c r="H365" s="5" t="s">
        <v>595</v>
      </c>
      <c r="I365" s="5" t="s">
        <v>270</v>
      </c>
      <c r="J365" s="5" t="s">
        <v>92</v>
      </c>
      <c r="K365" s="4">
        <v>40417</v>
      </c>
      <c r="L365" s="4">
        <v>40417</v>
      </c>
      <c r="M365" s="9">
        <f t="shared" si="45"/>
        <v>14</v>
      </c>
      <c r="N365" s="4" t="str">
        <f t="shared" si="47"/>
        <v>] 10 ; 15 ]</v>
      </c>
      <c r="O365" s="5" t="s">
        <v>3786</v>
      </c>
      <c r="P365" s="5" t="s">
        <v>3783</v>
      </c>
      <c r="Q365" s="5">
        <v>1</v>
      </c>
      <c r="R365" s="5" t="str">
        <f t="shared" si="48"/>
        <v>Specialisation</v>
      </c>
      <c r="S365" s="5" t="s">
        <v>3789</v>
      </c>
      <c r="T365" s="4">
        <v>29135</v>
      </c>
      <c r="U365" s="5">
        <f t="shared" si="49"/>
        <v>1979</v>
      </c>
      <c r="V365" s="5" t="s">
        <v>3793</v>
      </c>
      <c r="W365" s="9">
        <f t="shared" si="46"/>
        <v>45</v>
      </c>
      <c r="X365" s="5" t="str">
        <f t="shared" si="50"/>
        <v>[45 - 49 ans]</v>
      </c>
      <c r="Y365" s="5" t="str">
        <f t="shared" si="51"/>
        <v xml:space="preserve"> Generation X </v>
      </c>
      <c r="Z365" s="9">
        <f t="shared" si="52"/>
        <v>15</v>
      </c>
      <c r="AA365" s="5" t="str">
        <f t="shared" si="53"/>
        <v>RAS</v>
      </c>
      <c r="AB365" s="5" t="s">
        <v>3806</v>
      </c>
      <c r="AC365" s="6" t="s">
        <v>3799</v>
      </c>
      <c r="AE365" s="5" t="s">
        <v>3844</v>
      </c>
      <c r="AF365" s="5" t="s">
        <v>4482</v>
      </c>
      <c r="AG365" s="5" t="s">
        <v>4485</v>
      </c>
      <c r="AH365" s="5" t="s">
        <v>4487</v>
      </c>
      <c r="AI365" s="5" t="s">
        <v>3989</v>
      </c>
      <c r="AJ365" s="5" t="s">
        <v>3990</v>
      </c>
      <c r="AK365" s="5">
        <v>31200</v>
      </c>
      <c r="AL365" s="5" t="s">
        <v>3858</v>
      </c>
    </row>
    <row r="366" spans="1:38" x14ac:dyDescent="0.3">
      <c r="A366" s="4">
        <v>45716</v>
      </c>
      <c r="B366" s="5" t="s">
        <v>1366</v>
      </c>
      <c r="C366" s="5" t="s">
        <v>1367</v>
      </c>
      <c r="D366" s="5" t="s">
        <v>1368</v>
      </c>
      <c r="E366" s="5" t="s">
        <v>4494</v>
      </c>
      <c r="G366" s="5" t="s">
        <v>178</v>
      </c>
      <c r="H366" s="5" t="s">
        <v>1369</v>
      </c>
      <c r="I366" s="5" t="s">
        <v>1857</v>
      </c>
      <c r="J366" s="5" t="s">
        <v>2841</v>
      </c>
      <c r="K366" s="4">
        <v>40427</v>
      </c>
      <c r="L366" s="4">
        <v>40427</v>
      </c>
      <c r="M366" s="9">
        <f t="shared" si="45"/>
        <v>14</v>
      </c>
      <c r="N366" s="4" t="str">
        <f t="shared" si="47"/>
        <v>] 10 ; 15 ]</v>
      </c>
      <c r="O366" s="5" t="s">
        <v>3779</v>
      </c>
      <c r="P366" s="5" t="s">
        <v>3779</v>
      </c>
      <c r="Q366" s="5">
        <v>1</v>
      </c>
      <c r="R366" s="5" t="str">
        <f t="shared" si="48"/>
        <v>Management &amp; Expertise</v>
      </c>
      <c r="S366" s="5" t="s">
        <v>3790</v>
      </c>
      <c r="T366" s="4">
        <v>29064</v>
      </c>
      <c r="U366" s="5">
        <f t="shared" si="49"/>
        <v>1979</v>
      </c>
      <c r="V366" s="5" t="s">
        <v>3793</v>
      </c>
      <c r="W366" s="9">
        <f t="shared" si="46"/>
        <v>45</v>
      </c>
      <c r="X366" s="5" t="str">
        <f t="shared" si="50"/>
        <v>[45 - 49 ans]</v>
      </c>
      <c r="Y366" s="5" t="str">
        <f t="shared" si="51"/>
        <v xml:space="preserve"> Generation X </v>
      </c>
      <c r="Z366" s="9">
        <f t="shared" si="52"/>
        <v>15</v>
      </c>
      <c r="AA366" s="5" t="str">
        <f t="shared" si="53"/>
        <v>RAS</v>
      </c>
      <c r="AB366" s="5" t="s">
        <v>3806</v>
      </c>
      <c r="AC366" s="6" t="s">
        <v>3799</v>
      </c>
      <c r="AE366" s="5" t="s">
        <v>3845</v>
      </c>
      <c r="AF366" s="5" t="s">
        <v>4481</v>
      </c>
      <c r="AG366" s="5" t="s">
        <v>4484</v>
      </c>
      <c r="AH366" s="5" t="s">
        <v>4488</v>
      </c>
      <c r="AI366" s="5" t="s">
        <v>4294</v>
      </c>
      <c r="AJ366" s="5" t="s">
        <v>4295</v>
      </c>
      <c r="AK366" s="5" t="s">
        <v>4296</v>
      </c>
      <c r="AL366" s="5" t="s">
        <v>3854</v>
      </c>
    </row>
    <row r="367" spans="1:38" x14ac:dyDescent="0.3">
      <c r="A367" s="4">
        <v>45716</v>
      </c>
      <c r="B367" s="5" t="s">
        <v>1370</v>
      </c>
      <c r="C367" s="5" t="s">
        <v>1371</v>
      </c>
      <c r="D367" s="5" t="s">
        <v>1372</v>
      </c>
      <c r="E367" s="5" t="s">
        <v>4494</v>
      </c>
      <c r="G367" s="5" t="s">
        <v>39</v>
      </c>
      <c r="H367" s="5" t="s">
        <v>1373</v>
      </c>
      <c r="I367" s="5" t="s">
        <v>2821</v>
      </c>
      <c r="J367" s="5" t="s">
        <v>2841</v>
      </c>
      <c r="K367" s="4">
        <v>40427</v>
      </c>
      <c r="L367" s="4">
        <v>40427</v>
      </c>
      <c r="M367" s="9">
        <f t="shared" si="45"/>
        <v>14</v>
      </c>
      <c r="N367" s="4" t="str">
        <f t="shared" si="47"/>
        <v>] 10 ; 15 ]</v>
      </c>
      <c r="O367" s="5" t="s">
        <v>3779</v>
      </c>
      <c r="P367" s="5" t="s">
        <v>3779</v>
      </c>
      <c r="Q367" s="5">
        <v>1</v>
      </c>
      <c r="R367" s="5" t="str">
        <f t="shared" si="48"/>
        <v>Management &amp; Expertise</v>
      </c>
      <c r="S367" s="5" t="s">
        <v>3789</v>
      </c>
      <c r="T367" s="4">
        <v>28888</v>
      </c>
      <c r="U367" s="5">
        <f t="shared" si="49"/>
        <v>1979</v>
      </c>
      <c r="V367" s="5" t="s">
        <v>3793</v>
      </c>
      <c r="W367" s="9">
        <f t="shared" si="46"/>
        <v>46</v>
      </c>
      <c r="X367" s="5" t="str">
        <f t="shared" si="50"/>
        <v>[45 - 49 ans]</v>
      </c>
      <c r="Y367" s="5" t="str">
        <f t="shared" si="51"/>
        <v xml:space="preserve"> Generation X </v>
      </c>
      <c r="Z367" s="9">
        <f t="shared" si="52"/>
        <v>14</v>
      </c>
      <c r="AA367" s="5" t="str">
        <f t="shared" si="53"/>
        <v>RAS</v>
      </c>
      <c r="AB367" s="5" t="s">
        <v>3805</v>
      </c>
      <c r="AC367" s="6" t="s">
        <v>3799</v>
      </c>
      <c r="AE367" s="5" t="s">
        <v>3845</v>
      </c>
      <c r="AF367" s="5" t="s">
        <v>4481</v>
      </c>
      <c r="AG367" s="5" t="s">
        <v>4484</v>
      </c>
      <c r="AH367" s="5" t="s">
        <v>4489</v>
      </c>
      <c r="AI367" s="5" t="s">
        <v>3920</v>
      </c>
      <c r="AJ367" s="5" t="s">
        <v>3929</v>
      </c>
      <c r="AK367" s="5" t="s">
        <v>3922</v>
      </c>
      <c r="AL367" s="5" t="s">
        <v>3854</v>
      </c>
    </row>
    <row r="368" spans="1:38" x14ac:dyDescent="0.3">
      <c r="A368" s="4">
        <v>45716</v>
      </c>
      <c r="B368" s="5" t="s">
        <v>1374</v>
      </c>
      <c r="C368" s="5" t="s">
        <v>1375</v>
      </c>
      <c r="D368" s="5" t="s">
        <v>1376</v>
      </c>
      <c r="E368" s="5" t="s">
        <v>4494</v>
      </c>
      <c r="G368" s="5" t="s">
        <v>83</v>
      </c>
      <c r="H368" s="5" t="s">
        <v>1377</v>
      </c>
      <c r="I368" s="5" t="s">
        <v>1482</v>
      </c>
      <c r="J368" s="5" t="s">
        <v>82</v>
      </c>
      <c r="K368" s="4">
        <v>40427</v>
      </c>
      <c r="L368" s="4">
        <v>40427</v>
      </c>
      <c r="M368" s="9">
        <f t="shared" si="45"/>
        <v>14</v>
      </c>
      <c r="N368" s="4" t="str">
        <f t="shared" si="47"/>
        <v>] 10 ; 15 ]</v>
      </c>
      <c r="O368" s="5" t="s">
        <v>3782</v>
      </c>
      <c r="P368" s="5" t="s">
        <v>3782</v>
      </c>
      <c r="Q368" s="5">
        <v>1</v>
      </c>
      <c r="R368" s="5" t="str">
        <f t="shared" si="48"/>
        <v>Management &amp; Expertise</v>
      </c>
      <c r="S368" s="5" t="s">
        <v>3789</v>
      </c>
      <c r="T368" s="4">
        <v>30142</v>
      </c>
      <c r="U368" s="5">
        <f t="shared" si="49"/>
        <v>1982</v>
      </c>
      <c r="V368" s="5" t="s">
        <v>3793</v>
      </c>
      <c r="W368" s="9">
        <f t="shared" si="46"/>
        <v>42</v>
      </c>
      <c r="X368" s="5" t="str">
        <f t="shared" si="50"/>
        <v>[40 - 44 ans]</v>
      </c>
      <c r="Y368" s="5" t="str">
        <f t="shared" si="51"/>
        <v xml:space="preserve"> Mellenials </v>
      </c>
      <c r="Z368" s="9">
        <f t="shared" si="52"/>
        <v>18</v>
      </c>
      <c r="AA368" s="5" t="str">
        <f t="shared" si="53"/>
        <v>RAS</v>
      </c>
      <c r="AB368" s="5" t="s">
        <v>3807</v>
      </c>
      <c r="AC368" s="6" t="s">
        <v>3799</v>
      </c>
      <c r="AE368" s="5" t="s">
        <v>3844</v>
      </c>
      <c r="AF368" s="5" t="s">
        <v>4481</v>
      </c>
      <c r="AG368" s="5" t="s">
        <v>4485</v>
      </c>
      <c r="AH368" s="5" t="s">
        <v>4489</v>
      </c>
      <c r="AI368" s="5" t="s">
        <v>4297</v>
      </c>
      <c r="AJ368" s="5" t="s">
        <v>4298</v>
      </c>
      <c r="AK368" s="5">
        <v>13130</v>
      </c>
      <c r="AL368" s="5" t="s">
        <v>3858</v>
      </c>
    </row>
    <row r="369" spans="1:38" x14ac:dyDescent="0.3">
      <c r="A369" s="4">
        <v>45716</v>
      </c>
      <c r="B369" s="5" t="s">
        <v>1378</v>
      </c>
      <c r="C369" s="5" t="s">
        <v>1379</v>
      </c>
      <c r="D369" s="5" t="s">
        <v>1380</v>
      </c>
      <c r="E369" s="5" t="s">
        <v>4494</v>
      </c>
      <c r="G369" s="5" t="s">
        <v>39</v>
      </c>
      <c r="H369" s="5" t="s">
        <v>260</v>
      </c>
      <c r="I369" s="5" t="s">
        <v>205</v>
      </c>
      <c r="J369" s="5" t="s">
        <v>1372</v>
      </c>
      <c r="K369" s="4">
        <v>40427</v>
      </c>
      <c r="L369" s="4">
        <v>40427</v>
      </c>
      <c r="M369" s="9">
        <f t="shared" si="45"/>
        <v>14</v>
      </c>
      <c r="N369" s="4" t="str">
        <f t="shared" si="47"/>
        <v>] 10 ; 15 ]</v>
      </c>
      <c r="O369" s="5" t="s">
        <v>3786</v>
      </c>
      <c r="P369" s="5" t="s">
        <v>3783</v>
      </c>
      <c r="Q369" s="5">
        <v>1</v>
      </c>
      <c r="R369" s="5" t="str">
        <f t="shared" si="48"/>
        <v>Specialisation</v>
      </c>
      <c r="S369" s="5" t="s">
        <v>3789</v>
      </c>
      <c r="T369" s="4">
        <v>30601</v>
      </c>
      <c r="U369" s="5">
        <f t="shared" si="49"/>
        <v>1983</v>
      </c>
      <c r="V369" s="5" t="s">
        <v>3793</v>
      </c>
      <c r="W369" s="9">
        <f t="shared" si="46"/>
        <v>41</v>
      </c>
      <c r="X369" s="5" t="str">
        <f t="shared" si="50"/>
        <v>[40 - 44 ans]</v>
      </c>
      <c r="Y369" s="5" t="str">
        <f t="shared" si="51"/>
        <v xml:space="preserve"> Mellenials </v>
      </c>
      <c r="Z369" s="9">
        <f t="shared" si="52"/>
        <v>19</v>
      </c>
      <c r="AA369" s="5" t="str">
        <f t="shared" si="53"/>
        <v>RAS</v>
      </c>
      <c r="AB369" s="5" t="s">
        <v>3832</v>
      </c>
      <c r="AC369" s="6" t="s">
        <v>3801</v>
      </c>
      <c r="AE369" s="5" t="s">
        <v>3844</v>
      </c>
      <c r="AF369" s="5" t="s">
        <v>4482</v>
      </c>
      <c r="AG369" s="5" t="s">
        <v>4485</v>
      </c>
      <c r="AH369" s="5" t="s">
        <v>4489</v>
      </c>
      <c r="AI369" s="5" t="s">
        <v>3954</v>
      </c>
      <c r="AJ369" s="5" t="s">
        <v>3955</v>
      </c>
      <c r="AK369" s="5" t="s">
        <v>3956</v>
      </c>
      <c r="AL369" s="5" t="s">
        <v>3858</v>
      </c>
    </row>
    <row r="370" spans="1:38" x14ac:dyDescent="0.3">
      <c r="A370" s="4">
        <v>45716</v>
      </c>
      <c r="B370" s="5" t="s">
        <v>1381</v>
      </c>
      <c r="C370" s="5" t="s">
        <v>1382</v>
      </c>
      <c r="D370" s="5" t="s">
        <v>1383</v>
      </c>
      <c r="E370" s="5" t="s">
        <v>4494</v>
      </c>
      <c r="G370" s="5" t="s">
        <v>222</v>
      </c>
      <c r="H370" s="5" t="s">
        <v>35</v>
      </c>
      <c r="I370" s="5" t="s">
        <v>2086</v>
      </c>
      <c r="J370" s="5" t="s">
        <v>2841</v>
      </c>
      <c r="K370" s="4">
        <v>40422</v>
      </c>
      <c r="L370" s="4">
        <v>40422</v>
      </c>
      <c r="M370" s="9">
        <f t="shared" si="45"/>
        <v>14</v>
      </c>
      <c r="N370" s="4" t="str">
        <f t="shared" si="47"/>
        <v>] 10 ; 15 ]</v>
      </c>
      <c r="O370" s="5" t="s">
        <v>3781</v>
      </c>
      <c r="P370" s="5" t="s">
        <v>3787</v>
      </c>
      <c r="Q370" s="5">
        <v>1</v>
      </c>
      <c r="R370" s="5" t="str">
        <f t="shared" si="48"/>
        <v>Qualification</v>
      </c>
      <c r="S370" s="5" t="s">
        <v>3789</v>
      </c>
      <c r="T370" s="4">
        <v>30566</v>
      </c>
      <c r="U370" s="5">
        <f t="shared" si="49"/>
        <v>1983</v>
      </c>
      <c r="V370" s="5" t="s">
        <v>3793</v>
      </c>
      <c r="W370" s="9">
        <f t="shared" si="46"/>
        <v>41</v>
      </c>
      <c r="X370" s="5" t="str">
        <f t="shared" si="50"/>
        <v>[40 - 44 ans]</v>
      </c>
      <c r="Y370" s="5" t="str">
        <f t="shared" si="51"/>
        <v xml:space="preserve"> Mellenials </v>
      </c>
      <c r="Z370" s="9">
        <f t="shared" si="52"/>
        <v>19</v>
      </c>
      <c r="AA370" s="5" t="str">
        <f t="shared" si="53"/>
        <v>RAS</v>
      </c>
      <c r="AB370" s="5" t="s">
        <v>3806</v>
      </c>
      <c r="AC370" s="6" t="s">
        <v>3799</v>
      </c>
      <c r="AE370" s="5" t="s">
        <v>3844</v>
      </c>
      <c r="AF370" s="5" t="s">
        <v>4482</v>
      </c>
      <c r="AG370" s="5" t="s">
        <v>4485</v>
      </c>
      <c r="AH370" s="5" t="s">
        <v>4487</v>
      </c>
      <c r="AI370" s="5" t="s">
        <v>3965</v>
      </c>
      <c r="AJ370" s="5" t="s">
        <v>3966</v>
      </c>
      <c r="AK370" s="5" t="s">
        <v>3967</v>
      </c>
      <c r="AL370" s="5" t="s">
        <v>3858</v>
      </c>
    </row>
    <row r="371" spans="1:38" x14ac:dyDescent="0.3">
      <c r="A371" s="4">
        <v>45716</v>
      </c>
      <c r="B371" s="5" t="s">
        <v>1384</v>
      </c>
      <c r="C371" s="5" t="s">
        <v>1385</v>
      </c>
      <c r="D371" s="5" t="s">
        <v>1386</v>
      </c>
      <c r="E371" s="5" t="s">
        <v>4494</v>
      </c>
      <c r="G371" s="5" t="s">
        <v>39</v>
      </c>
      <c r="H371" s="5" t="s">
        <v>260</v>
      </c>
      <c r="I371" s="5" t="s">
        <v>205</v>
      </c>
      <c r="J371" s="5" t="s">
        <v>1372</v>
      </c>
      <c r="K371" s="4">
        <v>40426</v>
      </c>
      <c r="L371" s="4">
        <v>40436</v>
      </c>
      <c r="M371" s="9">
        <f t="shared" si="45"/>
        <v>14</v>
      </c>
      <c r="N371" s="4" t="str">
        <f t="shared" si="47"/>
        <v>] 10 ; 15 ]</v>
      </c>
      <c r="O371" s="5" t="s">
        <v>3786</v>
      </c>
      <c r="P371" s="5" t="s">
        <v>3783</v>
      </c>
      <c r="Q371" s="5">
        <v>1</v>
      </c>
      <c r="R371" s="5" t="str">
        <f t="shared" si="48"/>
        <v>Specialisation</v>
      </c>
      <c r="S371" s="5" t="s">
        <v>3789</v>
      </c>
      <c r="T371" s="4">
        <v>30414</v>
      </c>
      <c r="U371" s="5">
        <f t="shared" si="49"/>
        <v>1983</v>
      </c>
      <c r="V371" s="5" t="s">
        <v>3793</v>
      </c>
      <c r="W371" s="9">
        <f t="shared" si="46"/>
        <v>41</v>
      </c>
      <c r="X371" s="5" t="str">
        <f t="shared" si="50"/>
        <v>[40 - 44 ans]</v>
      </c>
      <c r="Y371" s="5" t="str">
        <f t="shared" si="51"/>
        <v xml:space="preserve"> Mellenials </v>
      </c>
      <c r="Z371" s="9">
        <f t="shared" si="52"/>
        <v>19</v>
      </c>
      <c r="AA371" s="5" t="str">
        <f t="shared" si="53"/>
        <v>RAS</v>
      </c>
      <c r="AB371" s="5" t="s">
        <v>3820</v>
      </c>
      <c r="AC371" s="6" t="s">
        <v>3800</v>
      </c>
      <c r="AE371" s="5" t="s">
        <v>3844</v>
      </c>
      <c r="AF371" s="5" t="s">
        <v>4482</v>
      </c>
      <c r="AG371" s="5" t="s">
        <v>4485</v>
      </c>
      <c r="AH371" s="5" t="s">
        <v>4489</v>
      </c>
      <c r="AI371" s="5" t="s">
        <v>3954</v>
      </c>
      <c r="AJ371" s="5" t="s">
        <v>3955</v>
      </c>
      <c r="AK371" s="5" t="s">
        <v>3956</v>
      </c>
      <c r="AL371" s="5" t="s">
        <v>3858</v>
      </c>
    </row>
    <row r="372" spans="1:38" x14ac:dyDescent="0.3">
      <c r="A372" s="4">
        <v>45716</v>
      </c>
      <c r="B372" s="5" t="s">
        <v>1387</v>
      </c>
      <c r="C372" s="5" t="s">
        <v>1388</v>
      </c>
      <c r="D372" s="5" t="s">
        <v>1389</v>
      </c>
      <c r="E372" s="5" t="s">
        <v>4494</v>
      </c>
      <c r="G372" s="5" t="s">
        <v>88</v>
      </c>
      <c r="H372" s="5" t="s">
        <v>1390</v>
      </c>
      <c r="I372" s="5" t="s">
        <v>182</v>
      </c>
      <c r="J372" s="5" t="s">
        <v>1857</v>
      </c>
      <c r="K372" s="4">
        <v>40441</v>
      </c>
      <c r="L372" s="4">
        <v>40441</v>
      </c>
      <c r="M372" s="9">
        <f t="shared" si="45"/>
        <v>14</v>
      </c>
      <c r="N372" s="4" t="str">
        <f t="shared" si="47"/>
        <v>] 10 ; 15 ]</v>
      </c>
      <c r="O372" s="5" t="s">
        <v>3784</v>
      </c>
      <c r="P372" s="5" t="s">
        <v>3784</v>
      </c>
      <c r="Q372" s="5">
        <v>2</v>
      </c>
      <c r="R372" s="5" t="str">
        <f t="shared" si="48"/>
        <v>Management &amp; Expertise</v>
      </c>
      <c r="S372" s="5" t="s">
        <v>3790</v>
      </c>
      <c r="T372" s="4">
        <v>27505</v>
      </c>
      <c r="U372" s="5">
        <f t="shared" si="49"/>
        <v>1975</v>
      </c>
      <c r="V372" s="5" t="s">
        <v>3793</v>
      </c>
      <c r="W372" s="9">
        <f t="shared" si="46"/>
        <v>49</v>
      </c>
      <c r="X372" s="5" t="str">
        <f t="shared" si="50"/>
        <v>[45 - 49 ans]</v>
      </c>
      <c r="Y372" s="5" t="str">
        <f t="shared" si="51"/>
        <v xml:space="preserve"> Generation X </v>
      </c>
      <c r="Z372" s="9">
        <f t="shared" si="52"/>
        <v>11</v>
      </c>
      <c r="AA372" s="5" t="str">
        <f t="shared" si="53"/>
        <v>RAS</v>
      </c>
      <c r="AB372" s="5" t="s">
        <v>3806</v>
      </c>
      <c r="AC372" s="6" t="s">
        <v>3799</v>
      </c>
      <c r="AE372" s="5" t="s">
        <v>3845</v>
      </c>
      <c r="AF372" s="5" t="s">
        <v>4481</v>
      </c>
      <c r="AG372" s="5" t="s">
        <v>4485</v>
      </c>
      <c r="AH372" s="5" t="s">
        <v>4488</v>
      </c>
      <c r="AI372" s="5" t="s">
        <v>4098</v>
      </c>
      <c r="AJ372" s="5" t="s">
        <v>4099</v>
      </c>
      <c r="AK372" s="5" t="s">
        <v>4100</v>
      </c>
      <c r="AL372" s="5" t="s">
        <v>3854</v>
      </c>
    </row>
    <row r="373" spans="1:38" x14ac:dyDescent="0.3">
      <c r="A373" s="4">
        <v>45716</v>
      </c>
      <c r="B373" s="5" t="s">
        <v>1391</v>
      </c>
      <c r="C373" s="5" t="s">
        <v>1392</v>
      </c>
      <c r="D373" s="5" t="s">
        <v>1393</v>
      </c>
      <c r="E373" s="5" t="s">
        <v>4494</v>
      </c>
      <c r="G373" s="5" t="s">
        <v>178</v>
      </c>
      <c r="H373" s="5" t="s">
        <v>1394</v>
      </c>
      <c r="I373" s="5" t="s">
        <v>1368</v>
      </c>
      <c r="J373" s="5" t="s">
        <v>1857</v>
      </c>
      <c r="K373" s="4">
        <v>40452</v>
      </c>
      <c r="L373" s="4">
        <v>40452</v>
      </c>
      <c r="M373" s="9">
        <f t="shared" si="45"/>
        <v>14</v>
      </c>
      <c r="N373" s="4" t="str">
        <f t="shared" si="47"/>
        <v>] 10 ; 15 ]</v>
      </c>
      <c r="O373" s="5" t="s">
        <v>3784</v>
      </c>
      <c r="P373" s="5" t="s">
        <v>3784</v>
      </c>
      <c r="Q373" s="5">
        <v>2</v>
      </c>
      <c r="R373" s="5" t="str">
        <f t="shared" si="48"/>
        <v>Management &amp; Expertise</v>
      </c>
      <c r="S373" s="5" t="s">
        <v>3790</v>
      </c>
      <c r="T373" s="4">
        <v>30241</v>
      </c>
      <c r="U373" s="5">
        <f t="shared" si="49"/>
        <v>1982</v>
      </c>
      <c r="V373" s="5" t="s">
        <v>3793</v>
      </c>
      <c r="W373" s="9">
        <f t="shared" si="46"/>
        <v>42</v>
      </c>
      <c r="X373" s="5" t="str">
        <f t="shared" si="50"/>
        <v>[40 - 44 ans]</v>
      </c>
      <c r="Y373" s="5" t="str">
        <f t="shared" si="51"/>
        <v xml:space="preserve"> Mellenials </v>
      </c>
      <c r="Z373" s="9">
        <f t="shared" si="52"/>
        <v>18</v>
      </c>
      <c r="AA373" s="5" t="str">
        <f t="shared" si="53"/>
        <v>RAS</v>
      </c>
      <c r="AB373" s="5" t="s">
        <v>3806</v>
      </c>
      <c r="AC373" s="6" t="s">
        <v>3799</v>
      </c>
      <c r="AE373" s="5" t="s">
        <v>3845</v>
      </c>
      <c r="AF373" s="5" t="s">
        <v>4481</v>
      </c>
      <c r="AG373" s="5" t="s">
        <v>4485</v>
      </c>
      <c r="AH373" s="5" t="s">
        <v>4488</v>
      </c>
      <c r="AI373" s="5" t="s">
        <v>4299</v>
      </c>
      <c r="AJ373" s="5" t="s">
        <v>4300</v>
      </c>
      <c r="AK373" s="5" t="s">
        <v>3980</v>
      </c>
      <c r="AL373" s="5" t="s">
        <v>3854</v>
      </c>
    </row>
    <row r="374" spans="1:38" x14ac:dyDescent="0.3">
      <c r="A374" s="4">
        <v>45716</v>
      </c>
      <c r="B374" s="5" t="s">
        <v>1395</v>
      </c>
      <c r="C374" s="5" t="s">
        <v>1396</v>
      </c>
      <c r="D374" s="5" t="s">
        <v>1397</v>
      </c>
      <c r="E374" s="5" t="s">
        <v>4494</v>
      </c>
      <c r="G374" s="5" t="s">
        <v>88</v>
      </c>
      <c r="H374" s="5" t="s">
        <v>653</v>
      </c>
      <c r="I374" s="5" t="s">
        <v>883</v>
      </c>
      <c r="J374" s="5" t="s">
        <v>182</v>
      </c>
      <c r="K374" s="4">
        <v>40476</v>
      </c>
      <c r="L374" s="4">
        <v>40476</v>
      </c>
      <c r="M374" s="9">
        <f t="shared" si="45"/>
        <v>14</v>
      </c>
      <c r="N374" s="4" t="str">
        <f t="shared" si="47"/>
        <v>] 10 ; 15 ]</v>
      </c>
      <c r="O374" s="5" t="s">
        <v>3785</v>
      </c>
      <c r="P374" s="5" t="s">
        <v>3782</v>
      </c>
      <c r="Q374" s="5">
        <v>1</v>
      </c>
      <c r="R374" s="5" t="str">
        <f t="shared" si="48"/>
        <v>Specialisation</v>
      </c>
      <c r="S374" s="5" t="s">
        <v>3790</v>
      </c>
      <c r="T374" s="4">
        <v>27154</v>
      </c>
      <c r="U374" s="5">
        <f t="shared" si="49"/>
        <v>1974</v>
      </c>
      <c r="V374" s="5" t="s">
        <v>3793</v>
      </c>
      <c r="W374" s="9">
        <f t="shared" si="46"/>
        <v>50</v>
      </c>
      <c r="X374" s="5" t="str">
        <f t="shared" si="50"/>
        <v>[50 ans, +oo [</v>
      </c>
      <c r="Y374" s="5" t="str">
        <f t="shared" si="51"/>
        <v xml:space="preserve"> Generation X </v>
      </c>
      <c r="Z374" s="9">
        <f t="shared" si="52"/>
        <v>10</v>
      </c>
      <c r="AA374" s="5" t="str">
        <f t="shared" si="53"/>
        <v>RAS</v>
      </c>
      <c r="AB374" s="5" t="s">
        <v>3833</v>
      </c>
      <c r="AC374" s="6" t="s">
        <v>3801</v>
      </c>
      <c r="AE374" s="5" t="s">
        <v>3845</v>
      </c>
      <c r="AF374" s="5" t="s">
        <v>4481</v>
      </c>
      <c r="AG374" s="5" t="s">
        <v>4485</v>
      </c>
      <c r="AH374" s="5" t="s">
        <v>4488</v>
      </c>
      <c r="AI374" s="5" t="s">
        <v>4301</v>
      </c>
      <c r="AJ374" s="5" t="s">
        <v>4302</v>
      </c>
      <c r="AK374" s="5" t="s">
        <v>4303</v>
      </c>
      <c r="AL374" s="5" t="s">
        <v>3854</v>
      </c>
    </row>
    <row r="375" spans="1:38" x14ac:dyDescent="0.3">
      <c r="A375" s="4">
        <v>45716</v>
      </c>
      <c r="B375" s="5" t="s">
        <v>1398</v>
      </c>
      <c r="C375" s="5" t="s">
        <v>1399</v>
      </c>
      <c r="D375" s="5" t="s">
        <v>1400</v>
      </c>
      <c r="E375" s="5" t="s">
        <v>4494</v>
      </c>
      <c r="G375" s="5" t="s">
        <v>88</v>
      </c>
      <c r="H375" s="5" t="s">
        <v>456</v>
      </c>
      <c r="I375" s="5" t="s">
        <v>2265</v>
      </c>
      <c r="J375" s="5" t="s">
        <v>883</v>
      </c>
      <c r="K375" s="4">
        <v>40483</v>
      </c>
      <c r="L375" s="4">
        <v>40471</v>
      </c>
      <c r="M375" s="9">
        <f t="shared" si="45"/>
        <v>14</v>
      </c>
      <c r="N375" s="4" t="str">
        <f t="shared" si="47"/>
        <v>] 10 ; 15 ]</v>
      </c>
      <c r="O375" s="5" t="s">
        <v>3780</v>
      </c>
      <c r="P375" s="5" t="s">
        <v>3786</v>
      </c>
      <c r="Q375" s="5">
        <v>1</v>
      </c>
      <c r="R375" s="5" t="str">
        <f t="shared" si="48"/>
        <v>Qualification</v>
      </c>
      <c r="S375" s="5" t="s">
        <v>3790</v>
      </c>
      <c r="T375" s="4">
        <v>31022</v>
      </c>
      <c r="U375" s="5">
        <f t="shared" si="49"/>
        <v>1984</v>
      </c>
      <c r="V375" s="5" t="s">
        <v>3792</v>
      </c>
      <c r="W375" s="9">
        <f t="shared" si="46"/>
        <v>40</v>
      </c>
      <c r="X375" s="5" t="str">
        <f t="shared" si="50"/>
        <v>[40 - 44 ans]</v>
      </c>
      <c r="Y375" s="5" t="str">
        <f t="shared" si="51"/>
        <v xml:space="preserve"> Mellenials </v>
      </c>
      <c r="Z375" s="9">
        <f t="shared" si="52"/>
        <v>20</v>
      </c>
      <c r="AA375" s="5" t="str">
        <f t="shared" si="53"/>
        <v>RAS</v>
      </c>
      <c r="AB375" s="5" t="s">
        <v>3816</v>
      </c>
      <c r="AC375" s="6" t="s">
        <v>3802</v>
      </c>
      <c r="AE375" s="5" t="s">
        <v>3844</v>
      </c>
      <c r="AF375" s="5" t="s">
        <v>4482</v>
      </c>
      <c r="AG375" s="5" t="s">
        <v>4485</v>
      </c>
      <c r="AH375" s="5" t="s">
        <v>4488</v>
      </c>
      <c r="AI375" s="5" t="s">
        <v>4101</v>
      </c>
      <c r="AJ375" s="5" t="s">
        <v>4102</v>
      </c>
      <c r="AK375" s="5" t="s">
        <v>4103</v>
      </c>
      <c r="AL375" s="5" t="s">
        <v>3858</v>
      </c>
    </row>
    <row r="376" spans="1:38" x14ac:dyDescent="0.3">
      <c r="A376" s="4">
        <v>45716</v>
      </c>
      <c r="B376" s="5" t="s">
        <v>1401</v>
      </c>
      <c r="C376" s="5" t="s">
        <v>1402</v>
      </c>
      <c r="D376" s="5" t="s">
        <v>1403</v>
      </c>
      <c r="E376" s="5" t="s">
        <v>4494</v>
      </c>
      <c r="G376" s="5" t="s">
        <v>88</v>
      </c>
      <c r="H376" s="5" t="s">
        <v>456</v>
      </c>
      <c r="I376" s="5" t="s">
        <v>652</v>
      </c>
      <c r="J376" s="5" t="s">
        <v>883</v>
      </c>
      <c r="K376" s="4">
        <v>40483</v>
      </c>
      <c r="L376" s="4">
        <v>40471</v>
      </c>
      <c r="M376" s="9">
        <f t="shared" si="45"/>
        <v>14</v>
      </c>
      <c r="N376" s="4" t="str">
        <f t="shared" si="47"/>
        <v>] 10 ; 15 ]</v>
      </c>
      <c r="O376" s="5" t="s">
        <v>3780</v>
      </c>
      <c r="P376" s="5" t="s">
        <v>3780</v>
      </c>
      <c r="Q376" s="5">
        <v>2</v>
      </c>
      <c r="R376" s="5" t="str">
        <f t="shared" si="48"/>
        <v>Qualification</v>
      </c>
      <c r="S376" s="5" t="s">
        <v>3790</v>
      </c>
      <c r="T376" s="4">
        <v>31090</v>
      </c>
      <c r="U376" s="5">
        <f t="shared" si="49"/>
        <v>1985</v>
      </c>
      <c r="V376" s="5" t="s">
        <v>3793</v>
      </c>
      <c r="W376" s="9">
        <f t="shared" si="46"/>
        <v>40</v>
      </c>
      <c r="X376" s="5" t="str">
        <f t="shared" si="50"/>
        <v>[40 - 44 ans]</v>
      </c>
      <c r="Y376" s="5" t="str">
        <f t="shared" si="51"/>
        <v xml:space="preserve"> Mellenials </v>
      </c>
      <c r="Z376" s="9">
        <f t="shared" si="52"/>
        <v>20</v>
      </c>
      <c r="AA376" s="5" t="str">
        <f t="shared" si="53"/>
        <v>RAS</v>
      </c>
      <c r="AB376" s="5" t="s">
        <v>3822</v>
      </c>
      <c r="AC376" s="6" t="s">
        <v>3802</v>
      </c>
      <c r="AE376" s="5" t="s">
        <v>3844</v>
      </c>
      <c r="AF376" s="5" t="s">
        <v>4482</v>
      </c>
      <c r="AG376" s="5" t="s">
        <v>4485</v>
      </c>
      <c r="AH376" s="5" t="s">
        <v>4488</v>
      </c>
      <c r="AI376" s="5" t="s">
        <v>4166</v>
      </c>
      <c r="AJ376" s="5" t="s">
        <v>4167</v>
      </c>
      <c r="AK376" s="5" t="s">
        <v>4168</v>
      </c>
      <c r="AL376" s="5" t="s">
        <v>3858</v>
      </c>
    </row>
    <row r="377" spans="1:38" x14ac:dyDescent="0.3">
      <c r="A377" s="4">
        <v>45716</v>
      </c>
      <c r="B377" s="5" t="s">
        <v>1404</v>
      </c>
      <c r="C377" s="5" t="s">
        <v>1405</v>
      </c>
      <c r="D377" s="5" t="s">
        <v>1406</v>
      </c>
      <c r="E377" s="5" t="s">
        <v>4494</v>
      </c>
      <c r="G377" s="5" t="s">
        <v>88</v>
      </c>
      <c r="H377" s="5" t="s">
        <v>456</v>
      </c>
      <c r="I377" s="5" t="s">
        <v>652</v>
      </c>
      <c r="J377" s="5" t="s">
        <v>883</v>
      </c>
      <c r="K377" s="4">
        <v>40483</v>
      </c>
      <c r="L377" s="4">
        <v>40471</v>
      </c>
      <c r="M377" s="9">
        <f t="shared" si="45"/>
        <v>14</v>
      </c>
      <c r="N377" s="4" t="str">
        <f t="shared" si="47"/>
        <v>] 10 ; 15 ]</v>
      </c>
      <c r="O377" s="5" t="s">
        <v>3780</v>
      </c>
      <c r="P377" s="5" t="s">
        <v>3786</v>
      </c>
      <c r="Q377" s="5">
        <v>1</v>
      </c>
      <c r="R377" s="5" t="str">
        <f t="shared" si="48"/>
        <v>Qualification</v>
      </c>
      <c r="S377" s="5" t="s">
        <v>3790</v>
      </c>
      <c r="T377" s="4">
        <v>30851</v>
      </c>
      <c r="U377" s="5">
        <f t="shared" si="49"/>
        <v>1984</v>
      </c>
      <c r="V377" s="5" t="s">
        <v>3792</v>
      </c>
      <c r="W377" s="9">
        <f t="shared" si="46"/>
        <v>40</v>
      </c>
      <c r="X377" s="5" t="str">
        <f t="shared" si="50"/>
        <v>[40 - 44 ans]</v>
      </c>
      <c r="Y377" s="5" t="str">
        <f t="shared" si="51"/>
        <v xml:space="preserve"> Mellenials </v>
      </c>
      <c r="Z377" s="9">
        <f t="shared" si="52"/>
        <v>20</v>
      </c>
      <c r="AA377" s="5" t="str">
        <f t="shared" si="53"/>
        <v>RAS</v>
      </c>
      <c r="AB377" s="5" t="s">
        <v>3822</v>
      </c>
      <c r="AC377" s="6" t="s">
        <v>3802</v>
      </c>
      <c r="AE377" s="5" t="s">
        <v>3844</v>
      </c>
      <c r="AF377" s="5" t="s">
        <v>4482</v>
      </c>
      <c r="AG377" s="5" t="s">
        <v>4485</v>
      </c>
      <c r="AH377" s="5" t="s">
        <v>4488</v>
      </c>
      <c r="AI377" s="5" t="s">
        <v>4166</v>
      </c>
      <c r="AJ377" s="5" t="s">
        <v>4167</v>
      </c>
      <c r="AK377" s="5" t="s">
        <v>4168</v>
      </c>
      <c r="AL377" s="5" t="s">
        <v>3858</v>
      </c>
    </row>
    <row r="378" spans="1:38" x14ac:dyDescent="0.3">
      <c r="A378" s="4">
        <v>45716</v>
      </c>
      <c r="B378" s="5" t="s">
        <v>1407</v>
      </c>
      <c r="C378" s="5" t="s">
        <v>1408</v>
      </c>
      <c r="D378" s="5" t="s">
        <v>1409</v>
      </c>
      <c r="E378" s="5" t="s">
        <v>4494</v>
      </c>
      <c r="G378" s="5" t="s">
        <v>88</v>
      </c>
      <c r="H378" s="5" t="s">
        <v>1410</v>
      </c>
      <c r="I378" s="5" t="s">
        <v>1245</v>
      </c>
      <c r="J378" s="5" t="s">
        <v>182</v>
      </c>
      <c r="K378" s="4">
        <v>40483</v>
      </c>
      <c r="L378" s="4">
        <v>40471</v>
      </c>
      <c r="M378" s="9">
        <f t="shared" si="45"/>
        <v>14</v>
      </c>
      <c r="N378" s="4" t="str">
        <f t="shared" si="47"/>
        <v>] 10 ; 15 ]</v>
      </c>
      <c r="O378" s="5" t="s">
        <v>3786</v>
      </c>
      <c r="P378" s="5" t="s">
        <v>3786</v>
      </c>
      <c r="Q378" s="5">
        <v>1</v>
      </c>
      <c r="R378" s="5" t="str">
        <f t="shared" si="48"/>
        <v>Specialisation</v>
      </c>
      <c r="S378" s="5" t="s">
        <v>3790</v>
      </c>
      <c r="T378" s="4">
        <v>31776</v>
      </c>
      <c r="U378" s="5">
        <f t="shared" si="49"/>
        <v>1986</v>
      </c>
      <c r="V378" s="5" t="s">
        <v>3793</v>
      </c>
      <c r="W378" s="9">
        <f t="shared" si="46"/>
        <v>38</v>
      </c>
      <c r="X378" s="5" t="str">
        <f t="shared" si="50"/>
        <v>[35 - 39 ans ]</v>
      </c>
      <c r="Y378" s="5" t="str">
        <f t="shared" si="51"/>
        <v xml:space="preserve"> Mellenials </v>
      </c>
      <c r="Z378" s="9">
        <f t="shared" si="52"/>
        <v>22</v>
      </c>
      <c r="AA378" s="5" t="str">
        <f t="shared" si="53"/>
        <v>RAS</v>
      </c>
      <c r="AB378" s="5" t="s">
        <v>3805</v>
      </c>
      <c r="AC378" s="6" t="s">
        <v>3799</v>
      </c>
      <c r="AE378" s="5" t="s">
        <v>3844</v>
      </c>
      <c r="AF378" s="5" t="s">
        <v>4482</v>
      </c>
      <c r="AG378" s="5" t="s">
        <v>4485</v>
      </c>
      <c r="AH378" s="5" t="s">
        <v>4488</v>
      </c>
      <c r="AI378" s="5" t="s">
        <v>4273</v>
      </c>
      <c r="AJ378" s="5" t="s">
        <v>4274</v>
      </c>
      <c r="AK378" s="5">
        <v>11100</v>
      </c>
      <c r="AL378" s="5" t="s">
        <v>3858</v>
      </c>
    </row>
    <row r="379" spans="1:38" x14ac:dyDescent="0.3">
      <c r="A379" s="4">
        <v>45716</v>
      </c>
      <c r="B379" s="5" t="s">
        <v>1411</v>
      </c>
      <c r="C379" s="5" t="s">
        <v>1412</v>
      </c>
      <c r="D379" s="5" t="s">
        <v>1413</v>
      </c>
      <c r="E379" s="5" t="s">
        <v>4494</v>
      </c>
      <c r="G379" s="5" t="s">
        <v>88</v>
      </c>
      <c r="H379" s="5" t="s">
        <v>456</v>
      </c>
      <c r="I379" s="5" t="s">
        <v>2265</v>
      </c>
      <c r="J379" s="5" t="s">
        <v>883</v>
      </c>
      <c r="K379" s="4">
        <v>40483</v>
      </c>
      <c r="L379" s="4">
        <v>40471</v>
      </c>
      <c r="M379" s="9">
        <f t="shared" si="45"/>
        <v>14</v>
      </c>
      <c r="N379" s="4" t="str">
        <f t="shared" si="47"/>
        <v>] 10 ; 15 ]</v>
      </c>
      <c r="O379" s="5" t="s">
        <v>3780</v>
      </c>
      <c r="P379" s="5" t="s">
        <v>3786</v>
      </c>
      <c r="Q379" s="5">
        <v>1</v>
      </c>
      <c r="R379" s="5" t="str">
        <f t="shared" si="48"/>
        <v>Qualification</v>
      </c>
      <c r="S379" s="5" t="s">
        <v>3789</v>
      </c>
      <c r="T379" s="4">
        <v>31866</v>
      </c>
      <c r="U379" s="5">
        <f t="shared" si="49"/>
        <v>1987</v>
      </c>
      <c r="V379" s="5" t="s">
        <v>3793</v>
      </c>
      <c r="W379" s="9">
        <f t="shared" si="46"/>
        <v>37</v>
      </c>
      <c r="X379" s="5" t="str">
        <f t="shared" si="50"/>
        <v>[35 - 39 ans ]</v>
      </c>
      <c r="Y379" s="5" t="str">
        <f t="shared" si="51"/>
        <v xml:space="preserve"> Mellenials </v>
      </c>
      <c r="Z379" s="9">
        <f t="shared" si="52"/>
        <v>23</v>
      </c>
      <c r="AA379" s="5" t="str">
        <f t="shared" si="53"/>
        <v>RAS</v>
      </c>
      <c r="AB379" s="5" t="s">
        <v>3816</v>
      </c>
      <c r="AC379" s="6" t="s">
        <v>3802</v>
      </c>
      <c r="AE379" s="5" t="s">
        <v>3844</v>
      </c>
      <c r="AF379" s="5" t="s">
        <v>4482</v>
      </c>
      <c r="AG379" s="5" t="s">
        <v>4485</v>
      </c>
      <c r="AH379" s="5" t="s">
        <v>4488</v>
      </c>
      <c r="AI379" s="5" t="s">
        <v>4101</v>
      </c>
      <c r="AJ379" s="5" t="s">
        <v>4102</v>
      </c>
      <c r="AK379" s="5" t="s">
        <v>4103</v>
      </c>
      <c r="AL379" s="5" t="s">
        <v>3858</v>
      </c>
    </row>
    <row r="380" spans="1:38" x14ac:dyDescent="0.3">
      <c r="A380" s="4">
        <v>45716</v>
      </c>
      <c r="B380" s="5" t="s">
        <v>1414</v>
      </c>
      <c r="C380" s="5" t="s">
        <v>1415</v>
      </c>
      <c r="D380" s="5" t="s">
        <v>1416</v>
      </c>
      <c r="E380" s="5" t="s">
        <v>4494</v>
      </c>
      <c r="G380" s="5" t="s">
        <v>88</v>
      </c>
      <c r="H380" s="5" t="s">
        <v>456</v>
      </c>
      <c r="I380" s="5" t="s">
        <v>2265</v>
      </c>
      <c r="J380" s="5" t="s">
        <v>883</v>
      </c>
      <c r="K380" s="4">
        <v>40483</v>
      </c>
      <c r="L380" s="4">
        <v>40471</v>
      </c>
      <c r="M380" s="9">
        <f t="shared" si="45"/>
        <v>14</v>
      </c>
      <c r="N380" s="4" t="str">
        <f t="shared" si="47"/>
        <v>] 10 ; 15 ]</v>
      </c>
      <c r="O380" s="5" t="s">
        <v>3780</v>
      </c>
      <c r="P380" s="5" t="s">
        <v>3786</v>
      </c>
      <c r="Q380" s="5">
        <v>1</v>
      </c>
      <c r="R380" s="5" t="str">
        <f t="shared" si="48"/>
        <v>Qualification</v>
      </c>
      <c r="S380" s="5" t="s">
        <v>3790</v>
      </c>
      <c r="T380" s="4">
        <v>31498</v>
      </c>
      <c r="U380" s="5">
        <f t="shared" si="49"/>
        <v>1986</v>
      </c>
      <c r="V380" s="5" t="s">
        <v>3793</v>
      </c>
      <c r="W380" s="9">
        <f t="shared" si="46"/>
        <v>38</v>
      </c>
      <c r="X380" s="5" t="str">
        <f t="shared" si="50"/>
        <v>[35 - 39 ans ]</v>
      </c>
      <c r="Y380" s="5" t="str">
        <f t="shared" si="51"/>
        <v xml:space="preserve"> Mellenials </v>
      </c>
      <c r="Z380" s="9">
        <f t="shared" si="52"/>
        <v>22</v>
      </c>
      <c r="AA380" s="5" t="str">
        <f t="shared" si="53"/>
        <v>RAS</v>
      </c>
      <c r="AB380" s="5" t="s">
        <v>3816</v>
      </c>
      <c r="AC380" s="6" t="s">
        <v>3802</v>
      </c>
      <c r="AE380" s="5" t="s">
        <v>3844</v>
      </c>
      <c r="AF380" s="5" t="s">
        <v>4482</v>
      </c>
      <c r="AG380" s="5" t="s">
        <v>4485</v>
      </c>
      <c r="AH380" s="5" t="s">
        <v>4488</v>
      </c>
      <c r="AI380" s="5" t="s">
        <v>4101</v>
      </c>
      <c r="AJ380" s="5" t="s">
        <v>4102</v>
      </c>
      <c r="AK380" s="5" t="s">
        <v>4103</v>
      </c>
      <c r="AL380" s="5" t="s">
        <v>3858</v>
      </c>
    </row>
    <row r="381" spans="1:38" x14ac:dyDescent="0.3">
      <c r="A381" s="4">
        <v>45716</v>
      </c>
      <c r="B381" s="5" t="s">
        <v>1417</v>
      </c>
      <c r="C381" s="5" t="s">
        <v>1418</v>
      </c>
      <c r="D381" s="5" t="s">
        <v>1419</v>
      </c>
      <c r="E381" s="5" t="s">
        <v>4494</v>
      </c>
      <c r="G381" s="5" t="s">
        <v>78</v>
      </c>
      <c r="H381" s="5" t="s">
        <v>527</v>
      </c>
      <c r="I381" s="5" t="s">
        <v>701</v>
      </c>
      <c r="J381" s="5" t="s">
        <v>1518</v>
      </c>
      <c r="K381" s="4">
        <v>40483</v>
      </c>
      <c r="L381" s="4">
        <v>40471</v>
      </c>
      <c r="M381" s="9">
        <f t="shared" si="45"/>
        <v>14</v>
      </c>
      <c r="N381" s="4" t="str">
        <f t="shared" si="47"/>
        <v>] 10 ; 15 ]</v>
      </c>
      <c r="O381" s="5" t="s">
        <v>3780</v>
      </c>
      <c r="P381" s="5" t="s">
        <v>3780</v>
      </c>
      <c r="Q381" s="5">
        <v>3</v>
      </c>
      <c r="R381" s="5" t="str">
        <f t="shared" si="48"/>
        <v>Qualification</v>
      </c>
      <c r="S381" s="5" t="s">
        <v>3790</v>
      </c>
      <c r="T381" s="4">
        <v>32340</v>
      </c>
      <c r="U381" s="5">
        <f t="shared" si="49"/>
        <v>1988</v>
      </c>
      <c r="V381" s="5" t="s">
        <v>3793</v>
      </c>
      <c r="W381" s="9">
        <f t="shared" si="46"/>
        <v>36</v>
      </c>
      <c r="X381" s="5" t="str">
        <f t="shared" si="50"/>
        <v>[35 - 39 ans ]</v>
      </c>
      <c r="Y381" s="5" t="str">
        <f t="shared" si="51"/>
        <v xml:space="preserve"> Mellenials </v>
      </c>
      <c r="Z381" s="9">
        <f t="shared" si="52"/>
        <v>24</v>
      </c>
      <c r="AA381" s="5" t="str">
        <f t="shared" si="53"/>
        <v>RAS</v>
      </c>
      <c r="AB381" s="5" t="s">
        <v>3805</v>
      </c>
      <c r="AC381" s="6" t="s">
        <v>3799</v>
      </c>
      <c r="AE381" s="5" t="s">
        <v>3844</v>
      </c>
      <c r="AF381" s="5" t="s">
        <v>4482</v>
      </c>
      <c r="AG381" s="5" t="s">
        <v>4485</v>
      </c>
      <c r="AH381" s="5" t="s">
        <v>4488</v>
      </c>
      <c r="AI381" s="5" t="s">
        <v>4174</v>
      </c>
      <c r="AJ381" s="5" t="s">
        <v>4175</v>
      </c>
      <c r="AK381" s="5">
        <v>81310</v>
      </c>
      <c r="AL381" s="5" t="s">
        <v>3858</v>
      </c>
    </row>
    <row r="382" spans="1:38" x14ac:dyDescent="0.3">
      <c r="A382" s="4">
        <v>45716</v>
      </c>
      <c r="B382" s="5" t="s">
        <v>1420</v>
      </c>
      <c r="C382" s="5" t="s">
        <v>1421</v>
      </c>
      <c r="D382" s="5" t="s">
        <v>1422</v>
      </c>
      <c r="E382" s="5" t="s">
        <v>4494</v>
      </c>
      <c r="G382" s="5" t="s">
        <v>39</v>
      </c>
      <c r="H382" s="5" t="s">
        <v>4502</v>
      </c>
      <c r="I382" s="5" t="s">
        <v>3203</v>
      </c>
      <c r="J382" s="5" t="s">
        <v>1218</v>
      </c>
      <c r="K382" s="4">
        <v>40483</v>
      </c>
      <c r="L382" s="4">
        <v>37288</v>
      </c>
      <c r="M382" s="9">
        <f t="shared" si="45"/>
        <v>23</v>
      </c>
      <c r="N382" s="4" t="str">
        <f t="shared" si="47"/>
        <v>] 15 ; +oo [</v>
      </c>
      <c r="O382" s="5" t="s">
        <v>3786</v>
      </c>
      <c r="P382" s="5" t="s">
        <v>3783</v>
      </c>
      <c r="Q382" s="5">
        <v>1</v>
      </c>
      <c r="R382" s="5" t="str">
        <f t="shared" si="48"/>
        <v>Specialisation</v>
      </c>
      <c r="S382" s="5" t="s">
        <v>3789</v>
      </c>
      <c r="T382" s="4">
        <v>27125</v>
      </c>
      <c r="U382" s="5">
        <f t="shared" si="49"/>
        <v>1974</v>
      </c>
      <c r="V382" s="5" t="s">
        <v>3793</v>
      </c>
      <c r="W382" s="9">
        <f t="shared" si="46"/>
        <v>50</v>
      </c>
      <c r="X382" s="5" t="str">
        <f t="shared" si="50"/>
        <v>[50 ans, +oo [</v>
      </c>
      <c r="Y382" s="5" t="str">
        <f t="shared" si="51"/>
        <v xml:space="preserve"> Generation X </v>
      </c>
      <c r="Z382" s="9">
        <f t="shared" si="52"/>
        <v>10</v>
      </c>
      <c r="AA382" s="5" t="str">
        <f t="shared" si="53"/>
        <v>RAS</v>
      </c>
      <c r="AB382" s="5" t="s">
        <v>3807</v>
      </c>
      <c r="AC382" s="6" t="s">
        <v>3799</v>
      </c>
      <c r="AE382" s="5" t="s">
        <v>3844</v>
      </c>
      <c r="AF382" s="5" t="s">
        <v>4482</v>
      </c>
      <c r="AG382" s="5" t="s">
        <v>4485</v>
      </c>
      <c r="AH382" s="5" t="s">
        <v>4489</v>
      </c>
      <c r="AI382" s="5" t="s">
        <v>4026</v>
      </c>
      <c r="AJ382" s="5" t="s">
        <v>4027</v>
      </c>
      <c r="AK382" s="5">
        <v>14100</v>
      </c>
      <c r="AL382" s="5" t="s">
        <v>3858</v>
      </c>
    </row>
    <row r="383" spans="1:38" x14ac:dyDescent="0.3">
      <c r="A383" s="4">
        <v>45716</v>
      </c>
      <c r="B383" s="5" t="s">
        <v>1423</v>
      </c>
      <c r="C383" s="5" t="s">
        <v>1424</v>
      </c>
      <c r="D383" s="5" t="s">
        <v>1425</v>
      </c>
      <c r="E383" s="5" t="s">
        <v>4494</v>
      </c>
      <c r="G383" s="5" t="s">
        <v>39</v>
      </c>
      <c r="H383" s="5" t="s">
        <v>1426</v>
      </c>
      <c r="I383" s="5" t="s">
        <v>153</v>
      </c>
      <c r="J383" s="5" t="s">
        <v>153</v>
      </c>
      <c r="K383" s="4">
        <v>40483</v>
      </c>
      <c r="L383" s="4">
        <v>40483</v>
      </c>
      <c r="M383" s="9">
        <f t="shared" si="45"/>
        <v>14</v>
      </c>
      <c r="N383" s="4" t="str">
        <f t="shared" si="47"/>
        <v>] 10 ; 15 ]</v>
      </c>
      <c r="O383" s="5" t="s">
        <v>3782</v>
      </c>
      <c r="P383" s="5" t="s">
        <v>3782</v>
      </c>
      <c r="Q383" s="5">
        <v>2</v>
      </c>
      <c r="R383" s="5" t="str">
        <f t="shared" si="48"/>
        <v>Management &amp; Expertise</v>
      </c>
      <c r="S383" s="5" t="s">
        <v>3789</v>
      </c>
      <c r="T383" s="4">
        <v>30585</v>
      </c>
      <c r="U383" s="5">
        <f t="shared" si="49"/>
        <v>1983</v>
      </c>
      <c r="V383" s="5" t="s">
        <v>3793</v>
      </c>
      <c r="W383" s="9">
        <f t="shared" si="46"/>
        <v>41</v>
      </c>
      <c r="X383" s="5" t="str">
        <f t="shared" si="50"/>
        <v>[40 - 44 ans]</v>
      </c>
      <c r="Y383" s="5" t="str">
        <f t="shared" si="51"/>
        <v xml:space="preserve"> Mellenials </v>
      </c>
      <c r="Z383" s="9">
        <f t="shared" si="52"/>
        <v>19</v>
      </c>
      <c r="AA383" s="5" t="str">
        <f t="shared" si="53"/>
        <v>RAS</v>
      </c>
      <c r="AB383" s="5" t="s">
        <v>3807</v>
      </c>
      <c r="AC383" s="6" t="s">
        <v>3799</v>
      </c>
      <c r="AE383" s="5" t="s">
        <v>3845</v>
      </c>
      <c r="AF383" s="5" t="s">
        <v>4481</v>
      </c>
      <c r="AG383" s="5" t="s">
        <v>4485</v>
      </c>
      <c r="AH383" s="5" t="s">
        <v>4489</v>
      </c>
      <c r="AI383" s="5" t="s">
        <v>4304</v>
      </c>
      <c r="AJ383" s="5" t="s">
        <v>4305</v>
      </c>
      <c r="AK383" s="5" t="s">
        <v>4306</v>
      </c>
      <c r="AL383" s="5" t="s">
        <v>3854</v>
      </c>
    </row>
    <row r="384" spans="1:38" x14ac:dyDescent="0.3">
      <c r="A384" s="4">
        <v>45716</v>
      </c>
      <c r="B384" s="5" t="s">
        <v>1427</v>
      </c>
      <c r="C384" s="5" t="s">
        <v>1428</v>
      </c>
      <c r="D384" s="5" t="s">
        <v>1429</v>
      </c>
      <c r="E384" s="5" t="s">
        <v>4494</v>
      </c>
      <c r="G384" s="5" t="s">
        <v>137</v>
      </c>
      <c r="H384" s="5" t="s">
        <v>1430</v>
      </c>
      <c r="I384" s="5" t="s">
        <v>381</v>
      </c>
      <c r="J384" s="5" t="s">
        <v>1346</v>
      </c>
      <c r="K384" s="4">
        <v>40490</v>
      </c>
      <c r="L384" s="4">
        <v>40490</v>
      </c>
      <c r="M384" s="9">
        <f t="shared" si="45"/>
        <v>14</v>
      </c>
      <c r="N384" s="4" t="str">
        <f t="shared" si="47"/>
        <v>] 10 ; 15 ]</v>
      </c>
      <c r="O384" s="5" t="s">
        <v>3782</v>
      </c>
      <c r="P384" s="5" t="s">
        <v>3784</v>
      </c>
      <c r="Q384" s="5">
        <v>1</v>
      </c>
      <c r="R384" s="5" t="str">
        <f t="shared" si="48"/>
        <v>Management &amp; Expertise</v>
      </c>
      <c r="S384" s="5" t="s">
        <v>3790</v>
      </c>
      <c r="T384" s="4">
        <v>28733</v>
      </c>
      <c r="U384" s="5">
        <f t="shared" si="49"/>
        <v>1978</v>
      </c>
      <c r="V384" s="5" t="s">
        <v>3793</v>
      </c>
      <c r="W384" s="9">
        <f t="shared" si="46"/>
        <v>46</v>
      </c>
      <c r="X384" s="5" t="str">
        <f t="shared" si="50"/>
        <v>[45 - 49 ans]</v>
      </c>
      <c r="Y384" s="5" t="str">
        <f t="shared" si="51"/>
        <v xml:space="preserve"> Generation X </v>
      </c>
      <c r="Z384" s="9">
        <f t="shared" si="52"/>
        <v>14</v>
      </c>
      <c r="AA384" s="5" t="str">
        <f t="shared" si="53"/>
        <v>RAS</v>
      </c>
      <c r="AB384" s="5" t="s">
        <v>3806</v>
      </c>
      <c r="AC384" s="6" t="s">
        <v>3799</v>
      </c>
      <c r="AE384" s="5" t="s">
        <v>3845</v>
      </c>
      <c r="AF384" s="5" t="s">
        <v>4481</v>
      </c>
      <c r="AG384" s="5" t="s">
        <v>4485</v>
      </c>
      <c r="AH384" s="5" t="s">
        <v>4487</v>
      </c>
      <c r="AI384" s="5" t="s">
        <v>4307</v>
      </c>
      <c r="AJ384" s="5" t="s">
        <v>4308</v>
      </c>
      <c r="AK384" s="5" t="s">
        <v>4309</v>
      </c>
      <c r="AL384" s="5" t="s">
        <v>3854</v>
      </c>
    </row>
    <row r="385" spans="1:38" x14ac:dyDescent="0.3">
      <c r="A385" s="4">
        <v>45716</v>
      </c>
      <c r="B385" s="5" t="s">
        <v>1431</v>
      </c>
      <c r="C385" s="5" t="s">
        <v>1432</v>
      </c>
      <c r="D385" s="5" t="s">
        <v>1433</v>
      </c>
      <c r="E385" s="5" t="s">
        <v>4494</v>
      </c>
      <c r="G385" s="5" t="s">
        <v>24</v>
      </c>
      <c r="H385" s="5" t="s">
        <v>1434</v>
      </c>
      <c r="I385" s="5" t="s">
        <v>23</v>
      </c>
      <c r="J385" s="5" t="s">
        <v>1857</v>
      </c>
      <c r="K385" s="4">
        <v>40492</v>
      </c>
      <c r="L385" s="4">
        <v>40492</v>
      </c>
      <c r="M385" s="9">
        <f t="shared" ref="M385:M448" si="54">DATEDIF(L385,A385,"y")</f>
        <v>14</v>
      </c>
      <c r="N385" s="4" t="str">
        <f t="shared" si="47"/>
        <v>] 10 ; 15 ]</v>
      </c>
      <c r="O385" s="5" t="s">
        <v>3784</v>
      </c>
      <c r="P385" s="5" t="s">
        <v>3784</v>
      </c>
      <c r="Q385" s="5">
        <v>1</v>
      </c>
      <c r="R385" s="5" t="str">
        <f t="shared" si="48"/>
        <v>Management &amp; Expertise</v>
      </c>
      <c r="S385" s="5" t="s">
        <v>3789</v>
      </c>
      <c r="T385" s="4">
        <v>26892</v>
      </c>
      <c r="U385" s="5">
        <f t="shared" si="49"/>
        <v>1973</v>
      </c>
      <c r="V385" s="5" t="s">
        <v>3793</v>
      </c>
      <c r="W385" s="9">
        <f t="shared" ref="W385:W448" si="55">DATEDIF(T385,A385,"y")</f>
        <v>51</v>
      </c>
      <c r="X385" s="5" t="str">
        <f t="shared" si="50"/>
        <v>[50 ans, +oo [</v>
      </c>
      <c r="Y385" s="5" t="str">
        <f t="shared" si="51"/>
        <v xml:space="preserve"> Generation X </v>
      </c>
      <c r="Z385" s="9">
        <f t="shared" si="52"/>
        <v>9</v>
      </c>
      <c r="AA385" s="5" t="str">
        <f t="shared" si="53"/>
        <v>RAS</v>
      </c>
      <c r="AB385" s="5" t="s">
        <v>3808</v>
      </c>
      <c r="AC385" s="6" t="s">
        <v>3799</v>
      </c>
      <c r="AE385" s="5" t="s">
        <v>3844</v>
      </c>
      <c r="AF385" s="5" t="s">
        <v>4481</v>
      </c>
      <c r="AG385" s="5" t="s">
        <v>4485</v>
      </c>
      <c r="AH385" s="5" t="s">
        <v>4488</v>
      </c>
      <c r="AI385" s="5" t="s">
        <v>3851</v>
      </c>
      <c r="AJ385" s="5" t="s">
        <v>3852</v>
      </c>
      <c r="AK385" s="5" t="s">
        <v>3853</v>
      </c>
      <c r="AL385" s="5" t="s">
        <v>3858</v>
      </c>
    </row>
    <row r="386" spans="1:38" x14ac:dyDescent="0.3">
      <c r="A386" s="4">
        <v>45716</v>
      </c>
      <c r="B386" s="5" t="s">
        <v>1435</v>
      </c>
      <c r="C386" s="5" t="s">
        <v>1436</v>
      </c>
      <c r="D386" s="5" t="s">
        <v>1437</v>
      </c>
      <c r="E386" s="5" t="s">
        <v>4494</v>
      </c>
      <c r="G386" s="5" t="s">
        <v>83</v>
      </c>
      <c r="H386" s="5" t="s">
        <v>1438</v>
      </c>
      <c r="I386" s="5" t="s">
        <v>96</v>
      </c>
      <c r="J386" s="5" t="s">
        <v>1222</v>
      </c>
      <c r="K386" s="4">
        <v>40493</v>
      </c>
      <c r="L386" s="4">
        <v>40133</v>
      </c>
      <c r="M386" s="9">
        <f t="shared" si="54"/>
        <v>15</v>
      </c>
      <c r="N386" s="4" t="str">
        <f t="shared" ref="N386:N449" si="56">IF(M386&lt;=2," ] 0 ; 2 ]",IF(AND(M386&gt;2,M386&lt;=5),"] 2 ; 5 ]",IF(AND(M386&gt;5,M386&lt;=8),"] 5 ; 8 ]",IF(AND(M386&gt;8,M386&lt;=10),"] 8 ; 10 ]",IF(AND(M386&gt;10,M386&lt;=15),"] 10 ; 15 ]","] 15 ; +oo [")))))</f>
        <v>] 10 ; 15 ]</v>
      </c>
      <c r="O386" s="5" t="s">
        <v>3783</v>
      </c>
      <c r="P386" s="5" t="s">
        <v>3783</v>
      </c>
      <c r="Q386" s="5">
        <v>2</v>
      </c>
      <c r="R386" s="5" t="str">
        <f t="shared" ref="R386:R449" si="57">IF(OR(O386="A",O386="B",O386="C",O386="D"),"Qualification",IF(OR(O386="E",O386="F",O386="G"),"Specialisation","Management &amp; Expertise"))</f>
        <v>Specialisation</v>
      </c>
      <c r="S386" s="5" t="s">
        <v>3789</v>
      </c>
      <c r="T386" s="4">
        <v>29428</v>
      </c>
      <c r="U386" s="5">
        <f t="shared" ref="U386:U449" si="58">YEAR(T386)</f>
        <v>1980</v>
      </c>
      <c r="V386" s="5" t="s">
        <v>3793</v>
      </c>
      <c r="W386" s="9">
        <f t="shared" si="55"/>
        <v>44</v>
      </c>
      <c r="X386" s="5" t="str">
        <f t="shared" ref="X386:X449" si="59">IF(W386&lt;30,"[20 - 29 ans[",IF(AND(W386&gt;=30,W386&lt;35),"[30 - 34 ans]",IF(AND(W386&gt;=35,W386&lt;40),"[35 - 39 ans ]",IF(AND(W386&gt;=40,W386&lt;45),"[40 - 44 ans]",IF(AND(W386&gt;=45,W386&lt;50),"[45 - 49 ans]","[50 ans, +oo [")))))</f>
        <v>[40 - 44 ans]</v>
      </c>
      <c r="Y386" s="5" t="str">
        <f t="shared" ref="Y386:Y449" si="60">IF(AND(U386&gt;1946,U386&lt;=1965)," Baby - Boomers ",IF(AND(U386&gt;1965,U386&lt;=1980)," Generation X ",IF(AND(U386&gt;1980,U386&lt;1996)," Mellenials ",IF(AND(U386&gt;1996,U386&lt;2012)," Gen Z "," Gen Alpha"))))</f>
        <v xml:space="preserve"> Generation X </v>
      </c>
      <c r="Z386" s="9">
        <f t="shared" ref="Z386:Z449" si="61">60-W386</f>
        <v>16</v>
      </c>
      <c r="AA386" s="5" t="str">
        <f t="shared" ref="AA386:AA449" si="62">IF(Z386&lt;=5,"Départ à la Retraite 5ans","RAS")</f>
        <v>RAS</v>
      </c>
      <c r="AB386" s="5" t="s">
        <v>3807</v>
      </c>
      <c r="AC386" s="6" t="s">
        <v>3799</v>
      </c>
      <c r="AE386" s="5" t="s">
        <v>3844</v>
      </c>
      <c r="AF386" s="5" t="s">
        <v>4482</v>
      </c>
      <c r="AG386" s="5" t="s">
        <v>4485</v>
      </c>
      <c r="AH386" s="5" t="s">
        <v>4489</v>
      </c>
      <c r="AI386" s="5" t="s">
        <v>3901</v>
      </c>
      <c r="AJ386" s="5" t="s">
        <v>3902</v>
      </c>
      <c r="AK386" s="5" t="s">
        <v>3903</v>
      </c>
      <c r="AL386" s="5" t="s">
        <v>3858</v>
      </c>
    </row>
    <row r="387" spans="1:38" x14ac:dyDescent="0.3">
      <c r="A387" s="4">
        <v>45716</v>
      </c>
      <c r="B387" s="5" t="s">
        <v>1439</v>
      </c>
      <c r="C387" s="5" t="s">
        <v>1440</v>
      </c>
      <c r="D387" s="5" t="s">
        <v>1441</v>
      </c>
      <c r="E387" s="5" t="s">
        <v>4494</v>
      </c>
      <c r="G387" s="5" t="s">
        <v>24</v>
      </c>
      <c r="H387" s="5" t="s">
        <v>256</v>
      </c>
      <c r="I387" s="5" t="s">
        <v>998</v>
      </c>
      <c r="J387" s="5" t="s">
        <v>23</v>
      </c>
      <c r="K387" s="4">
        <v>40483</v>
      </c>
      <c r="L387" s="4">
        <v>38924.041666666664</v>
      </c>
      <c r="M387" s="9">
        <f t="shared" si="54"/>
        <v>18</v>
      </c>
      <c r="N387" s="4" t="str">
        <f t="shared" si="56"/>
        <v>] 15 ; +oo [</v>
      </c>
      <c r="O387" s="5" t="s">
        <v>3786</v>
      </c>
      <c r="P387" s="5" t="s">
        <v>3783</v>
      </c>
      <c r="Q387" s="5">
        <v>2</v>
      </c>
      <c r="R387" s="5" t="str">
        <f t="shared" si="57"/>
        <v>Specialisation</v>
      </c>
      <c r="S387" s="5" t="s">
        <v>3789</v>
      </c>
      <c r="T387" s="4">
        <v>30078</v>
      </c>
      <c r="U387" s="5">
        <f t="shared" si="58"/>
        <v>1982</v>
      </c>
      <c r="V387" s="5" t="s">
        <v>3793</v>
      </c>
      <c r="W387" s="9">
        <f t="shared" si="55"/>
        <v>42</v>
      </c>
      <c r="X387" s="5" t="str">
        <f t="shared" si="59"/>
        <v>[40 - 44 ans]</v>
      </c>
      <c r="Y387" s="5" t="str">
        <f t="shared" si="60"/>
        <v xml:space="preserve"> Mellenials </v>
      </c>
      <c r="Z387" s="9">
        <f t="shared" si="61"/>
        <v>18</v>
      </c>
      <c r="AA387" s="5" t="str">
        <f t="shared" si="62"/>
        <v>RAS</v>
      </c>
      <c r="AB387" s="5" t="s">
        <v>3809</v>
      </c>
      <c r="AC387" s="6" t="s">
        <v>3800</v>
      </c>
      <c r="AE387" s="5" t="s">
        <v>3844</v>
      </c>
      <c r="AF387" s="5" t="s">
        <v>4482</v>
      </c>
      <c r="AG387" s="5" t="s">
        <v>4485</v>
      </c>
      <c r="AH387" s="5" t="s">
        <v>4488</v>
      </c>
      <c r="AI387" s="5" t="s">
        <v>3981</v>
      </c>
      <c r="AJ387" s="5" t="s">
        <v>3982</v>
      </c>
      <c r="AK387" s="5" t="s">
        <v>3983</v>
      </c>
      <c r="AL387" s="5" t="s">
        <v>3858</v>
      </c>
    </row>
    <row r="388" spans="1:38" x14ac:dyDescent="0.3">
      <c r="A388" s="4">
        <v>45716</v>
      </c>
      <c r="B388" s="5" t="s">
        <v>1442</v>
      </c>
      <c r="C388" s="5" t="s">
        <v>1443</v>
      </c>
      <c r="D388" s="5" t="s">
        <v>1444</v>
      </c>
      <c r="E388" s="5" t="s">
        <v>4494</v>
      </c>
      <c r="G388" s="5" t="s">
        <v>78</v>
      </c>
      <c r="H388" s="5" t="s">
        <v>527</v>
      </c>
      <c r="I388" s="5" t="s">
        <v>1633</v>
      </c>
      <c r="J388" s="5" t="s">
        <v>1518</v>
      </c>
      <c r="K388" s="4">
        <v>40504</v>
      </c>
      <c r="L388" s="4">
        <v>40504</v>
      </c>
      <c r="M388" s="9">
        <f t="shared" si="54"/>
        <v>14</v>
      </c>
      <c r="N388" s="4" t="str">
        <f t="shared" si="56"/>
        <v>] 10 ; 15 ]</v>
      </c>
      <c r="O388" s="5" t="s">
        <v>3780</v>
      </c>
      <c r="P388" s="5" t="s">
        <v>3786</v>
      </c>
      <c r="Q388" s="5">
        <v>1</v>
      </c>
      <c r="R388" s="5" t="str">
        <f t="shared" si="57"/>
        <v>Qualification</v>
      </c>
      <c r="S388" s="5" t="s">
        <v>3790</v>
      </c>
      <c r="T388" s="4">
        <v>26739</v>
      </c>
      <c r="U388" s="5">
        <f t="shared" si="58"/>
        <v>1973</v>
      </c>
      <c r="V388" s="5" t="s">
        <v>3793</v>
      </c>
      <c r="W388" s="9">
        <f t="shared" si="55"/>
        <v>51</v>
      </c>
      <c r="X388" s="5" t="str">
        <f t="shared" si="59"/>
        <v>[50 ans, +oo [</v>
      </c>
      <c r="Y388" s="5" t="str">
        <f t="shared" si="60"/>
        <v xml:space="preserve"> Generation X </v>
      </c>
      <c r="Z388" s="9">
        <f t="shared" si="61"/>
        <v>9</v>
      </c>
      <c r="AA388" s="5" t="str">
        <f t="shared" si="62"/>
        <v>RAS</v>
      </c>
      <c r="AB388" s="5" t="s">
        <v>3809</v>
      </c>
      <c r="AC388" s="6" t="s">
        <v>3800</v>
      </c>
      <c r="AE388" s="5" t="s">
        <v>3844</v>
      </c>
      <c r="AF388" s="5" t="s">
        <v>4482</v>
      </c>
      <c r="AG388" s="5" t="s">
        <v>4485</v>
      </c>
      <c r="AH388" s="5" t="s">
        <v>4488</v>
      </c>
      <c r="AI388" s="5" t="s">
        <v>4106</v>
      </c>
      <c r="AJ388" s="5" t="s">
        <v>4107</v>
      </c>
      <c r="AK388" s="5">
        <v>81310</v>
      </c>
      <c r="AL388" s="5" t="s">
        <v>3858</v>
      </c>
    </row>
    <row r="389" spans="1:38" x14ac:dyDescent="0.3">
      <c r="A389" s="4">
        <v>45716</v>
      </c>
      <c r="B389" s="5" t="s">
        <v>1445</v>
      </c>
      <c r="C389" s="5" t="s">
        <v>1446</v>
      </c>
      <c r="D389" s="5" t="s">
        <v>1447</v>
      </c>
      <c r="E389" s="5" t="s">
        <v>4494</v>
      </c>
      <c r="G389" s="5" t="s">
        <v>39</v>
      </c>
      <c r="H389" s="5" t="s">
        <v>1448</v>
      </c>
      <c r="I389" s="5" t="s">
        <v>149</v>
      </c>
      <c r="J389" s="5" t="s">
        <v>2821</v>
      </c>
      <c r="K389" s="4">
        <v>40513</v>
      </c>
      <c r="L389" s="4">
        <v>40513</v>
      </c>
      <c r="M389" s="9">
        <f t="shared" si="54"/>
        <v>14</v>
      </c>
      <c r="N389" s="4" t="str">
        <f t="shared" si="56"/>
        <v>] 10 ; 15 ]</v>
      </c>
      <c r="O389" s="5" t="s">
        <v>3782</v>
      </c>
      <c r="P389" s="5" t="s">
        <v>3784</v>
      </c>
      <c r="Q389" s="5">
        <v>1</v>
      </c>
      <c r="R389" s="5" t="str">
        <f t="shared" si="57"/>
        <v>Management &amp; Expertise</v>
      </c>
      <c r="S389" s="5" t="s">
        <v>3790</v>
      </c>
      <c r="T389" s="4">
        <v>31288</v>
      </c>
      <c r="U389" s="5">
        <f t="shared" si="58"/>
        <v>1985</v>
      </c>
      <c r="V389" s="5" t="s">
        <v>3793</v>
      </c>
      <c r="W389" s="9">
        <f t="shared" si="55"/>
        <v>39</v>
      </c>
      <c r="X389" s="5" t="str">
        <f t="shared" si="59"/>
        <v>[35 - 39 ans ]</v>
      </c>
      <c r="Y389" s="5" t="str">
        <f t="shared" si="60"/>
        <v xml:space="preserve"> Mellenials </v>
      </c>
      <c r="Z389" s="9">
        <f t="shared" si="61"/>
        <v>21</v>
      </c>
      <c r="AA389" s="5" t="str">
        <f t="shared" si="62"/>
        <v>RAS</v>
      </c>
      <c r="AB389" s="5" t="s">
        <v>3807</v>
      </c>
      <c r="AC389" s="6" t="s">
        <v>3799</v>
      </c>
      <c r="AE389" s="5" t="s">
        <v>3845</v>
      </c>
      <c r="AF389" s="5" t="s">
        <v>4481</v>
      </c>
      <c r="AG389" s="5" t="s">
        <v>4485</v>
      </c>
      <c r="AH389" s="5" t="s">
        <v>4489</v>
      </c>
      <c r="AI389" s="5" t="s">
        <v>4310</v>
      </c>
      <c r="AJ389" s="5" t="s">
        <v>4311</v>
      </c>
      <c r="AK389" s="5">
        <v>14120</v>
      </c>
      <c r="AL389" s="5" t="s">
        <v>3854</v>
      </c>
    </row>
    <row r="390" spans="1:38" x14ac:dyDescent="0.3">
      <c r="A390" s="4">
        <v>45716</v>
      </c>
      <c r="B390" s="5" t="s">
        <v>1449</v>
      </c>
      <c r="C390" s="5" t="s">
        <v>1450</v>
      </c>
      <c r="D390" s="5" t="s">
        <v>1451</v>
      </c>
      <c r="E390" s="5" t="s">
        <v>4494</v>
      </c>
      <c r="G390" s="5" t="s">
        <v>39</v>
      </c>
      <c r="H390" s="5" t="s">
        <v>1452</v>
      </c>
      <c r="I390" s="5" t="s">
        <v>1372</v>
      </c>
      <c r="J390" s="5" t="s">
        <v>2821</v>
      </c>
      <c r="K390" s="4">
        <v>40513</v>
      </c>
      <c r="L390" s="4">
        <v>40513</v>
      </c>
      <c r="M390" s="9">
        <f t="shared" si="54"/>
        <v>14</v>
      </c>
      <c r="N390" s="4" t="str">
        <f t="shared" si="56"/>
        <v>] 10 ; 15 ]</v>
      </c>
      <c r="O390" s="5" t="s">
        <v>3782</v>
      </c>
      <c r="P390" s="5" t="s">
        <v>3782</v>
      </c>
      <c r="Q390" s="5">
        <v>2</v>
      </c>
      <c r="R390" s="5" t="str">
        <f t="shared" si="57"/>
        <v>Management &amp; Expertise</v>
      </c>
      <c r="S390" s="5" t="s">
        <v>3789</v>
      </c>
      <c r="T390" s="4">
        <v>28770</v>
      </c>
      <c r="U390" s="5">
        <f t="shared" si="58"/>
        <v>1978</v>
      </c>
      <c r="V390" s="5" t="s">
        <v>3792</v>
      </c>
      <c r="W390" s="9">
        <f t="shared" si="55"/>
        <v>46</v>
      </c>
      <c r="X390" s="5" t="str">
        <f t="shared" si="59"/>
        <v>[45 - 49 ans]</v>
      </c>
      <c r="Y390" s="5" t="str">
        <f t="shared" si="60"/>
        <v xml:space="preserve"> Generation X </v>
      </c>
      <c r="Z390" s="9">
        <f t="shared" si="61"/>
        <v>14</v>
      </c>
      <c r="AA390" s="5" t="str">
        <f t="shared" si="62"/>
        <v>RAS</v>
      </c>
      <c r="AB390" s="5" t="s">
        <v>3805</v>
      </c>
      <c r="AC390" s="6" t="s">
        <v>3799</v>
      </c>
      <c r="AE390" s="5" t="s">
        <v>3845</v>
      </c>
      <c r="AF390" s="5" t="s">
        <v>4481</v>
      </c>
      <c r="AG390" s="5" t="s">
        <v>4485</v>
      </c>
      <c r="AH390" s="5" t="s">
        <v>4489</v>
      </c>
      <c r="AI390" s="5" t="s">
        <v>3957</v>
      </c>
      <c r="AJ390" s="5" t="s">
        <v>3958</v>
      </c>
      <c r="AK390" s="5" t="s">
        <v>3922</v>
      </c>
      <c r="AL390" s="5" t="s">
        <v>3854</v>
      </c>
    </row>
    <row r="391" spans="1:38" x14ac:dyDescent="0.3">
      <c r="A391" s="4">
        <v>45716</v>
      </c>
      <c r="B391" s="5" t="s">
        <v>1453</v>
      </c>
      <c r="C391" s="5" t="s">
        <v>1454</v>
      </c>
      <c r="D391" s="5" t="s">
        <v>1455</v>
      </c>
      <c r="E391" s="5" t="s">
        <v>4494</v>
      </c>
      <c r="G391" s="5" t="s">
        <v>88</v>
      </c>
      <c r="H391" s="5" t="s">
        <v>456</v>
      </c>
      <c r="I391" s="5" t="s">
        <v>1479</v>
      </c>
      <c r="J391" s="5" t="s">
        <v>883</v>
      </c>
      <c r="K391" s="4">
        <v>40513</v>
      </c>
      <c r="L391" s="4">
        <v>40513</v>
      </c>
      <c r="M391" s="9">
        <f t="shared" si="54"/>
        <v>14</v>
      </c>
      <c r="N391" s="4" t="str">
        <f t="shared" si="56"/>
        <v>] 10 ; 15 ]</v>
      </c>
      <c r="O391" s="5" t="s">
        <v>3780</v>
      </c>
      <c r="P391" s="5" t="s">
        <v>3786</v>
      </c>
      <c r="Q391" s="5">
        <v>1</v>
      </c>
      <c r="R391" s="5" t="str">
        <f t="shared" si="57"/>
        <v>Qualification</v>
      </c>
      <c r="S391" s="5" t="s">
        <v>3790</v>
      </c>
      <c r="T391" s="4">
        <v>31048</v>
      </c>
      <c r="U391" s="5">
        <f t="shared" si="58"/>
        <v>1985</v>
      </c>
      <c r="V391" s="5" t="s">
        <v>3793</v>
      </c>
      <c r="W391" s="9">
        <f t="shared" si="55"/>
        <v>40</v>
      </c>
      <c r="X391" s="5" t="str">
        <f t="shared" si="59"/>
        <v>[40 - 44 ans]</v>
      </c>
      <c r="Y391" s="5" t="str">
        <f t="shared" si="60"/>
        <v xml:space="preserve"> Mellenials </v>
      </c>
      <c r="Z391" s="9">
        <f t="shared" si="61"/>
        <v>20</v>
      </c>
      <c r="AA391" s="5" t="str">
        <f t="shared" si="62"/>
        <v>RAS</v>
      </c>
      <c r="AB391" s="5" t="s">
        <v>3834</v>
      </c>
      <c r="AC391" s="6" t="s">
        <v>3801</v>
      </c>
      <c r="AE391" s="5" t="s">
        <v>3844</v>
      </c>
      <c r="AF391" s="5" t="s">
        <v>4482</v>
      </c>
      <c r="AG391" s="5" t="s">
        <v>4485</v>
      </c>
      <c r="AH391" s="5" t="s">
        <v>4488</v>
      </c>
      <c r="AI391" s="5" t="s">
        <v>4312</v>
      </c>
      <c r="AJ391" s="5" t="s">
        <v>4313</v>
      </c>
      <c r="AK391" s="5" t="s">
        <v>4314</v>
      </c>
      <c r="AL391" s="5" t="s">
        <v>3858</v>
      </c>
    </row>
    <row r="392" spans="1:38" x14ac:dyDescent="0.3">
      <c r="A392" s="4">
        <v>45716</v>
      </c>
      <c r="B392" s="5" t="s">
        <v>1456</v>
      </c>
      <c r="C392" s="5" t="s">
        <v>1457</v>
      </c>
      <c r="D392" s="5" t="s">
        <v>1458</v>
      </c>
      <c r="E392" s="5" t="s">
        <v>4494</v>
      </c>
      <c r="G392" s="5" t="s">
        <v>88</v>
      </c>
      <c r="H392" s="5" t="s">
        <v>456</v>
      </c>
      <c r="I392" s="5" t="s">
        <v>1479</v>
      </c>
      <c r="J392" s="5" t="s">
        <v>883</v>
      </c>
      <c r="K392" s="4">
        <v>40513</v>
      </c>
      <c r="L392" s="4">
        <v>40513</v>
      </c>
      <c r="M392" s="9">
        <f t="shared" si="54"/>
        <v>14</v>
      </c>
      <c r="N392" s="4" t="str">
        <f t="shared" si="56"/>
        <v>] 10 ; 15 ]</v>
      </c>
      <c r="O392" s="5" t="s">
        <v>3780</v>
      </c>
      <c r="P392" s="5" t="s">
        <v>3780</v>
      </c>
      <c r="Q392" s="5">
        <v>3</v>
      </c>
      <c r="R392" s="5" t="str">
        <f t="shared" si="57"/>
        <v>Qualification</v>
      </c>
      <c r="S392" s="5" t="s">
        <v>3790</v>
      </c>
      <c r="T392" s="4">
        <v>30000</v>
      </c>
      <c r="U392" s="5">
        <f t="shared" si="58"/>
        <v>1982</v>
      </c>
      <c r="V392" s="5" t="s">
        <v>3792</v>
      </c>
      <c r="W392" s="9">
        <f t="shared" si="55"/>
        <v>43</v>
      </c>
      <c r="X392" s="5" t="str">
        <f t="shared" si="59"/>
        <v>[40 - 44 ans]</v>
      </c>
      <c r="Y392" s="5" t="str">
        <f t="shared" si="60"/>
        <v xml:space="preserve"> Mellenials </v>
      </c>
      <c r="Z392" s="9">
        <f t="shared" si="61"/>
        <v>17</v>
      </c>
      <c r="AA392" s="5" t="str">
        <f t="shared" si="62"/>
        <v>RAS</v>
      </c>
      <c r="AB392" s="5" t="s">
        <v>3834</v>
      </c>
      <c r="AC392" s="6" t="s">
        <v>3801</v>
      </c>
      <c r="AE392" s="5" t="s">
        <v>3844</v>
      </c>
      <c r="AF392" s="5" t="s">
        <v>4482</v>
      </c>
      <c r="AG392" s="5" t="s">
        <v>4485</v>
      </c>
      <c r="AH392" s="5" t="s">
        <v>4488</v>
      </c>
      <c r="AI392" s="5" t="s">
        <v>4312</v>
      </c>
      <c r="AJ392" s="5" t="s">
        <v>4313</v>
      </c>
      <c r="AK392" s="5" t="s">
        <v>4314</v>
      </c>
      <c r="AL392" s="5" t="s">
        <v>3858</v>
      </c>
    </row>
    <row r="393" spans="1:38" x14ac:dyDescent="0.3">
      <c r="A393" s="4">
        <v>45716</v>
      </c>
      <c r="B393" s="5" t="s">
        <v>1459</v>
      </c>
      <c r="C393" s="5" t="s">
        <v>1460</v>
      </c>
      <c r="D393" s="5" t="s">
        <v>1461</v>
      </c>
      <c r="E393" s="5" t="s">
        <v>4494</v>
      </c>
      <c r="G393" s="5" t="s">
        <v>88</v>
      </c>
      <c r="H393" s="5" t="s">
        <v>456</v>
      </c>
      <c r="I393" s="5" t="s">
        <v>1479</v>
      </c>
      <c r="J393" s="5" t="s">
        <v>883</v>
      </c>
      <c r="K393" s="4">
        <v>40513</v>
      </c>
      <c r="L393" s="4">
        <v>40513</v>
      </c>
      <c r="M393" s="9">
        <f t="shared" si="54"/>
        <v>14</v>
      </c>
      <c r="N393" s="4" t="str">
        <f t="shared" si="56"/>
        <v>] 10 ; 15 ]</v>
      </c>
      <c r="O393" s="5" t="s">
        <v>3780</v>
      </c>
      <c r="P393" s="5" t="s">
        <v>3786</v>
      </c>
      <c r="Q393" s="5">
        <v>1</v>
      </c>
      <c r="R393" s="5" t="str">
        <f t="shared" si="57"/>
        <v>Qualification</v>
      </c>
      <c r="S393" s="5" t="s">
        <v>3789</v>
      </c>
      <c r="T393" s="4">
        <v>31751</v>
      </c>
      <c r="U393" s="5">
        <f t="shared" si="58"/>
        <v>1986</v>
      </c>
      <c r="V393" s="5" t="s">
        <v>3793</v>
      </c>
      <c r="W393" s="9">
        <f t="shared" si="55"/>
        <v>38</v>
      </c>
      <c r="X393" s="5" t="str">
        <f t="shared" si="59"/>
        <v>[35 - 39 ans ]</v>
      </c>
      <c r="Y393" s="5" t="str">
        <f t="shared" si="60"/>
        <v xml:space="preserve"> Mellenials </v>
      </c>
      <c r="Z393" s="9">
        <f t="shared" si="61"/>
        <v>22</v>
      </c>
      <c r="AA393" s="5" t="str">
        <f t="shared" si="62"/>
        <v>RAS</v>
      </c>
      <c r="AB393" s="5" t="s">
        <v>3834</v>
      </c>
      <c r="AC393" s="6" t="s">
        <v>3801</v>
      </c>
      <c r="AE393" s="5" t="s">
        <v>3844</v>
      </c>
      <c r="AF393" s="5" t="s">
        <v>4482</v>
      </c>
      <c r="AG393" s="5" t="s">
        <v>4485</v>
      </c>
      <c r="AH393" s="5" t="s">
        <v>4488</v>
      </c>
      <c r="AI393" s="5" t="s">
        <v>4312</v>
      </c>
      <c r="AJ393" s="5" t="s">
        <v>4313</v>
      </c>
      <c r="AK393" s="5" t="s">
        <v>4314</v>
      </c>
      <c r="AL393" s="5" t="s">
        <v>3858</v>
      </c>
    </row>
    <row r="394" spans="1:38" x14ac:dyDescent="0.3">
      <c r="A394" s="4">
        <v>45716</v>
      </c>
      <c r="B394" s="5" t="s">
        <v>1462</v>
      </c>
      <c r="C394" s="5" t="s">
        <v>1463</v>
      </c>
      <c r="D394" s="5" t="s">
        <v>1464</v>
      </c>
      <c r="E394" s="5" t="s">
        <v>4494</v>
      </c>
      <c r="G394" s="5" t="s">
        <v>29</v>
      </c>
      <c r="H394" s="5" t="s">
        <v>30</v>
      </c>
      <c r="I394" s="5" t="s">
        <v>377</v>
      </c>
      <c r="J394" s="5" t="s">
        <v>69</v>
      </c>
      <c r="K394" s="4">
        <v>40513</v>
      </c>
      <c r="L394" s="4">
        <v>40513</v>
      </c>
      <c r="M394" s="9">
        <f t="shared" si="54"/>
        <v>14</v>
      </c>
      <c r="N394" s="4" t="str">
        <f t="shared" si="56"/>
        <v>] 10 ; 15 ]</v>
      </c>
      <c r="O394" s="5" t="s">
        <v>3780</v>
      </c>
      <c r="P394" s="5" t="s">
        <v>3786</v>
      </c>
      <c r="Q394" s="5">
        <v>1</v>
      </c>
      <c r="R394" s="5" t="str">
        <f t="shared" si="57"/>
        <v>Qualification</v>
      </c>
      <c r="S394" s="5" t="s">
        <v>3789</v>
      </c>
      <c r="T394" s="4">
        <v>30512</v>
      </c>
      <c r="U394" s="5">
        <f t="shared" si="58"/>
        <v>1983</v>
      </c>
      <c r="V394" s="5" t="s">
        <v>3793</v>
      </c>
      <c r="W394" s="9">
        <f t="shared" si="55"/>
        <v>41</v>
      </c>
      <c r="X394" s="5" t="str">
        <f t="shared" si="59"/>
        <v>[40 - 44 ans]</v>
      </c>
      <c r="Y394" s="5" t="str">
        <f t="shared" si="60"/>
        <v xml:space="preserve"> Mellenials </v>
      </c>
      <c r="Z394" s="9">
        <f t="shared" si="61"/>
        <v>19</v>
      </c>
      <c r="AA394" s="5" t="str">
        <f t="shared" si="62"/>
        <v>RAS</v>
      </c>
      <c r="AB394" s="5" t="s">
        <v>3834</v>
      </c>
      <c r="AC394" s="6" t="s">
        <v>3801</v>
      </c>
      <c r="AE394" s="5" t="s">
        <v>3844</v>
      </c>
      <c r="AF394" s="5" t="s">
        <v>4482</v>
      </c>
      <c r="AG394" s="5" t="s">
        <v>4485</v>
      </c>
      <c r="AH394" s="5" t="s">
        <v>4488</v>
      </c>
      <c r="AI394" s="5" t="s">
        <v>3855</v>
      </c>
      <c r="AJ394" s="5" t="s">
        <v>3856</v>
      </c>
      <c r="AK394" s="5" t="s">
        <v>3857</v>
      </c>
      <c r="AL394" s="5" t="s">
        <v>3858</v>
      </c>
    </row>
    <row r="395" spans="1:38" x14ac:dyDescent="0.3">
      <c r="A395" s="4">
        <v>45716</v>
      </c>
      <c r="B395" s="5" t="s">
        <v>1465</v>
      </c>
      <c r="C395" s="5" t="s">
        <v>1466</v>
      </c>
      <c r="D395" s="5" t="s">
        <v>1467</v>
      </c>
      <c r="E395" s="5" t="s">
        <v>4494</v>
      </c>
      <c r="G395" s="5" t="s">
        <v>88</v>
      </c>
      <c r="H395" s="5" t="s">
        <v>456</v>
      </c>
      <c r="I395" s="5" t="s">
        <v>1479</v>
      </c>
      <c r="J395" s="5" t="s">
        <v>883</v>
      </c>
      <c r="K395" s="4">
        <v>40513</v>
      </c>
      <c r="L395" s="4">
        <v>40513</v>
      </c>
      <c r="M395" s="9">
        <f t="shared" si="54"/>
        <v>14</v>
      </c>
      <c r="N395" s="4" t="str">
        <f t="shared" si="56"/>
        <v>] 10 ; 15 ]</v>
      </c>
      <c r="O395" s="5" t="s">
        <v>3780</v>
      </c>
      <c r="P395" s="5" t="s">
        <v>3780</v>
      </c>
      <c r="Q395" s="5">
        <v>3</v>
      </c>
      <c r="R395" s="5" t="str">
        <f t="shared" si="57"/>
        <v>Qualification</v>
      </c>
      <c r="S395" s="5" t="s">
        <v>3790</v>
      </c>
      <c r="T395" s="4">
        <v>30836</v>
      </c>
      <c r="U395" s="5">
        <f t="shared" si="58"/>
        <v>1984</v>
      </c>
      <c r="V395" s="5" t="s">
        <v>3793</v>
      </c>
      <c r="W395" s="9">
        <f t="shared" si="55"/>
        <v>40</v>
      </c>
      <c r="X395" s="5" t="str">
        <f t="shared" si="59"/>
        <v>[40 - 44 ans]</v>
      </c>
      <c r="Y395" s="5" t="str">
        <f t="shared" si="60"/>
        <v xml:space="preserve"> Mellenials </v>
      </c>
      <c r="Z395" s="9">
        <f t="shared" si="61"/>
        <v>20</v>
      </c>
      <c r="AA395" s="5" t="str">
        <f t="shared" si="62"/>
        <v>RAS</v>
      </c>
      <c r="AB395" s="5" t="s">
        <v>3834</v>
      </c>
      <c r="AC395" s="6" t="s">
        <v>3801</v>
      </c>
      <c r="AE395" s="5" t="s">
        <v>3844</v>
      </c>
      <c r="AF395" s="5" t="s">
        <v>4482</v>
      </c>
      <c r="AG395" s="5" t="s">
        <v>4485</v>
      </c>
      <c r="AH395" s="5" t="s">
        <v>4488</v>
      </c>
      <c r="AI395" s="5" t="s">
        <v>4312</v>
      </c>
      <c r="AJ395" s="5" t="s">
        <v>4313</v>
      </c>
      <c r="AK395" s="5" t="s">
        <v>4314</v>
      </c>
      <c r="AL395" s="5" t="s">
        <v>3858</v>
      </c>
    </row>
    <row r="396" spans="1:38" x14ac:dyDescent="0.3">
      <c r="A396" s="4">
        <v>45716</v>
      </c>
      <c r="B396" s="5" t="s">
        <v>1468</v>
      </c>
      <c r="C396" s="5" t="s">
        <v>1469</v>
      </c>
      <c r="D396" s="5" t="s">
        <v>1470</v>
      </c>
      <c r="E396" s="5" t="s">
        <v>4494</v>
      </c>
      <c r="G396" s="5" t="s">
        <v>88</v>
      </c>
      <c r="H396" s="5" t="s">
        <v>456</v>
      </c>
      <c r="I396" s="5" t="s">
        <v>1479</v>
      </c>
      <c r="J396" s="5" t="s">
        <v>883</v>
      </c>
      <c r="K396" s="4">
        <v>40513</v>
      </c>
      <c r="L396" s="4">
        <v>40513</v>
      </c>
      <c r="M396" s="9">
        <f t="shared" si="54"/>
        <v>14</v>
      </c>
      <c r="N396" s="4" t="str">
        <f t="shared" si="56"/>
        <v>] 10 ; 15 ]</v>
      </c>
      <c r="O396" s="5" t="s">
        <v>3780</v>
      </c>
      <c r="P396" s="5" t="s">
        <v>3786</v>
      </c>
      <c r="Q396" s="5">
        <v>1</v>
      </c>
      <c r="R396" s="5" t="str">
        <f t="shared" si="57"/>
        <v>Qualification</v>
      </c>
      <c r="S396" s="5" t="s">
        <v>3789</v>
      </c>
      <c r="T396" s="4">
        <v>31061</v>
      </c>
      <c r="U396" s="5">
        <f t="shared" si="58"/>
        <v>1985</v>
      </c>
      <c r="V396" s="5" t="s">
        <v>3793</v>
      </c>
      <c r="W396" s="9">
        <f t="shared" si="55"/>
        <v>40</v>
      </c>
      <c r="X396" s="5" t="str">
        <f t="shared" si="59"/>
        <v>[40 - 44 ans]</v>
      </c>
      <c r="Y396" s="5" t="str">
        <f t="shared" si="60"/>
        <v xml:space="preserve"> Mellenials </v>
      </c>
      <c r="Z396" s="9">
        <f t="shared" si="61"/>
        <v>20</v>
      </c>
      <c r="AA396" s="5" t="str">
        <f t="shared" si="62"/>
        <v>RAS</v>
      </c>
      <c r="AB396" s="5" t="s">
        <v>3834</v>
      </c>
      <c r="AC396" s="6" t="s">
        <v>3801</v>
      </c>
      <c r="AE396" s="5" t="s">
        <v>3844</v>
      </c>
      <c r="AF396" s="5" t="s">
        <v>4482</v>
      </c>
      <c r="AG396" s="5" t="s">
        <v>4485</v>
      </c>
      <c r="AH396" s="5" t="s">
        <v>4488</v>
      </c>
      <c r="AI396" s="5" t="s">
        <v>4312</v>
      </c>
      <c r="AJ396" s="5" t="s">
        <v>4313</v>
      </c>
      <c r="AK396" s="5" t="s">
        <v>4314</v>
      </c>
      <c r="AL396" s="5" t="s">
        <v>3858</v>
      </c>
    </row>
    <row r="397" spans="1:38" x14ac:dyDescent="0.3">
      <c r="A397" s="4">
        <v>45716</v>
      </c>
      <c r="B397" s="5" t="s">
        <v>1471</v>
      </c>
      <c r="C397" s="5" t="s">
        <v>1472</v>
      </c>
      <c r="D397" s="5" t="s">
        <v>1473</v>
      </c>
      <c r="E397" s="5" t="s">
        <v>4494</v>
      </c>
      <c r="G397" s="5" t="s">
        <v>88</v>
      </c>
      <c r="H397" s="5" t="s">
        <v>456</v>
      </c>
      <c r="I397" s="5" t="s">
        <v>770</v>
      </c>
      <c r="J397" s="5" t="s">
        <v>883</v>
      </c>
      <c r="K397" s="4">
        <v>40513</v>
      </c>
      <c r="L397" s="4">
        <v>40513</v>
      </c>
      <c r="M397" s="9">
        <f t="shared" si="54"/>
        <v>14</v>
      </c>
      <c r="N397" s="4" t="str">
        <f t="shared" si="56"/>
        <v>] 10 ; 15 ]</v>
      </c>
      <c r="O397" s="5" t="s">
        <v>3780</v>
      </c>
      <c r="P397" s="5" t="s">
        <v>3780</v>
      </c>
      <c r="Q397" s="5">
        <v>3</v>
      </c>
      <c r="R397" s="5" t="str">
        <f t="shared" si="57"/>
        <v>Qualification</v>
      </c>
      <c r="S397" s="5" t="s">
        <v>3790</v>
      </c>
      <c r="T397" s="4">
        <v>30077</v>
      </c>
      <c r="U397" s="5">
        <f t="shared" si="58"/>
        <v>1982</v>
      </c>
      <c r="V397" s="5" t="s">
        <v>3793</v>
      </c>
      <c r="W397" s="9">
        <f t="shared" si="55"/>
        <v>42</v>
      </c>
      <c r="X397" s="5" t="str">
        <f t="shared" si="59"/>
        <v>[40 - 44 ans]</v>
      </c>
      <c r="Y397" s="5" t="str">
        <f t="shared" si="60"/>
        <v xml:space="preserve"> Mellenials </v>
      </c>
      <c r="Z397" s="9">
        <f t="shared" si="61"/>
        <v>18</v>
      </c>
      <c r="AA397" s="5" t="str">
        <f t="shared" si="62"/>
        <v>RAS</v>
      </c>
      <c r="AB397" s="5" t="s">
        <v>3814</v>
      </c>
      <c r="AC397" s="6" t="s">
        <v>3799</v>
      </c>
      <c r="AE397" s="5" t="s">
        <v>3844</v>
      </c>
      <c r="AF397" s="5" t="s">
        <v>4482</v>
      </c>
      <c r="AG397" s="5" t="s">
        <v>4485</v>
      </c>
      <c r="AH397" s="5" t="s">
        <v>4488</v>
      </c>
      <c r="AI397" s="5" t="s">
        <v>4075</v>
      </c>
      <c r="AJ397" s="5" t="s">
        <v>4076</v>
      </c>
      <c r="AK397" s="5" t="s">
        <v>4077</v>
      </c>
      <c r="AL397" s="5" t="s">
        <v>3858</v>
      </c>
    </row>
    <row r="398" spans="1:38" x14ac:dyDescent="0.3">
      <c r="A398" s="4">
        <v>45716</v>
      </c>
      <c r="B398" s="5" t="s">
        <v>1474</v>
      </c>
      <c r="C398" s="5" t="s">
        <v>1475</v>
      </c>
      <c r="D398" s="5" t="s">
        <v>1476</v>
      </c>
      <c r="E398" s="5" t="s">
        <v>4494</v>
      </c>
      <c r="G398" s="5" t="s">
        <v>88</v>
      </c>
      <c r="H398" s="5" t="s">
        <v>456</v>
      </c>
      <c r="I398" s="5" t="s">
        <v>1479</v>
      </c>
      <c r="J398" s="5" t="s">
        <v>883</v>
      </c>
      <c r="K398" s="4">
        <v>40513</v>
      </c>
      <c r="L398" s="4">
        <v>40513</v>
      </c>
      <c r="M398" s="9">
        <f t="shared" si="54"/>
        <v>14</v>
      </c>
      <c r="N398" s="4" t="str">
        <f t="shared" si="56"/>
        <v>] 10 ; 15 ]</v>
      </c>
      <c r="O398" s="5" t="s">
        <v>3780</v>
      </c>
      <c r="P398" s="5" t="s">
        <v>3780</v>
      </c>
      <c r="Q398" s="5">
        <v>3</v>
      </c>
      <c r="R398" s="5" t="str">
        <f t="shared" si="57"/>
        <v>Qualification</v>
      </c>
      <c r="S398" s="5" t="s">
        <v>3790</v>
      </c>
      <c r="T398" s="4">
        <v>30416</v>
      </c>
      <c r="U398" s="5">
        <f t="shared" si="58"/>
        <v>1983</v>
      </c>
      <c r="V398" s="5" t="s">
        <v>3793</v>
      </c>
      <c r="W398" s="9">
        <f t="shared" si="55"/>
        <v>41</v>
      </c>
      <c r="X398" s="5" t="str">
        <f t="shared" si="59"/>
        <v>[40 - 44 ans]</v>
      </c>
      <c r="Y398" s="5" t="str">
        <f t="shared" si="60"/>
        <v xml:space="preserve"> Mellenials </v>
      </c>
      <c r="Z398" s="9">
        <f t="shared" si="61"/>
        <v>19</v>
      </c>
      <c r="AA398" s="5" t="str">
        <f t="shared" si="62"/>
        <v>RAS</v>
      </c>
      <c r="AB398" s="5" t="s">
        <v>3834</v>
      </c>
      <c r="AC398" s="6" t="s">
        <v>3801</v>
      </c>
      <c r="AE398" s="5" t="s">
        <v>3844</v>
      </c>
      <c r="AF398" s="5" t="s">
        <v>4482</v>
      </c>
      <c r="AG398" s="5" t="s">
        <v>4485</v>
      </c>
      <c r="AH398" s="5" t="s">
        <v>4488</v>
      </c>
      <c r="AI398" s="5" t="s">
        <v>4312</v>
      </c>
      <c r="AJ398" s="5" t="s">
        <v>4313</v>
      </c>
      <c r="AK398" s="5" t="s">
        <v>4314</v>
      </c>
      <c r="AL398" s="5" t="s">
        <v>3858</v>
      </c>
    </row>
    <row r="399" spans="1:38" x14ac:dyDescent="0.3">
      <c r="A399" s="4">
        <v>45716</v>
      </c>
      <c r="B399" s="5" t="s">
        <v>1477</v>
      </c>
      <c r="C399" s="5" t="s">
        <v>1478</v>
      </c>
      <c r="D399" s="5" t="s">
        <v>1479</v>
      </c>
      <c r="E399" s="5" t="s">
        <v>4494</v>
      </c>
      <c r="G399" s="5" t="s">
        <v>88</v>
      </c>
      <c r="H399" s="5" t="s">
        <v>653</v>
      </c>
      <c r="I399" s="5" t="s">
        <v>883</v>
      </c>
      <c r="J399" s="5" t="s">
        <v>182</v>
      </c>
      <c r="K399" s="4">
        <v>40513</v>
      </c>
      <c r="L399" s="4">
        <v>40513</v>
      </c>
      <c r="M399" s="9">
        <f t="shared" si="54"/>
        <v>14</v>
      </c>
      <c r="N399" s="4" t="str">
        <f t="shared" si="56"/>
        <v>] 10 ; 15 ]</v>
      </c>
      <c r="O399" s="5" t="s">
        <v>3785</v>
      </c>
      <c r="P399" s="5" t="s">
        <v>3785</v>
      </c>
      <c r="Q399" s="5">
        <v>1</v>
      </c>
      <c r="R399" s="5" t="str">
        <f t="shared" si="57"/>
        <v>Specialisation</v>
      </c>
      <c r="S399" s="5" t="s">
        <v>3789</v>
      </c>
      <c r="T399" s="4">
        <v>29599</v>
      </c>
      <c r="U399" s="5">
        <f t="shared" si="58"/>
        <v>1981</v>
      </c>
      <c r="V399" s="5" t="s">
        <v>3793</v>
      </c>
      <c r="W399" s="9">
        <f t="shared" si="55"/>
        <v>44</v>
      </c>
      <c r="X399" s="5" t="str">
        <f t="shared" si="59"/>
        <v>[40 - 44 ans]</v>
      </c>
      <c r="Y399" s="5" t="str">
        <f t="shared" si="60"/>
        <v xml:space="preserve"> Mellenials </v>
      </c>
      <c r="Z399" s="9">
        <f t="shared" si="61"/>
        <v>16</v>
      </c>
      <c r="AA399" s="5" t="str">
        <f t="shared" si="62"/>
        <v>RAS</v>
      </c>
      <c r="AB399" s="5" t="s">
        <v>3834</v>
      </c>
      <c r="AC399" s="6" t="s">
        <v>3801</v>
      </c>
      <c r="AE399" s="5" t="s">
        <v>3845</v>
      </c>
      <c r="AF399" s="5" t="s">
        <v>4481</v>
      </c>
      <c r="AG399" s="5" t="s">
        <v>4485</v>
      </c>
      <c r="AH399" s="5" t="s">
        <v>4488</v>
      </c>
      <c r="AI399" s="5" t="s">
        <v>4312</v>
      </c>
      <c r="AJ399" s="5" t="s">
        <v>4313</v>
      </c>
      <c r="AK399" s="5" t="s">
        <v>4314</v>
      </c>
      <c r="AL399" s="5" t="s">
        <v>3858</v>
      </c>
    </row>
    <row r="400" spans="1:38" x14ac:dyDescent="0.3">
      <c r="A400" s="4">
        <v>45716</v>
      </c>
      <c r="B400" s="5" t="s">
        <v>1480</v>
      </c>
      <c r="C400" s="5" t="s">
        <v>1481</v>
      </c>
      <c r="D400" s="5" t="s">
        <v>1482</v>
      </c>
      <c r="E400" s="5" t="s">
        <v>4494</v>
      </c>
      <c r="G400" s="5" t="s">
        <v>83</v>
      </c>
      <c r="H400" s="5" t="s">
        <v>1483</v>
      </c>
      <c r="I400" s="5" t="s">
        <v>82</v>
      </c>
      <c r="J400" s="5" t="s">
        <v>2841</v>
      </c>
      <c r="K400" s="4">
        <v>40513</v>
      </c>
      <c r="L400" s="4">
        <v>40513</v>
      </c>
      <c r="M400" s="9">
        <f t="shared" si="54"/>
        <v>14</v>
      </c>
      <c r="N400" s="4" t="str">
        <f t="shared" si="56"/>
        <v>] 10 ; 15 ]</v>
      </c>
      <c r="O400" s="5" t="s">
        <v>3784</v>
      </c>
      <c r="P400" s="5" t="s">
        <v>3784</v>
      </c>
      <c r="Q400" s="5">
        <v>1</v>
      </c>
      <c r="R400" s="5" t="str">
        <f t="shared" si="57"/>
        <v>Management &amp; Expertise</v>
      </c>
      <c r="S400" s="5" t="s">
        <v>3789</v>
      </c>
      <c r="T400" s="4">
        <v>28022</v>
      </c>
      <c r="U400" s="5">
        <f t="shared" si="58"/>
        <v>1976</v>
      </c>
      <c r="V400" s="5" t="s">
        <v>3793</v>
      </c>
      <c r="W400" s="9">
        <f t="shared" si="55"/>
        <v>48</v>
      </c>
      <c r="X400" s="5" t="str">
        <f t="shared" si="59"/>
        <v>[45 - 49 ans]</v>
      </c>
      <c r="Y400" s="5" t="str">
        <f t="shared" si="60"/>
        <v xml:space="preserve"> Generation X </v>
      </c>
      <c r="Z400" s="9">
        <f t="shared" si="61"/>
        <v>12</v>
      </c>
      <c r="AA400" s="5" t="str">
        <f t="shared" si="62"/>
        <v>RAS</v>
      </c>
      <c r="AB400" s="5" t="s">
        <v>3807</v>
      </c>
      <c r="AC400" s="6" t="s">
        <v>3799</v>
      </c>
      <c r="AE400" s="5" t="s">
        <v>3845</v>
      </c>
      <c r="AF400" s="5" t="s">
        <v>4481</v>
      </c>
      <c r="AG400" s="5" t="s">
        <v>4485</v>
      </c>
      <c r="AH400" s="5" t="s">
        <v>4489</v>
      </c>
      <c r="AI400" s="5" t="s">
        <v>4315</v>
      </c>
      <c r="AJ400" s="5" t="s">
        <v>4316</v>
      </c>
      <c r="AK400" s="5">
        <v>13130</v>
      </c>
      <c r="AL400" s="5" t="s">
        <v>3854</v>
      </c>
    </row>
    <row r="401" spans="1:38" x14ac:dyDescent="0.3">
      <c r="A401" s="4">
        <v>45716</v>
      </c>
      <c r="B401" s="5" t="s">
        <v>1484</v>
      </c>
      <c r="C401" s="5" t="s">
        <v>1485</v>
      </c>
      <c r="D401" s="5" t="s">
        <v>1486</v>
      </c>
      <c r="E401" s="5" t="s">
        <v>4494</v>
      </c>
      <c r="G401" s="5" t="s">
        <v>137</v>
      </c>
      <c r="H401" s="5" t="s">
        <v>1487</v>
      </c>
      <c r="I401" s="5" t="s">
        <v>1346</v>
      </c>
      <c r="J401" s="5" t="s">
        <v>2841</v>
      </c>
      <c r="K401" s="4">
        <v>40544</v>
      </c>
      <c r="L401" s="4">
        <v>40539</v>
      </c>
      <c r="M401" s="9">
        <f t="shared" si="54"/>
        <v>14</v>
      </c>
      <c r="N401" s="4" t="str">
        <f t="shared" si="56"/>
        <v>] 10 ; 15 ]</v>
      </c>
      <c r="O401" s="5" t="s">
        <v>3782</v>
      </c>
      <c r="P401" s="5" t="s">
        <v>3782</v>
      </c>
      <c r="Q401" s="5">
        <v>2</v>
      </c>
      <c r="R401" s="5" t="str">
        <f t="shared" si="57"/>
        <v>Management &amp; Expertise</v>
      </c>
      <c r="S401" s="5" t="s">
        <v>3789</v>
      </c>
      <c r="T401" s="4">
        <v>30132</v>
      </c>
      <c r="U401" s="5">
        <f t="shared" si="58"/>
        <v>1982</v>
      </c>
      <c r="V401" s="5" t="s">
        <v>3792</v>
      </c>
      <c r="W401" s="9">
        <f t="shared" si="55"/>
        <v>42</v>
      </c>
      <c r="X401" s="5" t="str">
        <f t="shared" si="59"/>
        <v>[40 - 44 ans]</v>
      </c>
      <c r="Y401" s="5" t="str">
        <f t="shared" si="60"/>
        <v xml:space="preserve"> Mellenials </v>
      </c>
      <c r="Z401" s="9">
        <f t="shared" si="61"/>
        <v>18</v>
      </c>
      <c r="AA401" s="5" t="str">
        <f t="shared" si="62"/>
        <v>RAS</v>
      </c>
      <c r="AB401" s="5" t="s">
        <v>3806</v>
      </c>
      <c r="AC401" s="6" t="s">
        <v>3799</v>
      </c>
      <c r="AE401" s="5" t="s">
        <v>3845</v>
      </c>
      <c r="AF401" s="5" t="s">
        <v>4481</v>
      </c>
      <c r="AG401" s="5" t="s">
        <v>4485</v>
      </c>
      <c r="AH401" s="5" t="s">
        <v>4487</v>
      </c>
      <c r="AI401" s="5" t="s">
        <v>4205</v>
      </c>
      <c r="AJ401" s="5" t="s">
        <v>4317</v>
      </c>
      <c r="AK401" s="5" t="s">
        <v>3925</v>
      </c>
      <c r="AL401" s="5" t="s">
        <v>3854</v>
      </c>
    </row>
    <row r="402" spans="1:38" x14ac:dyDescent="0.3">
      <c r="A402" s="4">
        <v>45716</v>
      </c>
      <c r="B402" s="5" t="s">
        <v>1488</v>
      </c>
      <c r="C402" s="5" t="s">
        <v>1489</v>
      </c>
      <c r="D402" s="5" t="s">
        <v>1490</v>
      </c>
      <c r="E402" s="5" t="s">
        <v>4494</v>
      </c>
      <c r="G402" s="5" t="s">
        <v>88</v>
      </c>
      <c r="H402" s="5" t="s">
        <v>456</v>
      </c>
      <c r="I402" s="5" t="s">
        <v>2113</v>
      </c>
      <c r="J402" s="5" t="s">
        <v>883</v>
      </c>
      <c r="K402" s="4">
        <v>40544</v>
      </c>
      <c r="L402" s="4">
        <v>40544</v>
      </c>
      <c r="M402" s="9">
        <f t="shared" si="54"/>
        <v>14</v>
      </c>
      <c r="N402" s="4" t="str">
        <f t="shared" si="56"/>
        <v>] 10 ; 15 ]</v>
      </c>
      <c r="O402" s="5" t="s">
        <v>3780</v>
      </c>
      <c r="P402" s="5" t="s">
        <v>3780</v>
      </c>
      <c r="Q402" s="5">
        <v>3</v>
      </c>
      <c r="R402" s="5" t="str">
        <f t="shared" si="57"/>
        <v>Qualification</v>
      </c>
      <c r="S402" s="5" t="s">
        <v>3789</v>
      </c>
      <c r="T402" s="4">
        <v>32204</v>
      </c>
      <c r="U402" s="5">
        <f t="shared" si="58"/>
        <v>1988</v>
      </c>
      <c r="V402" s="5" t="s">
        <v>3793</v>
      </c>
      <c r="W402" s="9">
        <f t="shared" si="55"/>
        <v>36</v>
      </c>
      <c r="X402" s="5" t="str">
        <f t="shared" si="59"/>
        <v>[35 - 39 ans ]</v>
      </c>
      <c r="Y402" s="5" t="str">
        <f t="shared" si="60"/>
        <v xml:space="preserve"> Mellenials </v>
      </c>
      <c r="Z402" s="9">
        <f t="shared" si="61"/>
        <v>24</v>
      </c>
      <c r="AA402" s="5" t="str">
        <f t="shared" si="62"/>
        <v>RAS</v>
      </c>
      <c r="AB402" s="5" t="s">
        <v>3831</v>
      </c>
      <c r="AC402" s="6" t="s">
        <v>3800</v>
      </c>
      <c r="AE402" s="5" t="s">
        <v>3844</v>
      </c>
      <c r="AF402" s="5" t="s">
        <v>4482</v>
      </c>
      <c r="AG402" s="5" t="s">
        <v>4485</v>
      </c>
      <c r="AH402" s="5" t="s">
        <v>4488</v>
      </c>
      <c r="AI402" s="5" t="s">
        <v>4318</v>
      </c>
      <c r="AJ402" s="5" t="s">
        <v>3840</v>
      </c>
      <c r="AK402" s="5" t="s">
        <v>4319</v>
      </c>
      <c r="AL402" s="5" t="s">
        <v>3858</v>
      </c>
    </row>
    <row r="403" spans="1:38" x14ac:dyDescent="0.3">
      <c r="A403" s="4">
        <v>45716</v>
      </c>
      <c r="B403" s="5" t="s">
        <v>1491</v>
      </c>
      <c r="C403" s="5" t="s">
        <v>1492</v>
      </c>
      <c r="D403" s="5" t="s">
        <v>1493</v>
      </c>
      <c r="E403" s="5" t="s">
        <v>4494</v>
      </c>
      <c r="G403" s="5" t="s">
        <v>88</v>
      </c>
      <c r="H403" s="5" t="s">
        <v>456</v>
      </c>
      <c r="I403" s="5" t="s">
        <v>2113</v>
      </c>
      <c r="J403" s="5" t="s">
        <v>883</v>
      </c>
      <c r="K403" s="4">
        <v>40544</v>
      </c>
      <c r="L403" s="4">
        <v>40544</v>
      </c>
      <c r="M403" s="9">
        <f t="shared" si="54"/>
        <v>14</v>
      </c>
      <c r="N403" s="4" t="str">
        <f t="shared" si="56"/>
        <v>] 10 ; 15 ]</v>
      </c>
      <c r="O403" s="5" t="s">
        <v>3780</v>
      </c>
      <c r="P403" s="5" t="s">
        <v>3780</v>
      </c>
      <c r="Q403" s="5">
        <v>3</v>
      </c>
      <c r="R403" s="5" t="str">
        <f t="shared" si="57"/>
        <v>Qualification</v>
      </c>
      <c r="S403" s="5" t="s">
        <v>3790</v>
      </c>
      <c r="T403" s="4">
        <v>31179</v>
      </c>
      <c r="U403" s="5">
        <f t="shared" si="58"/>
        <v>1985</v>
      </c>
      <c r="V403" s="5" t="s">
        <v>3793</v>
      </c>
      <c r="W403" s="9">
        <f t="shared" si="55"/>
        <v>39</v>
      </c>
      <c r="X403" s="5" t="str">
        <f t="shared" si="59"/>
        <v>[35 - 39 ans ]</v>
      </c>
      <c r="Y403" s="5" t="str">
        <f t="shared" si="60"/>
        <v xml:space="preserve"> Mellenials </v>
      </c>
      <c r="Z403" s="9">
        <f t="shared" si="61"/>
        <v>21</v>
      </c>
      <c r="AA403" s="5" t="str">
        <f t="shared" si="62"/>
        <v>RAS</v>
      </c>
      <c r="AB403" s="5" t="s">
        <v>3831</v>
      </c>
      <c r="AC403" s="6" t="s">
        <v>3800</v>
      </c>
      <c r="AE403" s="5" t="s">
        <v>3844</v>
      </c>
      <c r="AF403" s="5" t="s">
        <v>4482</v>
      </c>
      <c r="AG403" s="5" t="s">
        <v>4485</v>
      </c>
      <c r="AH403" s="5" t="s">
        <v>4488</v>
      </c>
      <c r="AI403" s="5" t="s">
        <v>4318</v>
      </c>
      <c r="AJ403" s="5" t="s">
        <v>3840</v>
      </c>
      <c r="AK403" s="5" t="s">
        <v>4319</v>
      </c>
      <c r="AL403" s="5" t="s">
        <v>3858</v>
      </c>
    </row>
    <row r="404" spans="1:38" x14ac:dyDescent="0.3">
      <c r="A404" s="4">
        <v>45716</v>
      </c>
      <c r="B404" s="5" t="s">
        <v>1494</v>
      </c>
      <c r="C404" s="5" t="s">
        <v>1495</v>
      </c>
      <c r="D404" s="5" t="s">
        <v>1496</v>
      </c>
      <c r="E404" s="5" t="s">
        <v>4494</v>
      </c>
      <c r="G404" s="5" t="s">
        <v>88</v>
      </c>
      <c r="H404" s="5" t="s">
        <v>456</v>
      </c>
      <c r="I404" s="5" t="s">
        <v>2113</v>
      </c>
      <c r="J404" s="5" t="s">
        <v>883</v>
      </c>
      <c r="K404" s="4">
        <v>40544</v>
      </c>
      <c r="L404" s="4">
        <v>40544</v>
      </c>
      <c r="M404" s="9">
        <f t="shared" si="54"/>
        <v>14</v>
      </c>
      <c r="N404" s="4" t="str">
        <f t="shared" si="56"/>
        <v>] 10 ; 15 ]</v>
      </c>
      <c r="O404" s="5" t="s">
        <v>3780</v>
      </c>
      <c r="P404" s="5" t="s">
        <v>3780</v>
      </c>
      <c r="Q404" s="5">
        <v>3</v>
      </c>
      <c r="R404" s="5" t="str">
        <f t="shared" si="57"/>
        <v>Qualification</v>
      </c>
      <c r="S404" s="5" t="s">
        <v>3790</v>
      </c>
      <c r="T404" s="4">
        <v>31716</v>
      </c>
      <c r="U404" s="5">
        <f t="shared" si="58"/>
        <v>1986</v>
      </c>
      <c r="V404" s="5" t="s">
        <v>3793</v>
      </c>
      <c r="W404" s="9">
        <f t="shared" si="55"/>
        <v>38</v>
      </c>
      <c r="X404" s="5" t="str">
        <f t="shared" si="59"/>
        <v>[35 - 39 ans ]</v>
      </c>
      <c r="Y404" s="5" t="str">
        <f t="shared" si="60"/>
        <v xml:space="preserve"> Mellenials </v>
      </c>
      <c r="Z404" s="9">
        <f t="shared" si="61"/>
        <v>22</v>
      </c>
      <c r="AA404" s="5" t="str">
        <f t="shared" si="62"/>
        <v>RAS</v>
      </c>
      <c r="AB404" s="5" t="s">
        <v>3831</v>
      </c>
      <c r="AC404" s="6" t="s">
        <v>3800</v>
      </c>
      <c r="AE404" s="5" t="s">
        <v>3844</v>
      </c>
      <c r="AF404" s="5" t="s">
        <v>4482</v>
      </c>
      <c r="AG404" s="5" t="s">
        <v>4485</v>
      </c>
      <c r="AH404" s="5" t="s">
        <v>4488</v>
      </c>
      <c r="AI404" s="5" t="s">
        <v>4318</v>
      </c>
      <c r="AJ404" s="5" t="s">
        <v>3840</v>
      </c>
      <c r="AK404" s="5" t="s">
        <v>4319</v>
      </c>
      <c r="AL404" s="5" t="s">
        <v>3858</v>
      </c>
    </row>
    <row r="405" spans="1:38" x14ac:dyDescent="0.3">
      <c r="A405" s="4">
        <v>45716</v>
      </c>
      <c r="B405" s="5" t="s">
        <v>1497</v>
      </c>
      <c r="C405" s="5" t="s">
        <v>1498</v>
      </c>
      <c r="D405" s="5" t="s">
        <v>1499</v>
      </c>
      <c r="E405" s="5" t="s">
        <v>4494</v>
      </c>
      <c r="G405" s="5" t="s">
        <v>88</v>
      </c>
      <c r="H405" s="5" t="s">
        <v>456</v>
      </c>
      <c r="I405" s="5" t="s">
        <v>2113</v>
      </c>
      <c r="J405" s="5" t="s">
        <v>883</v>
      </c>
      <c r="K405" s="4">
        <v>40544</v>
      </c>
      <c r="L405" s="4">
        <v>40544</v>
      </c>
      <c r="M405" s="9">
        <f t="shared" si="54"/>
        <v>14</v>
      </c>
      <c r="N405" s="4" t="str">
        <f t="shared" si="56"/>
        <v>] 10 ; 15 ]</v>
      </c>
      <c r="O405" s="5" t="s">
        <v>3780</v>
      </c>
      <c r="P405" s="5" t="s">
        <v>3786</v>
      </c>
      <c r="Q405" s="5">
        <v>1</v>
      </c>
      <c r="R405" s="5" t="str">
        <f t="shared" si="57"/>
        <v>Qualification</v>
      </c>
      <c r="S405" s="5" t="s">
        <v>3789</v>
      </c>
      <c r="T405" s="4">
        <v>31195</v>
      </c>
      <c r="U405" s="5">
        <f t="shared" si="58"/>
        <v>1985</v>
      </c>
      <c r="V405" s="5" t="s">
        <v>3793</v>
      </c>
      <c r="W405" s="9">
        <f t="shared" si="55"/>
        <v>39</v>
      </c>
      <c r="X405" s="5" t="str">
        <f t="shared" si="59"/>
        <v>[35 - 39 ans ]</v>
      </c>
      <c r="Y405" s="5" t="str">
        <f t="shared" si="60"/>
        <v xml:space="preserve"> Mellenials </v>
      </c>
      <c r="Z405" s="9">
        <f t="shared" si="61"/>
        <v>21</v>
      </c>
      <c r="AA405" s="5" t="str">
        <f t="shared" si="62"/>
        <v>RAS</v>
      </c>
      <c r="AB405" s="5" t="s">
        <v>3831</v>
      </c>
      <c r="AC405" s="6" t="s">
        <v>3800</v>
      </c>
      <c r="AE405" s="5" t="s">
        <v>3844</v>
      </c>
      <c r="AF405" s="5" t="s">
        <v>4482</v>
      </c>
      <c r="AG405" s="5" t="s">
        <v>4485</v>
      </c>
      <c r="AH405" s="5" t="s">
        <v>4488</v>
      </c>
      <c r="AI405" s="5" t="s">
        <v>4318</v>
      </c>
      <c r="AJ405" s="5" t="s">
        <v>3840</v>
      </c>
      <c r="AK405" s="5" t="s">
        <v>4319</v>
      </c>
      <c r="AL405" s="5" t="s">
        <v>3858</v>
      </c>
    </row>
    <row r="406" spans="1:38" x14ac:dyDescent="0.3">
      <c r="A406" s="4">
        <v>45716</v>
      </c>
      <c r="B406" s="5" t="s">
        <v>1500</v>
      </c>
      <c r="C406" s="5" t="s">
        <v>1501</v>
      </c>
      <c r="D406" s="5" t="s">
        <v>1502</v>
      </c>
      <c r="E406" s="5" t="s">
        <v>4494</v>
      </c>
      <c r="G406" s="5" t="s">
        <v>243</v>
      </c>
      <c r="H406" s="5" t="s">
        <v>1503</v>
      </c>
      <c r="I406" s="5" t="s">
        <v>1272</v>
      </c>
      <c r="J406" s="5" t="s">
        <v>1857</v>
      </c>
      <c r="K406" s="4">
        <v>40550</v>
      </c>
      <c r="L406" s="4">
        <v>40550</v>
      </c>
      <c r="M406" s="9">
        <f t="shared" si="54"/>
        <v>14</v>
      </c>
      <c r="N406" s="4" t="str">
        <f t="shared" si="56"/>
        <v>] 10 ; 15 ]</v>
      </c>
      <c r="O406" s="5" t="s">
        <v>3784</v>
      </c>
      <c r="P406" s="5" t="s">
        <v>3782</v>
      </c>
      <c r="Q406" s="5">
        <v>2</v>
      </c>
      <c r="R406" s="5" t="str">
        <f t="shared" si="57"/>
        <v>Management &amp; Expertise</v>
      </c>
      <c r="S406" s="5" t="s">
        <v>3789</v>
      </c>
      <c r="T406" s="4">
        <v>29001</v>
      </c>
      <c r="U406" s="5">
        <f t="shared" si="58"/>
        <v>1979</v>
      </c>
      <c r="V406" s="5" t="s">
        <v>3793</v>
      </c>
      <c r="W406" s="9">
        <f t="shared" si="55"/>
        <v>45</v>
      </c>
      <c r="X406" s="5" t="str">
        <f t="shared" si="59"/>
        <v>[45 - 49 ans]</v>
      </c>
      <c r="Y406" s="5" t="str">
        <f t="shared" si="60"/>
        <v xml:space="preserve"> Generation X </v>
      </c>
      <c r="Z406" s="9">
        <f t="shared" si="61"/>
        <v>15</v>
      </c>
      <c r="AA406" s="5" t="str">
        <f t="shared" si="62"/>
        <v>RAS</v>
      </c>
      <c r="AB406" s="5" t="s">
        <v>3806</v>
      </c>
      <c r="AC406" s="6" t="s">
        <v>3799</v>
      </c>
      <c r="AE406" s="5" t="s">
        <v>3845</v>
      </c>
      <c r="AF406" s="5" t="s">
        <v>4481</v>
      </c>
      <c r="AG406" s="5" t="s">
        <v>4485</v>
      </c>
      <c r="AH406" s="5" t="s">
        <v>4487</v>
      </c>
      <c r="AI406" s="5" t="s">
        <v>4320</v>
      </c>
      <c r="AJ406" s="5" t="s">
        <v>4321</v>
      </c>
      <c r="AK406" s="5" t="s">
        <v>3977</v>
      </c>
      <c r="AL406" s="5" t="s">
        <v>3854</v>
      </c>
    </row>
    <row r="407" spans="1:38" x14ac:dyDescent="0.3">
      <c r="A407" s="4">
        <v>45716</v>
      </c>
      <c r="B407" s="5" t="s">
        <v>1504</v>
      </c>
      <c r="C407" s="5" t="s">
        <v>1505</v>
      </c>
      <c r="D407" s="5" t="s">
        <v>1506</v>
      </c>
      <c r="E407" s="5" t="s">
        <v>4494</v>
      </c>
      <c r="G407" s="5" t="s">
        <v>39</v>
      </c>
      <c r="H407" s="5" t="s">
        <v>1507</v>
      </c>
      <c r="I407" s="5" t="s">
        <v>1256</v>
      </c>
      <c r="J407" s="5" t="s">
        <v>1899</v>
      </c>
      <c r="K407" s="4">
        <v>40549</v>
      </c>
      <c r="L407" s="4">
        <v>40549</v>
      </c>
      <c r="M407" s="9">
        <f t="shared" si="54"/>
        <v>14</v>
      </c>
      <c r="N407" s="4" t="str">
        <f t="shared" si="56"/>
        <v>] 10 ; 15 ]</v>
      </c>
      <c r="O407" s="5" t="s">
        <v>3782</v>
      </c>
      <c r="P407" s="5" t="s">
        <v>3782</v>
      </c>
      <c r="Q407" s="5">
        <v>1</v>
      </c>
      <c r="R407" s="5" t="str">
        <f t="shared" si="57"/>
        <v>Management &amp; Expertise</v>
      </c>
      <c r="S407" s="5" t="s">
        <v>3789</v>
      </c>
      <c r="T407" s="4">
        <v>29788</v>
      </c>
      <c r="U407" s="5">
        <f t="shared" si="58"/>
        <v>1981</v>
      </c>
      <c r="V407" s="5" t="s">
        <v>3793</v>
      </c>
      <c r="W407" s="9">
        <f t="shared" si="55"/>
        <v>43</v>
      </c>
      <c r="X407" s="5" t="str">
        <f t="shared" si="59"/>
        <v>[40 - 44 ans]</v>
      </c>
      <c r="Y407" s="5" t="str">
        <f t="shared" si="60"/>
        <v xml:space="preserve"> Mellenials </v>
      </c>
      <c r="Z407" s="9">
        <f t="shared" si="61"/>
        <v>17</v>
      </c>
      <c r="AA407" s="5" t="str">
        <f t="shared" si="62"/>
        <v>RAS</v>
      </c>
      <c r="AB407" s="5" t="s">
        <v>3807</v>
      </c>
      <c r="AC407" s="6" t="s">
        <v>3799</v>
      </c>
      <c r="AE407" s="5" t="s">
        <v>3845</v>
      </c>
      <c r="AF407" s="5" t="s">
        <v>4481</v>
      </c>
      <c r="AG407" s="5" t="s">
        <v>4485</v>
      </c>
      <c r="AH407" s="5" t="s">
        <v>4489</v>
      </c>
      <c r="AI407" s="5" t="s">
        <v>4322</v>
      </c>
      <c r="AJ407" s="5" t="s">
        <v>4323</v>
      </c>
      <c r="AK407" s="5">
        <v>14141</v>
      </c>
      <c r="AL407" s="5" t="s">
        <v>3854</v>
      </c>
    </row>
    <row r="408" spans="1:38" x14ac:dyDescent="0.3">
      <c r="A408" s="4">
        <v>45716</v>
      </c>
      <c r="B408" s="5" t="s">
        <v>1508</v>
      </c>
      <c r="C408" s="5" t="s">
        <v>1509</v>
      </c>
      <c r="D408" s="5" t="s">
        <v>1510</v>
      </c>
      <c r="E408" s="5" t="s">
        <v>4494</v>
      </c>
      <c r="G408" s="5" t="s">
        <v>78</v>
      </c>
      <c r="H408" s="5" t="s">
        <v>1511</v>
      </c>
      <c r="I408" s="5" t="s">
        <v>1357</v>
      </c>
      <c r="J408" s="5" t="s">
        <v>1857</v>
      </c>
      <c r="K408" s="4">
        <v>40544</v>
      </c>
      <c r="L408" s="4">
        <v>39328.041666666664</v>
      </c>
      <c r="M408" s="9">
        <f t="shared" si="54"/>
        <v>17</v>
      </c>
      <c r="N408" s="4" t="str">
        <f t="shared" si="56"/>
        <v>] 15 ; +oo [</v>
      </c>
      <c r="O408" s="5" t="s">
        <v>3784</v>
      </c>
      <c r="P408" s="5" t="s">
        <v>3784</v>
      </c>
      <c r="Q408" s="5">
        <v>1</v>
      </c>
      <c r="R408" s="5" t="str">
        <f t="shared" si="57"/>
        <v>Management &amp; Expertise</v>
      </c>
      <c r="S408" s="5" t="s">
        <v>3789</v>
      </c>
      <c r="T408" s="4">
        <v>28940</v>
      </c>
      <c r="U408" s="5">
        <f t="shared" si="58"/>
        <v>1979</v>
      </c>
      <c r="V408" s="5" t="s">
        <v>3793</v>
      </c>
      <c r="W408" s="9">
        <f t="shared" si="55"/>
        <v>45</v>
      </c>
      <c r="X408" s="5" t="str">
        <f t="shared" si="59"/>
        <v>[45 - 49 ans]</v>
      </c>
      <c r="Y408" s="5" t="str">
        <f t="shared" si="60"/>
        <v xml:space="preserve"> Generation X </v>
      </c>
      <c r="Z408" s="9">
        <f t="shared" si="61"/>
        <v>15</v>
      </c>
      <c r="AA408" s="5" t="str">
        <f t="shared" si="62"/>
        <v>RAS</v>
      </c>
      <c r="AB408" s="5" t="s">
        <v>3808</v>
      </c>
      <c r="AC408" s="6" t="s">
        <v>3799</v>
      </c>
      <c r="AE408" s="5" t="s">
        <v>3845</v>
      </c>
      <c r="AF408" s="5" t="s">
        <v>4481</v>
      </c>
      <c r="AG408" s="5" t="s">
        <v>4485</v>
      </c>
      <c r="AH408" s="5" t="s">
        <v>4488</v>
      </c>
      <c r="AI408" s="5" t="s">
        <v>4324</v>
      </c>
      <c r="AJ408" s="5" t="s">
        <v>4325</v>
      </c>
      <c r="AK408" s="5" t="s">
        <v>4242</v>
      </c>
      <c r="AL408" s="5" t="s">
        <v>3854</v>
      </c>
    </row>
    <row r="409" spans="1:38" x14ac:dyDescent="0.3">
      <c r="A409" s="4">
        <v>45716</v>
      </c>
      <c r="B409" s="5" t="s">
        <v>1512</v>
      </c>
      <c r="C409" s="5" t="s">
        <v>1513</v>
      </c>
      <c r="D409" s="5" t="s">
        <v>1514</v>
      </c>
      <c r="E409" s="5" t="s">
        <v>4494</v>
      </c>
      <c r="G409" s="5" t="s">
        <v>78</v>
      </c>
      <c r="H409" s="5" t="s">
        <v>1515</v>
      </c>
      <c r="I409" s="5" t="s">
        <v>3294</v>
      </c>
      <c r="J409" s="5" t="s">
        <v>169</v>
      </c>
      <c r="K409" s="4">
        <v>40544</v>
      </c>
      <c r="L409" s="4">
        <v>39251.041666666664</v>
      </c>
      <c r="M409" s="9">
        <f t="shared" si="54"/>
        <v>17</v>
      </c>
      <c r="N409" s="4" t="str">
        <f t="shared" si="56"/>
        <v>] 15 ; +oo [</v>
      </c>
      <c r="O409" s="5" t="s">
        <v>3783</v>
      </c>
      <c r="P409" s="5" t="s">
        <v>3785</v>
      </c>
      <c r="Q409" s="5">
        <v>1</v>
      </c>
      <c r="R409" s="5" t="str">
        <f t="shared" si="57"/>
        <v>Specialisation</v>
      </c>
      <c r="S409" s="5" t="s">
        <v>3789</v>
      </c>
      <c r="T409" s="4">
        <v>29045</v>
      </c>
      <c r="U409" s="5">
        <f t="shared" si="58"/>
        <v>1979</v>
      </c>
      <c r="V409" s="5" t="s">
        <v>3793</v>
      </c>
      <c r="W409" s="9">
        <f t="shared" si="55"/>
        <v>45</v>
      </c>
      <c r="X409" s="5" t="str">
        <f t="shared" si="59"/>
        <v>[45 - 49 ans]</v>
      </c>
      <c r="Y409" s="5" t="str">
        <f t="shared" si="60"/>
        <v xml:space="preserve"> Generation X </v>
      </c>
      <c r="Z409" s="9">
        <f t="shared" si="61"/>
        <v>15</v>
      </c>
      <c r="AA409" s="5" t="str">
        <f t="shared" si="62"/>
        <v>RAS</v>
      </c>
      <c r="AB409" s="5" t="s">
        <v>3808</v>
      </c>
      <c r="AC409" s="6" t="s">
        <v>3799</v>
      </c>
      <c r="AE409" s="5" t="s">
        <v>3845</v>
      </c>
      <c r="AF409" s="5" t="s">
        <v>4482</v>
      </c>
      <c r="AG409" s="5" t="s">
        <v>4485</v>
      </c>
      <c r="AH409" s="5" t="s">
        <v>4488</v>
      </c>
      <c r="AI409" s="5" t="s">
        <v>4326</v>
      </c>
      <c r="AJ409" s="5" t="s">
        <v>4327</v>
      </c>
      <c r="AK409" s="5" t="s">
        <v>4108</v>
      </c>
      <c r="AL409" s="5" t="s">
        <v>3854</v>
      </c>
    </row>
    <row r="410" spans="1:38" x14ac:dyDescent="0.3">
      <c r="A410" s="4">
        <v>45716</v>
      </c>
      <c r="B410" s="5" t="s">
        <v>1516</v>
      </c>
      <c r="C410" s="5" t="s">
        <v>1517</v>
      </c>
      <c r="D410" s="5" t="s">
        <v>1518</v>
      </c>
      <c r="E410" s="5" t="s">
        <v>4494</v>
      </c>
      <c r="G410" s="5" t="s">
        <v>78</v>
      </c>
      <c r="H410" s="5" t="s">
        <v>1519</v>
      </c>
      <c r="I410" s="5" t="s">
        <v>3762</v>
      </c>
      <c r="J410" s="5" t="s">
        <v>1357</v>
      </c>
      <c r="K410" s="4">
        <v>40544</v>
      </c>
      <c r="L410" s="4">
        <v>40119</v>
      </c>
      <c r="M410" s="9">
        <f t="shared" si="54"/>
        <v>15</v>
      </c>
      <c r="N410" s="4" t="str">
        <f t="shared" si="56"/>
        <v>] 10 ; 15 ]</v>
      </c>
      <c r="O410" s="5" t="s">
        <v>3782</v>
      </c>
      <c r="P410" s="5" t="s">
        <v>3784</v>
      </c>
      <c r="Q410" s="5">
        <v>1</v>
      </c>
      <c r="R410" s="5" t="str">
        <f t="shared" si="57"/>
        <v>Management &amp; Expertise</v>
      </c>
      <c r="S410" s="5" t="s">
        <v>3789</v>
      </c>
      <c r="T410" s="4">
        <v>28605</v>
      </c>
      <c r="U410" s="5">
        <f t="shared" si="58"/>
        <v>1978</v>
      </c>
      <c r="V410" s="5" t="s">
        <v>3793</v>
      </c>
      <c r="W410" s="9">
        <f t="shared" si="55"/>
        <v>46</v>
      </c>
      <c r="X410" s="5" t="str">
        <f t="shared" si="59"/>
        <v>[45 - 49 ans]</v>
      </c>
      <c r="Y410" s="5" t="str">
        <f t="shared" si="60"/>
        <v xml:space="preserve"> Generation X </v>
      </c>
      <c r="Z410" s="9">
        <f t="shared" si="61"/>
        <v>14</v>
      </c>
      <c r="AA410" s="5" t="str">
        <f t="shared" si="62"/>
        <v>RAS</v>
      </c>
      <c r="AB410" s="5" t="s">
        <v>3808</v>
      </c>
      <c r="AC410" s="6" t="s">
        <v>3799</v>
      </c>
      <c r="AE410" s="5" t="s">
        <v>3845</v>
      </c>
      <c r="AF410" s="5" t="s">
        <v>4481</v>
      </c>
      <c r="AG410" s="5" t="s">
        <v>4485</v>
      </c>
      <c r="AH410" s="5" t="s">
        <v>4488</v>
      </c>
      <c r="AI410" s="5" t="s">
        <v>4328</v>
      </c>
      <c r="AJ410" s="5" t="s">
        <v>4329</v>
      </c>
      <c r="AK410" s="5" t="s">
        <v>4108</v>
      </c>
      <c r="AL410" s="5" t="s">
        <v>3854</v>
      </c>
    </row>
    <row r="411" spans="1:38" x14ac:dyDescent="0.3">
      <c r="A411" s="4">
        <v>45716</v>
      </c>
      <c r="B411" s="5" t="s">
        <v>1520</v>
      </c>
      <c r="C411" s="5" t="s">
        <v>1521</v>
      </c>
      <c r="D411" s="5" t="s">
        <v>1522</v>
      </c>
      <c r="E411" s="5" t="s">
        <v>4494</v>
      </c>
      <c r="G411" s="5" t="s">
        <v>88</v>
      </c>
      <c r="H411" s="5" t="s">
        <v>1523</v>
      </c>
      <c r="I411" s="5" t="s">
        <v>2583</v>
      </c>
      <c r="J411" s="5" t="s">
        <v>1389</v>
      </c>
      <c r="K411" s="4">
        <v>40544</v>
      </c>
      <c r="L411" s="4">
        <v>40112.041666666664</v>
      </c>
      <c r="M411" s="9">
        <f t="shared" si="54"/>
        <v>15</v>
      </c>
      <c r="N411" s="4" t="str">
        <f t="shared" si="56"/>
        <v>] 10 ; 15 ]</v>
      </c>
      <c r="O411" s="5" t="s">
        <v>3783</v>
      </c>
      <c r="P411" s="5" t="s">
        <v>3783</v>
      </c>
      <c r="Q411" s="5">
        <v>1</v>
      </c>
      <c r="R411" s="5" t="str">
        <f t="shared" si="57"/>
        <v>Specialisation</v>
      </c>
      <c r="S411" s="5" t="s">
        <v>3789</v>
      </c>
      <c r="T411" s="4">
        <v>29630</v>
      </c>
      <c r="U411" s="5">
        <f t="shared" si="58"/>
        <v>1981</v>
      </c>
      <c r="V411" s="5" t="s">
        <v>3793</v>
      </c>
      <c r="W411" s="9">
        <f t="shared" si="55"/>
        <v>44</v>
      </c>
      <c r="X411" s="5" t="str">
        <f t="shared" si="59"/>
        <v>[40 - 44 ans]</v>
      </c>
      <c r="Y411" s="5" t="str">
        <f t="shared" si="60"/>
        <v xml:space="preserve"> Mellenials </v>
      </c>
      <c r="Z411" s="9">
        <f t="shared" si="61"/>
        <v>16</v>
      </c>
      <c r="AA411" s="5" t="str">
        <f t="shared" si="62"/>
        <v>RAS</v>
      </c>
      <c r="AB411" s="5" t="s">
        <v>3806</v>
      </c>
      <c r="AC411" s="6" t="s">
        <v>3799</v>
      </c>
      <c r="AE411" s="5" t="s">
        <v>3844</v>
      </c>
      <c r="AF411" s="5" t="s">
        <v>4482</v>
      </c>
      <c r="AG411" s="5" t="s">
        <v>4485</v>
      </c>
      <c r="AH411" s="5" t="s">
        <v>4488</v>
      </c>
      <c r="AI411" s="5" t="s">
        <v>4330</v>
      </c>
      <c r="AJ411" s="5" t="s">
        <v>4331</v>
      </c>
      <c r="AK411" s="5" t="s">
        <v>4100</v>
      </c>
      <c r="AL411" s="5" t="s">
        <v>3858</v>
      </c>
    </row>
    <row r="412" spans="1:38" x14ac:dyDescent="0.3">
      <c r="A412" s="4">
        <v>45716</v>
      </c>
      <c r="B412" s="5" t="s">
        <v>1524</v>
      </c>
      <c r="C412" s="5" t="s">
        <v>1525</v>
      </c>
      <c r="D412" s="5" t="s">
        <v>1526</v>
      </c>
      <c r="E412" s="5" t="s">
        <v>4494</v>
      </c>
      <c r="G412" s="5" t="s">
        <v>78</v>
      </c>
      <c r="H412" s="5" t="s">
        <v>1527</v>
      </c>
      <c r="I412" s="5" t="s">
        <v>1823</v>
      </c>
      <c r="J412" s="5" t="s">
        <v>1357</v>
      </c>
      <c r="K412" s="4">
        <v>40544</v>
      </c>
      <c r="L412" s="4">
        <v>40182</v>
      </c>
      <c r="M412" s="9">
        <f t="shared" si="54"/>
        <v>15</v>
      </c>
      <c r="N412" s="4" t="str">
        <f t="shared" si="56"/>
        <v>] 10 ; 15 ]</v>
      </c>
      <c r="O412" s="5" t="s">
        <v>3782</v>
      </c>
      <c r="P412" s="5" t="s">
        <v>3784</v>
      </c>
      <c r="Q412" s="5">
        <v>1</v>
      </c>
      <c r="R412" s="5" t="str">
        <f t="shared" si="57"/>
        <v>Management &amp; Expertise</v>
      </c>
      <c r="S412" s="5" t="s">
        <v>3789</v>
      </c>
      <c r="T412" s="4">
        <v>28665</v>
      </c>
      <c r="U412" s="5">
        <f t="shared" si="58"/>
        <v>1978</v>
      </c>
      <c r="V412" s="5" t="s">
        <v>3793</v>
      </c>
      <c r="W412" s="9">
        <f t="shared" si="55"/>
        <v>46</v>
      </c>
      <c r="X412" s="5" t="str">
        <f t="shared" si="59"/>
        <v>[45 - 49 ans]</v>
      </c>
      <c r="Y412" s="5" t="str">
        <f t="shared" si="60"/>
        <v xml:space="preserve"> Generation X </v>
      </c>
      <c r="Z412" s="9">
        <f t="shared" si="61"/>
        <v>14</v>
      </c>
      <c r="AA412" s="5" t="str">
        <f t="shared" si="62"/>
        <v>RAS</v>
      </c>
      <c r="AB412" s="5" t="s">
        <v>3808</v>
      </c>
      <c r="AC412" s="6" t="s">
        <v>3799</v>
      </c>
      <c r="AE412" s="5" t="s">
        <v>3845</v>
      </c>
      <c r="AF412" s="5" t="s">
        <v>4481</v>
      </c>
      <c r="AG412" s="5" t="s">
        <v>4485</v>
      </c>
      <c r="AH412" s="5" t="s">
        <v>4488</v>
      </c>
      <c r="AI412" s="5" t="s">
        <v>4142</v>
      </c>
      <c r="AJ412" s="5" t="s">
        <v>4143</v>
      </c>
      <c r="AK412" s="5" t="s">
        <v>3946</v>
      </c>
      <c r="AL412" s="5" t="s">
        <v>3854</v>
      </c>
    </row>
    <row r="413" spans="1:38" x14ac:dyDescent="0.3">
      <c r="A413" s="4">
        <v>45716</v>
      </c>
      <c r="B413" s="5" t="s">
        <v>1528</v>
      </c>
      <c r="C413" s="5" t="s">
        <v>1529</v>
      </c>
      <c r="D413" s="5" t="s">
        <v>1530</v>
      </c>
      <c r="E413" s="5" t="s">
        <v>4494</v>
      </c>
      <c r="G413" s="5" t="s">
        <v>39</v>
      </c>
      <c r="H413" s="5" t="s">
        <v>1531</v>
      </c>
      <c r="I413" s="5" t="s">
        <v>1372</v>
      </c>
      <c r="J413" s="5" t="s">
        <v>1372</v>
      </c>
      <c r="K413" s="4">
        <v>40544</v>
      </c>
      <c r="L413" s="4">
        <v>39377</v>
      </c>
      <c r="M413" s="9">
        <f t="shared" si="54"/>
        <v>17</v>
      </c>
      <c r="N413" s="4" t="str">
        <f t="shared" si="56"/>
        <v>] 15 ; +oo [</v>
      </c>
      <c r="O413" s="5" t="s">
        <v>3783</v>
      </c>
      <c r="P413" s="5" t="s">
        <v>3783</v>
      </c>
      <c r="Q413" s="5">
        <v>1</v>
      </c>
      <c r="R413" s="5" t="str">
        <f t="shared" si="57"/>
        <v>Specialisation</v>
      </c>
      <c r="S413" s="5" t="s">
        <v>3789</v>
      </c>
      <c r="T413" s="4">
        <v>29477</v>
      </c>
      <c r="U413" s="5">
        <f t="shared" si="58"/>
        <v>1980</v>
      </c>
      <c r="V413" s="5" t="s">
        <v>3793</v>
      </c>
      <c r="W413" s="9">
        <f t="shared" si="55"/>
        <v>44</v>
      </c>
      <c r="X413" s="5" t="str">
        <f t="shared" si="59"/>
        <v>[40 - 44 ans]</v>
      </c>
      <c r="Y413" s="5" t="str">
        <f t="shared" si="60"/>
        <v xml:space="preserve"> Generation X </v>
      </c>
      <c r="Z413" s="9">
        <f t="shared" si="61"/>
        <v>16</v>
      </c>
      <c r="AA413" s="5" t="str">
        <f t="shared" si="62"/>
        <v>RAS</v>
      </c>
      <c r="AB413" s="5" t="s">
        <v>3805</v>
      </c>
      <c r="AC413" s="6" t="s">
        <v>3799</v>
      </c>
      <c r="AE413" s="5" t="s">
        <v>3844</v>
      </c>
      <c r="AF413" s="5" t="s">
        <v>4482</v>
      </c>
      <c r="AG413" s="5" t="s">
        <v>4485</v>
      </c>
      <c r="AH413" s="5" t="s">
        <v>4489</v>
      </c>
      <c r="AI413" s="5" t="s">
        <v>4016</v>
      </c>
      <c r="AJ413" s="5" t="s">
        <v>4017</v>
      </c>
      <c r="AK413" s="5" t="s">
        <v>4018</v>
      </c>
      <c r="AL413" s="5" t="s">
        <v>3858</v>
      </c>
    </row>
    <row r="414" spans="1:38" x14ac:dyDescent="0.3">
      <c r="A414" s="4">
        <v>45716</v>
      </c>
      <c r="B414" s="5" t="s">
        <v>1532</v>
      </c>
      <c r="C414" s="5" t="s">
        <v>1533</v>
      </c>
      <c r="D414" s="5" t="s">
        <v>1534</v>
      </c>
      <c r="E414" s="5" t="s">
        <v>4494</v>
      </c>
      <c r="G414" s="5" t="s">
        <v>88</v>
      </c>
      <c r="H414" s="5" t="s">
        <v>599</v>
      </c>
      <c r="I414" s="5" t="s">
        <v>1310</v>
      </c>
      <c r="J414" s="5" t="s">
        <v>1245</v>
      </c>
      <c r="K414" s="4">
        <v>40544</v>
      </c>
      <c r="L414" s="4">
        <v>39496</v>
      </c>
      <c r="M414" s="9">
        <f t="shared" si="54"/>
        <v>17</v>
      </c>
      <c r="N414" s="4" t="str">
        <f t="shared" si="56"/>
        <v>] 15 ; +oo [</v>
      </c>
      <c r="O414" s="5" t="s">
        <v>3786</v>
      </c>
      <c r="P414" s="5" t="s">
        <v>3783</v>
      </c>
      <c r="Q414" s="5">
        <v>1</v>
      </c>
      <c r="R414" s="5" t="str">
        <f t="shared" si="57"/>
        <v>Specialisation</v>
      </c>
      <c r="S414" s="5" t="s">
        <v>3789</v>
      </c>
      <c r="T414" s="4">
        <v>29998</v>
      </c>
      <c r="U414" s="5">
        <f t="shared" si="58"/>
        <v>1982</v>
      </c>
      <c r="V414" s="5" t="s">
        <v>3793</v>
      </c>
      <c r="W414" s="9">
        <f t="shared" si="55"/>
        <v>43</v>
      </c>
      <c r="X414" s="5" t="str">
        <f t="shared" si="59"/>
        <v>[40 - 44 ans]</v>
      </c>
      <c r="Y414" s="5" t="str">
        <f t="shared" si="60"/>
        <v xml:space="preserve"> Mellenials </v>
      </c>
      <c r="Z414" s="9">
        <f t="shared" si="61"/>
        <v>17</v>
      </c>
      <c r="AA414" s="5" t="str">
        <f t="shared" si="62"/>
        <v>RAS</v>
      </c>
      <c r="AB414" s="5" t="s">
        <v>3805</v>
      </c>
      <c r="AC414" s="6" t="s">
        <v>3799</v>
      </c>
      <c r="AE414" s="5" t="s">
        <v>3844</v>
      </c>
      <c r="AF414" s="5" t="s">
        <v>4482</v>
      </c>
      <c r="AG414" s="5" t="s">
        <v>4485</v>
      </c>
      <c r="AH414" s="5" t="s">
        <v>4488</v>
      </c>
      <c r="AI414" s="5" t="s">
        <v>4140</v>
      </c>
      <c r="AJ414" s="5" t="s">
        <v>4141</v>
      </c>
      <c r="AK414" s="5">
        <v>11100</v>
      </c>
      <c r="AL414" s="5" t="s">
        <v>3858</v>
      </c>
    </row>
    <row r="415" spans="1:38" x14ac:dyDescent="0.3">
      <c r="A415" s="4">
        <v>45716</v>
      </c>
      <c r="B415" s="5" t="s">
        <v>1535</v>
      </c>
      <c r="C415" s="5" t="s">
        <v>1536</v>
      </c>
      <c r="D415" s="5" t="s">
        <v>1537</v>
      </c>
      <c r="E415" s="5" t="s">
        <v>4494</v>
      </c>
      <c r="G415" s="5" t="s">
        <v>178</v>
      </c>
      <c r="H415" s="5" t="s">
        <v>1538</v>
      </c>
      <c r="I415" s="5" t="s">
        <v>427</v>
      </c>
      <c r="J415" s="5" t="s">
        <v>3312</v>
      </c>
      <c r="K415" s="4">
        <v>40544</v>
      </c>
      <c r="L415" s="4">
        <v>39706</v>
      </c>
      <c r="M415" s="9">
        <f t="shared" si="54"/>
        <v>16</v>
      </c>
      <c r="N415" s="4" t="str">
        <f t="shared" si="56"/>
        <v>] 15 ; +oo [</v>
      </c>
      <c r="O415" s="5" t="s">
        <v>3783</v>
      </c>
      <c r="P415" s="5" t="s">
        <v>3783</v>
      </c>
      <c r="Q415" s="5">
        <v>1</v>
      </c>
      <c r="R415" s="5" t="str">
        <f t="shared" si="57"/>
        <v>Specialisation</v>
      </c>
      <c r="S415" s="5" t="s">
        <v>3789</v>
      </c>
      <c r="T415" s="4">
        <v>30065</v>
      </c>
      <c r="U415" s="5">
        <f t="shared" si="58"/>
        <v>1982</v>
      </c>
      <c r="V415" s="5" t="s">
        <v>3793</v>
      </c>
      <c r="W415" s="9">
        <f t="shared" si="55"/>
        <v>42</v>
      </c>
      <c r="X415" s="5" t="str">
        <f t="shared" si="59"/>
        <v>[40 - 44 ans]</v>
      </c>
      <c r="Y415" s="5" t="str">
        <f t="shared" si="60"/>
        <v xml:space="preserve"> Mellenials </v>
      </c>
      <c r="Z415" s="9">
        <f t="shared" si="61"/>
        <v>18</v>
      </c>
      <c r="AA415" s="5" t="str">
        <f t="shared" si="62"/>
        <v>RAS</v>
      </c>
      <c r="AB415" s="5" t="s">
        <v>3806</v>
      </c>
      <c r="AC415" s="6" t="s">
        <v>3799</v>
      </c>
      <c r="AE415" s="5" t="s">
        <v>3844</v>
      </c>
      <c r="AF415" s="5" t="s">
        <v>4482</v>
      </c>
      <c r="AG415" s="5" t="s">
        <v>4485</v>
      </c>
      <c r="AH415" s="5" t="s">
        <v>4488</v>
      </c>
      <c r="AI415" s="5" t="s">
        <v>4060</v>
      </c>
      <c r="AJ415" s="5" t="s">
        <v>4061</v>
      </c>
      <c r="AK415" s="5" t="s">
        <v>3980</v>
      </c>
      <c r="AL415" s="5" t="s">
        <v>3858</v>
      </c>
    </row>
    <row r="416" spans="1:38" x14ac:dyDescent="0.3">
      <c r="A416" s="4">
        <v>45716</v>
      </c>
      <c r="B416" s="5" t="s">
        <v>1539</v>
      </c>
      <c r="C416" s="5" t="s">
        <v>1540</v>
      </c>
      <c r="D416" s="5" t="s">
        <v>1541</v>
      </c>
      <c r="E416" s="5" t="s">
        <v>4494</v>
      </c>
      <c r="G416" s="5" t="s">
        <v>78</v>
      </c>
      <c r="H416" s="5" t="s">
        <v>1542</v>
      </c>
      <c r="I416" s="5" t="s">
        <v>1548</v>
      </c>
      <c r="J416" s="5" t="s">
        <v>1526</v>
      </c>
      <c r="K416" s="4">
        <v>40544</v>
      </c>
      <c r="L416" s="4">
        <v>38719</v>
      </c>
      <c r="M416" s="9">
        <f t="shared" si="54"/>
        <v>19</v>
      </c>
      <c r="N416" s="4" t="str">
        <f t="shared" si="56"/>
        <v>] 15 ; +oo [</v>
      </c>
      <c r="O416" s="5" t="s">
        <v>3786</v>
      </c>
      <c r="P416" s="5" t="s">
        <v>3783</v>
      </c>
      <c r="Q416" s="5">
        <v>1</v>
      </c>
      <c r="R416" s="5" t="str">
        <f t="shared" si="57"/>
        <v>Specialisation</v>
      </c>
      <c r="S416" s="5" t="s">
        <v>3790</v>
      </c>
      <c r="T416" s="4">
        <v>29653</v>
      </c>
      <c r="U416" s="5">
        <f t="shared" si="58"/>
        <v>1981</v>
      </c>
      <c r="V416" s="5" t="s">
        <v>3793</v>
      </c>
      <c r="W416" s="9">
        <f t="shared" si="55"/>
        <v>43</v>
      </c>
      <c r="X416" s="5" t="str">
        <f t="shared" si="59"/>
        <v>[40 - 44 ans]</v>
      </c>
      <c r="Y416" s="5" t="str">
        <f t="shared" si="60"/>
        <v xml:space="preserve"> Mellenials </v>
      </c>
      <c r="Z416" s="9">
        <f t="shared" si="61"/>
        <v>17</v>
      </c>
      <c r="AA416" s="5" t="str">
        <f t="shared" si="62"/>
        <v>RAS</v>
      </c>
      <c r="AB416" s="5" t="s">
        <v>3808</v>
      </c>
      <c r="AC416" s="6" t="s">
        <v>3799</v>
      </c>
      <c r="AE416" s="5" t="s">
        <v>3844</v>
      </c>
      <c r="AF416" s="5" t="s">
        <v>4482</v>
      </c>
      <c r="AG416" s="5" t="s">
        <v>4485</v>
      </c>
      <c r="AH416" s="5" t="s">
        <v>4488</v>
      </c>
      <c r="AI416" s="5" t="s">
        <v>4131</v>
      </c>
      <c r="AJ416" s="5" t="s">
        <v>4132</v>
      </c>
      <c r="AK416" s="5" t="s">
        <v>3946</v>
      </c>
      <c r="AL416" s="5" t="s">
        <v>3858</v>
      </c>
    </row>
    <row r="417" spans="1:38" x14ac:dyDescent="0.3">
      <c r="A417" s="4">
        <v>45716</v>
      </c>
      <c r="B417" s="5" t="s">
        <v>1543</v>
      </c>
      <c r="C417" s="5" t="s">
        <v>1544</v>
      </c>
      <c r="D417" s="5" t="s">
        <v>1545</v>
      </c>
      <c r="E417" s="5" t="s">
        <v>4494</v>
      </c>
      <c r="G417" s="5" t="s">
        <v>78</v>
      </c>
      <c r="H417" s="5" t="s">
        <v>575</v>
      </c>
      <c r="I417" s="5" t="s">
        <v>1548</v>
      </c>
      <c r="J417" s="5" t="s">
        <v>1526</v>
      </c>
      <c r="K417" s="4">
        <v>40544</v>
      </c>
      <c r="L417" s="4">
        <v>39825</v>
      </c>
      <c r="M417" s="9">
        <f t="shared" si="54"/>
        <v>16</v>
      </c>
      <c r="N417" s="4" t="str">
        <f t="shared" si="56"/>
        <v>] 15 ; +oo [</v>
      </c>
      <c r="O417" s="5" t="s">
        <v>3786</v>
      </c>
      <c r="P417" s="5" t="s">
        <v>3783</v>
      </c>
      <c r="Q417" s="5">
        <v>1</v>
      </c>
      <c r="R417" s="5" t="str">
        <f t="shared" si="57"/>
        <v>Specialisation</v>
      </c>
      <c r="S417" s="5" t="s">
        <v>3790</v>
      </c>
      <c r="T417" s="4">
        <v>29261</v>
      </c>
      <c r="U417" s="5">
        <f t="shared" si="58"/>
        <v>1980</v>
      </c>
      <c r="V417" s="5" t="s">
        <v>3792</v>
      </c>
      <c r="W417" s="9">
        <f t="shared" si="55"/>
        <v>45</v>
      </c>
      <c r="X417" s="5" t="str">
        <f t="shared" si="59"/>
        <v>[45 - 49 ans]</v>
      </c>
      <c r="Y417" s="5" t="str">
        <f t="shared" si="60"/>
        <v xml:space="preserve"> Generation X </v>
      </c>
      <c r="Z417" s="9">
        <f t="shared" si="61"/>
        <v>15</v>
      </c>
      <c r="AA417" s="5" t="str">
        <f t="shared" si="62"/>
        <v>RAS</v>
      </c>
      <c r="AB417" s="5" t="s">
        <v>3808</v>
      </c>
      <c r="AC417" s="6" t="s">
        <v>3799</v>
      </c>
      <c r="AE417" s="5" t="s">
        <v>3844</v>
      </c>
      <c r="AF417" s="5" t="s">
        <v>4482</v>
      </c>
      <c r="AG417" s="5" t="s">
        <v>4485</v>
      </c>
      <c r="AH417" s="5" t="s">
        <v>4488</v>
      </c>
      <c r="AI417" s="5" t="s">
        <v>4131</v>
      </c>
      <c r="AJ417" s="5" t="s">
        <v>4132</v>
      </c>
      <c r="AK417" s="5" t="s">
        <v>3946</v>
      </c>
      <c r="AL417" s="5" t="s">
        <v>3858</v>
      </c>
    </row>
    <row r="418" spans="1:38" x14ac:dyDescent="0.3">
      <c r="A418" s="4">
        <v>45716</v>
      </c>
      <c r="B418" s="5" t="s">
        <v>1546</v>
      </c>
      <c r="C418" s="5" t="s">
        <v>1547</v>
      </c>
      <c r="D418" s="5" t="s">
        <v>1548</v>
      </c>
      <c r="E418" s="5" t="s">
        <v>4494</v>
      </c>
      <c r="G418" s="5" t="s">
        <v>78</v>
      </c>
      <c r="H418" s="5" t="s">
        <v>1549</v>
      </c>
      <c r="I418" s="5" t="s">
        <v>1526</v>
      </c>
      <c r="J418" s="5" t="s">
        <v>1823</v>
      </c>
      <c r="K418" s="4">
        <v>40544</v>
      </c>
      <c r="L418" s="4">
        <v>39904</v>
      </c>
      <c r="M418" s="9">
        <f t="shared" si="54"/>
        <v>15</v>
      </c>
      <c r="N418" s="4" t="str">
        <f t="shared" si="56"/>
        <v>] 10 ; 15 ]</v>
      </c>
      <c r="O418" s="5" t="s">
        <v>3785</v>
      </c>
      <c r="P418" s="5" t="s">
        <v>3785</v>
      </c>
      <c r="Q418" s="5">
        <v>1</v>
      </c>
      <c r="R418" s="5" t="str">
        <f t="shared" si="57"/>
        <v>Specialisation</v>
      </c>
      <c r="S418" s="5" t="s">
        <v>3790</v>
      </c>
      <c r="T418" s="4">
        <v>30358</v>
      </c>
      <c r="U418" s="5">
        <f t="shared" si="58"/>
        <v>1983</v>
      </c>
      <c r="V418" s="5" t="s">
        <v>3792</v>
      </c>
      <c r="W418" s="9">
        <f t="shared" si="55"/>
        <v>42</v>
      </c>
      <c r="X418" s="5" t="str">
        <f t="shared" si="59"/>
        <v>[40 - 44 ans]</v>
      </c>
      <c r="Y418" s="5" t="str">
        <f t="shared" si="60"/>
        <v xml:space="preserve"> Mellenials </v>
      </c>
      <c r="Z418" s="9">
        <f t="shared" si="61"/>
        <v>18</v>
      </c>
      <c r="AA418" s="5" t="str">
        <f t="shared" si="62"/>
        <v>RAS</v>
      </c>
      <c r="AB418" s="5" t="s">
        <v>3808</v>
      </c>
      <c r="AC418" s="6" t="s">
        <v>3799</v>
      </c>
      <c r="AE418" s="5" t="s">
        <v>3844</v>
      </c>
      <c r="AF418" s="5" t="s">
        <v>4481</v>
      </c>
      <c r="AG418" s="5" t="s">
        <v>4485</v>
      </c>
      <c r="AH418" s="5" t="s">
        <v>4488</v>
      </c>
      <c r="AI418" s="5" t="s">
        <v>4131</v>
      </c>
      <c r="AJ418" s="5" t="s">
        <v>4132</v>
      </c>
      <c r="AK418" s="5" t="s">
        <v>3980</v>
      </c>
      <c r="AL418" s="5" t="s">
        <v>3858</v>
      </c>
    </row>
    <row r="419" spans="1:38" x14ac:dyDescent="0.3">
      <c r="A419" s="4">
        <v>45716</v>
      </c>
      <c r="B419" s="5" t="s">
        <v>1550</v>
      </c>
      <c r="C419" s="5" t="s">
        <v>1551</v>
      </c>
      <c r="D419" s="5" t="s">
        <v>1552</v>
      </c>
      <c r="E419" s="5" t="s">
        <v>4494</v>
      </c>
      <c r="G419" s="5" t="s">
        <v>44</v>
      </c>
      <c r="H419" s="5" t="s">
        <v>1553</v>
      </c>
      <c r="I419" s="5" t="s">
        <v>2337</v>
      </c>
      <c r="J419" s="5" t="s">
        <v>2841</v>
      </c>
      <c r="K419" s="4">
        <v>40544</v>
      </c>
      <c r="L419" s="4">
        <v>40087</v>
      </c>
      <c r="M419" s="9">
        <f t="shared" si="54"/>
        <v>15</v>
      </c>
      <c r="N419" s="4" t="str">
        <f t="shared" si="56"/>
        <v>] 10 ; 15 ]</v>
      </c>
      <c r="O419" s="5" t="s">
        <v>3782</v>
      </c>
      <c r="P419" s="5" t="s">
        <v>3782</v>
      </c>
      <c r="Q419" s="5">
        <v>2</v>
      </c>
      <c r="R419" s="5" t="str">
        <f t="shared" si="57"/>
        <v>Management &amp; Expertise</v>
      </c>
      <c r="S419" s="5" t="s">
        <v>3790</v>
      </c>
      <c r="T419" s="4">
        <v>30980</v>
      </c>
      <c r="U419" s="5">
        <f t="shared" si="58"/>
        <v>1984</v>
      </c>
      <c r="V419" s="5" t="s">
        <v>3793</v>
      </c>
      <c r="W419" s="9">
        <f t="shared" si="55"/>
        <v>40</v>
      </c>
      <c r="X419" s="5" t="str">
        <f t="shared" si="59"/>
        <v>[40 - 44 ans]</v>
      </c>
      <c r="Y419" s="5" t="str">
        <f t="shared" si="60"/>
        <v xml:space="preserve"> Mellenials </v>
      </c>
      <c r="Z419" s="9">
        <f t="shared" si="61"/>
        <v>20</v>
      </c>
      <c r="AA419" s="5" t="str">
        <f t="shared" si="62"/>
        <v>RAS</v>
      </c>
      <c r="AB419" s="5" t="s">
        <v>3806</v>
      </c>
      <c r="AC419" s="6" t="s">
        <v>3799</v>
      </c>
      <c r="AE419" s="5" t="s">
        <v>3846</v>
      </c>
      <c r="AF419" s="5" t="s">
        <v>4481</v>
      </c>
      <c r="AG419" s="5" t="s">
        <v>4485</v>
      </c>
      <c r="AH419" s="5" t="s">
        <v>4487</v>
      </c>
      <c r="AI419" s="5" t="s">
        <v>4128</v>
      </c>
      <c r="AJ419" s="5" t="s">
        <v>4129</v>
      </c>
      <c r="AK419" s="5" t="s">
        <v>4130</v>
      </c>
      <c r="AL419" s="5" t="s">
        <v>4332</v>
      </c>
    </row>
    <row r="420" spans="1:38" x14ac:dyDescent="0.3">
      <c r="A420" s="4">
        <v>45716</v>
      </c>
      <c r="B420" s="5" t="s">
        <v>1554</v>
      </c>
      <c r="C420" s="5" t="s">
        <v>1555</v>
      </c>
      <c r="D420" s="5" t="s">
        <v>1556</v>
      </c>
      <c r="E420" s="5" t="s">
        <v>4494</v>
      </c>
      <c r="G420" s="5" t="s">
        <v>78</v>
      </c>
      <c r="H420" s="5" t="s">
        <v>575</v>
      </c>
      <c r="I420" s="5" t="s">
        <v>1548</v>
      </c>
      <c r="J420" s="5" t="s">
        <v>1526</v>
      </c>
      <c r="K420" s="4">
        <v>40544</v>
      </c>
      <c r="L420" s="4">
        <v>39251</v>
      </c>
      <c r="M420" s="9">
        <f t="shared" si="54"/>
        <v>17</v>
      </c>
      <c r="N420" s="4" t="str">
        <f t="shared" si="56"/>
        <v>] 15 ; +oo [</v>
      </c>
      <c r="O420" s="5" t="s">
        <v>3786</v>
      </c>
      <c r="P420" s="5" t="s">
        <v>3783</v>
      </c>
      <c r="Q420" s="5">
        <v>1</v>
      </c>
      <c r="R420" s="5" t="str">
        <f t="shared" si="57"/>
        <v>Specialisation</v>
      </c>
      <c r="S420" s="5" t="s">
        <v>3790</v>
      </c>
      <c r="T420" s="4">
        <v>28777</v>
      </c>
      <c r="U420" s="5">
        <f t="shared" si="58"/>
        <v>1978</v>
      </c>
      <c r="V420" s="5" t="s">
        <v>3793</v>
      </c>
      <c r="W420" s="9">
        <f t="shared" si="55"/>
        <v>46</v>
      </c>
      <c r="X420" s="5" t="str">
        <f t="shared" si="59"/>
        <v>[45 - 49 ans]</v>
      </c>
      <c r="Y420" s="5" t="str">
        <f t="shared" si="60"/>
        <v xml:space="preserve"> Generation X </v>
      </c>
      <c r="Z420" s="9">
        <f t="shared" si="61"/>
        <v>14</v>
      </c>
      <c r="AA420" s="5" t="str">
        <f t="shared" si="62"/>
        <v>RAS</v>
      </c>
      <c r="AB420" s="5" t="s">
        <v>3808</v>
      </c>
      <c r="AC420" s="6" t="s">
        <v>3799</v>
      </c>
      <c r="AE420" s="5" t="s">
        <v>3844</v>
      </c>
      <c r="AF420" s="5" t="s">
        <v>4482</v>
      </c>
      <c r="AG420" s="5" t="s">
        <v>4485</v>
      </c>
      <c r="AH420" s="5" t="s">
        <v>4488</v>
      </c>
      <c r="AI420" s="5" t="s">
        <v>4131</v>
      </c>
      <c r="AJ420" s="5" t="s">
        <v>4132</v>
      </c>
      <c r="AK420" s="5" t="s">
        <v>3946</v>
      </c>
      <c r="AL420" s="5" t="s">
        <v>3858</v>
      </c>
    </row>
    <row r="421" spans="1:38" x14ac:dyDescent="0.3">
      <c r="A421" s="4">
        <v>45716</v>
      </c>
      <c r="B421" s="5" t="s">
        <v>1557</v>
      </c>
      <c r="C421" s="5" t="s">
        <v>1558</v>
      </c>
      <c r="D421" s="5" t="s">
        <v>1559</v>
      </c>
      <c r="E421" s="5" t="s">
        <v>4494</v>
      </c>
      <c r="G421" s="5" t="s">
        <v>39</v>
      </c>
      <c r="H421" s="5" t="s">
        <v>1560</v>
      </c>
      <c r="I421" s="5" t="s">
        <v>132</v>
      </c>
      <c r="J421" s="5" t="s">
        <v>1372</v>
      </c>
      <c r="K421" s="4">
        <v>40544</v>
      </c>
      <c r="L421" s="4">
        <v>38979</v>
      </c>
      <c r="M421" s="9">
        <f t="shared" si="54"/>
        <v>18</v>
      </c>
      <c r="N421" s="4" t="str">
        <f t="shared" si="56"/>
        <v>] 15 ; +oo [</v>
      </c>
      <c r="O421" s="5" t="s">
        <v>3782</v>
      </c>
      <c r="P421" s="5" t="s">
        <v>3782</v>
      </c>
      <c r="Q421" s="5">
        <v>1</v>
      </c>
      <c r="R421" s="5" t="str">
        <f t="shared" si="57"/>
        <v>Management &amp; Expertise</v>
      </c>
      <c r="S421" s="5" t="s">
        <v>3790</v>
      </c>
      <c r="T421" s="4">
        <v>30590</v>
      </c>
      <c r="U421" s="5">
        <f t="shared" si="58"/>
        <v>1983</v>
      </c>
      <c r="V421" s="5" t="s">
        <v>3793</v>
      </c>
      <c r="W421" s="9">
        <f t="shared" si="55"/>
        <v>41</v>
      </c>
      <c r="X421" s="5" t="str">
        <f t="shared" si="59"/>
        <v>[40 - 44 ans]</v>
      </c>
      <c r="Y421" s="5" t="str">
        <f t="shared" si="60"/>
        <v xml:space="preserve"> Mellenials </v>
      </c>
      <c r="Z421" s="9">
        <f t="shared" si="61"/>
        <v>19</v>
      </c>
      <c r="AA421" s="5" t="str">
        <f t="shared" si="62"/>
        <v>RAS</v>
      </c>
      <c r="AB421" s="5" t="s">
        <v>3805</v>
      </c>
      <c r="AC421" s="6" t="s">
        <v>3799</v>
      </c>
      <c r="AE421" s="5" t="s">
        <v>3844</v>
      </c>
      <c r="AF421" s="5" t="s">
        <v>4481</v>
      </c>
      <c r="AG421" s="5" t="s">
        <v>4485</v>
      </c>
      <c r="AH421" s="5" t="s">
        <v>4489</v>
      </c>
      <c r="AI421" s="5" t="s">
        <v>3906</v>
      </c>
      <c r="AJ421" s="5" t="s">
        <v>3907</v>
      </c>
      <c r="AK421" s="5" t="s">
        <v>3908</v>
      </c>
      <c r="AL421" s="5" t="s">
        <v>3858</v>
      </c>
    </row>
    <row r="422" spans="1:38" x14ac:dyDescent="0.3">
      <c r="A422" s="4">
        <v>45716</v>
      </c>
      <c r="B422" s="5" t="s">
        <v>1561</v>
      </c>
      <c r="C422" s="5" t="s">
        <v>1562</v>
      </c>
      <c r="D422" s="5" t="s">
        <v>1563</v>
      </c>
      <c r="E422" s="5" t="s">
        <v>4494</v>
      </c>
      <c r="G422" s="5" t="s">
        <v>78</v>
      </c>
      <c r="H422" s="5" t="s">
        <v>1066</v>
      </c>
      <c r="I422" s="5" t="s">
        <v>1306</v>
      </c>
      <c r="J422" s="5" t="s">
        <v>1510</v>
      </c>
      <c r="K422" s="4">
        <v>40544</v>
      </c>
      <c r="L422" s="4">
        <v>38866</v>
      </c>
      <c r="M422" s="9">
        <f t="shared" si="54"/>
        <v>18</v>
      </c>
      <c r="N422" s="4" t="str">
        <f t="shared" si="56"/>
        <v>] 15 ; +oo [</v>
      </c>
      <c r="O422" s="5" t="s">
        <v>3788</v>
      </c>
      <c r="P422" s="5" t="s">
        <v>3780</v>
      </c>
      <c r="Q422" s="5">
        <v>1</v>
      </c>
      <c r="R422" s="5" t="str">
        <f t="shared" si="57"/>
        <v>Qualification</v>
      </c>
      <c r="S422" s="5" t="s">
        <v>3790</v>
      </c>
      <c r="T422" s="4">
        <v>26309</v>
      </c>
      <c r="U422" s="5">
        <f t="shared" si="58"/>
        <v>1972</v>
      </c>
      <c r="V422" s="5" t="s">
        <v>3793</v>
      </c>
      <c r="W422" s="9">
        <f t="shared" si="55"/>
        <v>53</v>
      </c>
      <c r="X422" s="5" t="str">
        <f t="shared" si="59"/>
        <v>[50 ans, +oo [</v>
      </c>
      <c r="Y422" s="5" t="str">
        <f t="shared" si="60"/>
        <v xml:space="preserve"> Generation X </v>
      </c>
      <c r="Z422" s="9">
        <f t="shared" si="61"/>
        <v>7</v>
      </c>
      <c r="AA422" s="5" t="str">
        <f t="shared" si="62"/>
        <v>RAS</v>
      </c>
      <c r="AB422" s="5" t="s">
        <v>3808</v>
      </c>
      <c r="AC422" s="6" t="s">
        <v>3799</v>
      </c>
      <c r="AE422" s="5" t="s">
        <v>3844</v>
      </c>
      <c r="AF422" s="5" t="s">
        <v>4482</v>
      </c>
      <c r="AG422" s="5" t="s">
        <v>4485</v>
      </c>
      <c r="AH422" s="5" t="s">
        <v>4488</v>
      </c>
      <c r="AI422" s="5" t="s">
        <v>4241</v>
      </c>
      <c r="AJ422" s="5" t="s">
        <v>4250</v>
      </c>
      <c r="AK422" s="5" t="s">
        <v>4242</v>
      </c>
      <c r="AL422" s="5" t="s">
        <v>3858</v>
      </c>
    </row>
    <row r="423" spans="1:38" x14ac:dyDescent="0.3">
      <c r="A423" s="4">
        <v>45716</v>
      </c>
      <c r="B423" s="5" t="s">
        <v>1564</v>
      </c>
      <c r="C423" s="5" t="s">
        <v>1565</v>
      </c>
      <c r="D423" s="5" t="s">
        <v>1566</v>
      </c>
      <c r="E423" s="5" t="s">
        <v>4494</v>
      </c>
      <c r="G423" s="5" t="s">
        <v>78</v>
      </c>
      <c r="H423" s="5" t="s">
        <v>1066</v>
      </c>
      <c r="I423" s="5" t="s">
        <v>1306</v>
      </c>
      <c r="J423" s="5" t="s">
        <v>1510</v>
      </c>
      <c r="K423" s="4">
        <v>40544</v>
      </c>
      <c r="L423" s="4">
        <v>39449</v>
      </c>
      <c r="M423" s="9">
        <f t="shared" si="54"/>
        <v>17</v>
      </c>
      <c r="N423" s="4" t="str">
        <f t="shared" si="56"/>
        <v>] 15 ; +oo [</v>
      </c>
      <c r="O423" s="5" t="s">
        <v>3788</v>
      </c>
      <c r="P423" s="5" t="s">
        <v>3780</v>
      </c>
      <c r="Q423" s="5">
        <v>1</v>
      </c>
      <c r="R423" s="5" t="str">
        <f t="shared" si="57"/>
        <v>Qualification</v>
      </c>
      <c r="S423" s="5" t="s">
        <v>3790</v>
      </c>
      <c r="T423" s="4">
        <v>30861</v>
      </c>
      <c r="U423" s="5">
        <f t="shared" si="58"/>
        <v>1984</v>
      </c>
      <c r="V423" s="5" t="s">
        <v>3793</v>
      </c>
      <c r="W423" s="9">
        <f t="shared" si="55"/>
        <v>40</v>
      </c>
      <c r="X423" s="5" t="str">
        <f t="shared" si="59"/>
        <v>[40 - 44 ans]</v>
      </c>
      <c r="Y423" s="5" t="str">
        <f t="shared" si="60"/>
        <v xml:space="preserve"> Mellenials </v>
      </c>
      <c r="Z423" s="9">
        <f t="shared" si="61"/>
        <v>20</v>
      </c>
      <c r="AA423" s="5" t="str">
        <f t="shared" si="62"/>
        <v>RAS</v>
      </c>
      <c r="AB423" s="5" t="s">
        <v>3808</v>
      </c>
      <c r="AC423" s="6" t="s">
        <v>3799</v>
      </c>
      <c r="AE423" s="5" t="s">
        <v>3844</v>
      </c>
      <c r="AF423" s="5" t="s">
        <v>4482</v>
      </c>
      <c r="AG423" s="5" t="s">
        <v>4485</v>
      </c>
      <c r="AH423" s="5" t="s">
        <v>4488</v>
      </c>
      <c r="AI423" s="5" t="s">
        <v>4241</v>
      </c>
      <c r="AJ423" s="5" t="s">
        <v>4250</v>
      </c>
      <c r="AK423" s="5" t="s">
        <v>4242</v>
      </c>
      <c r="AL423" s="5" t="s">
        <v>3858</v>
      </c>
    </row>
    <row r="424" spans="1:38" x14ac:dyDescent="0.3">
      <c r="A424" s="4">
        <v>45716</v>
      </c>
      <c r="B424" s="5" t="s">
        <v>1567</v>
      </c>
      <c r="C424" s="5" t="s">
        <v>1568</v>
      </c>
      <c r="D424" s="5" t="s">
        <v>1569</v>
      </c>
      <c r="E424" s="5" t="s">
        <v>4494</v>
      </c>
      <c r="G424" s="5" t="s">
        <v>29</v>
      </c>
      <c r="H424" s="5" t="s">
        <v>1049</v>
      </c>
      <c r="I424" s="5" t="s">
        <v>2344</v>
      </c>
      <c r="J424" s="5" t="s">
        <v>128</v>
      </c>
      <c r="K424" s="4">
        <v>40544</v>
      </c>
      <c r="L424" s="4">
        <v>39580</v>
      </c>
      <c r="M424" s="9">
        <f t="shared" si="54"/>
        <v>16</v>
      </c>
      <c r="N424" s="4" t="str">
        <f t="shared" si="56"/>
        <v>] 15 ; +oo [</v>
      </c>
      <c r="O424" s="5" t="s">
        <v>3783</v>
      </c>
      <c r="P424" s="5" t="s">
        <v>3783</v>
      </c>
      <c r="Q424" s="5">
        <v>2</v>
      </c>
      <c r="R424" s="5" t="str">
        <f t="shared" si="57"/>
        <v>Specialisation</v>
      </c>
      <c r="S424" s="5" t="s">
        <v>3789</v>
      </c>
      <c r="T424" s="4">
        <v>29871</v>
      </c>
      <c r="U424" s="5">
        <f t="shared" si="58"/>
        <v>1981</v>
      </c>
      <c r="V424" s="5" t="s">
        <v>3793</v>
      </c>
      <c r="W424" s="9">
        <f t="shared" si="55"/>
        <v>43</v>
      </c>
      <c r="X424" s="5" t="str">
        <f t="shared" si="59"/>
        <v>[40 - 44 ans]</v>
      </c>
      <c r="Y424" s="5" t="str">
        <f t="shared" si="60"/>
        <v xml:space="preserve"> Mellenials </v>
      </c>
      <c r="Z424" s="9">
        <f t="shared" si="61"/>
        <v>17</v>
      </c>
      <c r="AA424" s="5" t="str">
        <f t="shared" si="62"/>
        <v>RAS</v>
      </c>
      <c r="AB424" s="5" t="s">
        <v>3806</v>
      </c>
      <c r="AC424" s="6" t="s">
        <v>3799</v>
      </c>
      <c r="AE424" s="5" t="s">
        <v>3844</v>
      </c>
      <c r="AF424" s="5" t="s">
        <v>4482</v>
      </c>
      <c r="AG424" s="5" t="s">
        <v>4485</v>
      </c>
      <c r="AH424" s="5" t="s">
        <v>4487</v>
      </c>
      <c r="AI424" s="5" t="s">
        <v>4333</v>
      </c>
      <c r="AJ424" s="5" t="s">
        <v>4334</v>
      </c>
      <c r="AK424" s="5" t="s">
        <v>4335</v>
      </c>
      <c r="AL424" s="5" t="s">
        <v>3858</v>
      </c>
    </row>
    <row r="425" spans="1:38" x14ac:dyDescent="0.3">
      <c r="A425" s="4">
        <v>45716</v>
      </c>
      <c r="B425" s="5" t="s">
        <v>1570</v>
      </c>
      <c r="C425" s="5" t="s">
        <v>1571</v>
      </c>
      <c r="D425" s="5" t="s">
        <v>1572</v>
      </c>
      <c r="E425" s="5" t="s">
        <v>4494</v>
      </c>
      <c r="G425" s="5" t="s">
        <v>29</v>
      </c>
      <c r="H425" s="5" t="s">
        <v>1049</v>
      </c>
      <c r="I425" s="5" t="s">
        <v>2027</v>
      </c>
      <c r="J425" s="5" t="s">
        <v>128</v>
      </c>
      <c r="K425" s="4">
        <v>40544</v>
      </c>
      <c r="L425" s="4">
        <v>39656</v>
      </c>
      <c r="M425" s="9">
        <f t="shared" si="54"/>
        <v>16</v>
      </c>
      <c r="N425" s="4" t="str">
        <f t="shared" si="56"/>
        <v>] 15 ; +oo [</v>
      </c>
      <c r="O425" s="5" t="s">
        <v>3783</v>
      </c>
      <c r="P425" s="5" t="s">
        <v>3783</v>
      </c>
      <c r="Q425" s="5">
        <v>2</v>
      </c>
      <c r="R425" s="5" t="str">
        <f t="shared" si="57"/>
        <v>Specialisation</v>
      </c>
      <c r="S425" s="5" t="s">
        <v>3789</v>
      </c>
      <c r="T425" s="4">
        <v>30331</v>
      </c>
      <c r="U425" s="5">
        <f t="shared" si="58"/>
        <v>1983</v>
      </c>
      <c r="V425" s="5" t="s">
        <v>3793</v>
      </c>
      <c r="W425" s="9">
        <f t="shared" si="55"/>
        <v>42</v>
      </c>
      <c r="X425" s="5" t="str">
        <f t="shared" si="59"/>
        <v>[40 - 44 ans]</v>
      </c>
      <c r="Y425" s="5" t="str">
        <f t="shared" si="60"/>
        <v xml:space="preserve"> Mellenials </v>
      </c>
      <c r="Z425" s="9">
        <f t="shared" si="61"/>
        <v>18</v>
      </c>
      <c r="AA425" s="5" t="str">
        <f t="shared" si="62"/>
        <v>RAS</v>
      </c>
      <c r="AB425" s="5" t="s">
        <v>3806</v>
      </c>
      <c r="AC425" s="6" t="s">
        <v>3799</v>
      </c>
      <c r="AE425" s="5" t="s">
        <v>3844</v>
      </c>
      <c r="AF425" s="5" t="s">
        <v>4482</v>
      </c>
      <c r="AG425" s="5" t="s">
        <v>4485</v>
      </c>
      <c r="AH425" s="5" t="s">
        <v>4487</v>
      </c>
      <c r="AI425" s="5" t="s">
        <v>4237</v>
      </c>
      <c r="AJ425" s="5" t="s">
        <v>4336</v>
      </c>
      <c r="AK425" s="5" t="s">
        <v>3888</v>
      </c>
      <c r="AL425" s="5" t="s">
        <v>3858</v>
      </c>
    </row>
    <row r="426" spans="1:38" x14ac:dyDescent="0.3">
      <c r="A426" s="4">
        <v>45716</v>
      </c>
      <c r="B426" s="5" t="s">
        <v>1573</v>
      </c>
      <c r="C426" s="5" t="s">
        <v>1574</v>
      </c>
      <c r="D426" s="5" t="s">
        <v>1575</v>
      </c>
      <c r="E426" s="5" t="s">
        <v>4494</v>
      </c>
      <c r="G426" s="5" t="s">
        <v>39</v>
      </c>
      <c r="H426" s="5" t="s">
        <v>692</v>
      </c>
      <c r="I426" s="5" t="s">
        <v>2399</v>
      </c>
      <c r="J426" s="5" t="s">
        <v>48</v>
      </c>
      <c r="K426" s="4">
        <v>40544</v>
      </c>
      <c r="L426" s="4">
        <v>39767</v>
      </c>
      <c r="M426" s="9">
        <f t="shared" si="54"/>
        <v>16</v>
      </c>
      <c r="N426" s="4" t="str">
        <f t="shared" si="56"/>
        <v>] 15 ; +oo [</v>
      </c>
      <c r="O426" s="5" t="s">
        <v>3786</v>
      </c>
      <c r="P426" s="5" t="s">
        <v>3786</v>
      </c>
      <c r="Q426" s="5">
        <v>1</v>
      </c>
      <c r="R426" s="5" t="str">
        <f t="shared" si="57"/>
        <v>Specialisation</v>
      </c>
      <c r="S426" s="5" t="s">
        <v>3789</v>
      </c>
      <c r="T426" s="4">
        <v>29390</v>
      </c>
      <c r="U426" s="5">
        <f t="shared" si="58"/>
        <v>1980</v>
      </c>
      <c r="V426" s="5" t="s">
        <v>3793</v>
      </c>
      <c r="W426" s="9">
        <f t="shared" si="55"/>
        <v>44</v>
      </c>
      <c r="X426" s="5" t="str">
        <f t="shared" si="59"/>
        <v>[40 - 44 ans]</v>
      </c>
      <c r="Y426" s="5" t="str">
        <f t="shared" si="60"/>
        <v xml:space="preserve"> Generation X </v>
      </c>
      <c r="Z426" s="9">
        <f t="shared" si="61"/>
        <v>16</v>
      </c>
      <c r="AA426" s="5" t="str">
        <f t="shared" si="62"/>
        <v>RAS</v>
      </c>
      <c r="AB426" s="5" t="s">
        <v>3806</v>
      </c>
      <c r="AC426" s="6" t="s">
        <v>3799</v>
      </c>
      <c r="AE426" s="5" t="s">
        <v>3844</v>
      </c>
      <c r="AF426" s="5" t="s">
        <v>4482</v>
      </c>
      <c r="AG426" s="5" t="s">
        <v>4485</v>
      </c>
      <c r="AH426" s="5" t="s">
        <v>4489</v>
      </c>
      <c r="AI426" s="5" t="s">
        <v>4172</v>
      </c>
      <c r="AJ426" s="5" t="s">
        <v>4173</v>
      </c>
      <c r="AK426" s="5" t="s">
        <v>4080</v>
      </c>
      <c r="AL426" s="5" t="s">
        <v>3858</v>
      </c>
    </row>
    <row r="427" spans="1:38" x14ac:dyDescent="0.3">
      <c r="A427" s="4">
        <v>45716</v>
      </c>
      <c r="B427" s="5" t="s">
        <v>1576</v>
      </c>
      <c r="C427" s="5" t="s">
        <v>1577</v>
      </c>
      <c r="D427" s="5" t="s">
        <v>1578</v>
      </c>
      <c r="E427" s="5" t="s">
        <v>4494</v>
      </c>
      <c r="G427" s="5" t="s">
        <v>88</v>
      </c>
      <c r="H427" s="5" t="s">
        <v>1579</v>
      </c>
      <c r="I427" s="5" t="s">
        <v>1291</v>
      </c>
      <c r="J427" s="5" t="s">
        <v>2724</v>
      </c>
      <c r="K427" s="4">
        <v>40544</v>
      </c>
      <c r="L427" s="4">
        <v>39904</v>
      </c>
      <c r="M427" s="9">
        <f t="shared" si="54"/>
        <v>15</v>
      </c>
      <c r="N427" s="4" t="str">
        <f t="shared" si="56"/>
        <v>] 10 ; 15 ]</v>
      </c>
      <c r="O427" s="5" t="s">
        <v>3786</v>
      </c>
      <c r="P427" s="5" t="s">
        <v>3786</v>
      </c>
      <c r="Q427" s="5">
        <v>1</v>
      </c>
      <c r="R427" s="5" t="str">
        <f t="shared" si="57"/>
        <v>Specialisation</v>
      </c>
      <c r="S427" s="5" t="s">
        <v>3789</v>
      </c>
      <c r="T427" s="4">
        <v>31190</v>
      </c>
      <c r="U427" s="5">
        <f t="shared" si="58"/>
        <v>1985</v>
      </c>
      <c r="V427" s="5" t="s">
        <v>3793</v>
      </c>
      <c r="W427" s="9">
        <f t="shared" si="55"/>
        <v>39</v>
      </c>
      <c r="X427" s="5" t="str">
        <f t="shared" si="59"/>
        <v>[35 - 39 ans ]</v>
      </c>
      <c r="Y427" s="5" t="str">
        <f t="shared" si="60"/>
        <v xml:space="preserve"> Mellenials </v>
      </c>
      <c r="Z427" s="9">
        <f t="shared" si="61"/>
        <v>21</v>
      </c>
      <c r="AA427" s="5" t="str">
        <f t="shared" si="62"/>
        <v>RAS</v>
      </c>
      <c r="AB427" s="5" t="s">
        <v>3806</v>
      </c>
      <c r="AC427" s="6" t="s">
        <v>3799</v>
      </c>
      <c r="AE427" s="5" t="s">
        <v>3844</v>
      </c>
      <c r="AF427" s="5" t="s">
        <v>4482</v>
      </c>
      <c r="AG427" s="5" t="s">
        <v>4485</v>
      </c>
      <c r="AH427" s="5" t="s">
        <v>4488</v>
      </c>
      <c r="AI427" s="5" t="s">
        <v>4283</v>
      </c>
      <c r="AJ427" s="5" t="s">
        <v>4284</v>
      </c>
      <c r="AK427" s="5" t="s">
        <v>4285</v>
      </c>
      <c r="AL427" s="5" t="s">
        <v>3858</v>
      </c>
    </row>
    <row r="428" spans="1:38" x14ac:dyDescent="0.3">
      <c r="A428" s="4">
        <v>45716</v>
      </c>
      <c r="B428" s="5" t="s">
        <v>1580</v>
      </c>
      <c r="C428" s="5" t="s">
        <v>1581</v>
      </c>
      <c r="D428" s="5" t="s">
        <v>1582</v>
      </c>
      <c r="E428" s="5" t="s">
        <v>4494</v>
      </c>
      <c r="G428" s="5" t="s">
        <v>29</v>
      </c>
      <c r="H428" s="5" t="s">
        <v>307</v>
      </c>
      <c r="I428" s="5" t="s">
        <v>3366</v>
      </c>
      <c r="J428" s="5" t="s">
        <v>157</v>
      </c>
      <c r="K428" s="4">
        <v>40544</v>
      </c>
      <c r="L428" s="4">
        <v>40087</v>
      </c>
      <c r="M428" s="9">
        <f t="shared" si="54"/>
        <v>15</v>
      </c>
      <c r="N428" s="4" t="str">
        <f t="shared" si="56"/>
        <v>] 10 ; 15 ]</v>
      </c>
      <c r="O428" s="5" t="s">
        <v>3786</v>
      </c>
      <c r="P428" s="5" t="s">
        <v>3786</v>
      </c>
      <c r="Q428" s="5">
        <v>2</v>
      </c>
      <c r="R428" s="5" t="str">
        <f t="shared" si="57"/>
        <v>Specialisation</v>
      </c>
      <c r="S428" s="5" t="s">
        <v>3790</v>
      </c>
      <c r="T428" s="4">
        <v>30507</v>
      </c>
      <c r="U428" s="5">
        <f t="shared" si="58"/>
        <v>1983</v>
      </c>
      <c r="V428" s="5" t="s">
        <v>3793</v>
      </c>
      <c r="W428" s="9">
        <f t="shared" si="55"/>
        <v>41</v>
      </c>
      <c r="X428" s="5" t="str">
        <f t="shared" si="59"/>
        <v>[40 - 44 ans]</v>
      </c>
      <c r="Y428" s="5" t="str">
        <f t="shared" si="60"/>
        <v xml:space="preserve"> Mellenials </v>
      </c>
      <c r="Z428" s="9">
        <f t="shared" si="61"/>
        <v>19</v>
      </c>
      <c r="AA428" s="5" t="str">
        <f t="shared" si="62"/>
        <v>RAS</v>
      </c>
      <c r="AB428" s="5" t="s">
        <v>3806</v>
      </c>
      <c r="AC428" s="6" t="s">
        <v>3799</v>
      </c>
      <c r="AE428" s="5" t="s">
        <v>3844</v>
      </c>
      <c r="AF428" s="5" t="s">
        <v>4482</v>
      </c>
      <c r="AG428" s="5" t="s">
        <v>4485</v>
      </c>
      <c r="AH428" s="5" t="s">
        <v>4487</v>
      </c>
      <c r="AI428" s="5" t="s">
        <v>4006</v>
      </c>
      <c r="AJ428" s="5" t="s">
        <v>4007</v>
      </c>
      <c r="AK428" s="5" t="s">
        <v>3937</v>
      </c>
      <c r="AL428" s="5" t="s">
        <v>3858</v>
      </c>
    </row>
    <row r="429" spans="1:38" x14ac:dyDescent="0.3">
      <c r="A429" s="4">
        <v>45716</v>
      </c>
      <c r="B429" s="5" t="s">
        <v>1583</v>
      </c>
      <c r="C429" s="5" t="s">
        <v>1584</v>
      </c>
      <c r="D429" s="5" t="s">
        <v>1585</v>
      </c>
      <c r="E429" s="5" t="s">
        <v>4494</v>
      </c>
      <c r="G429" s="5" t="s">
        <v>39</v>
      </c>
      <c r="H429" s="5" t="s">
        <v>1586</v>
      </c>
      <c r="I429" s="5" t="s">
        <v>1218</v>
      </c>
      <c r="J429" s="5" t="s">
        <v>2821</v>
      </c>
      <c r="K429" s="4">
        <v>40544</v>
      </c>
      <c r="L429" s="4">
        <v>39566</v>
      </c>
      <c r="M429" s="9">
        <f t="shared" si="54"/>
        <v>16</v>
      </c>
      <c r="N429" s="4" t="str">
        <f t="shared" si="56"/>
        <v>] 15 ; +oo [</v>
      </c>
      <c r="O429" s="5" t="s">
        <v>3785</v>
      </c>
      <c r="P429" s="5" t="s">
        <v>3785</v>
      </c>
      <c r="Q429" s="5">
        <v>2</v>
      </c>
      <c r="R429" s="5" t="str">
        <f t="shared" si="57"/>
        <v>Specialisation</v>
      </c>
      <c r="S429" s="5" t="s">
        <v>3790</v>
      </c>
      <c r="T429" s="4">
        <v>28699</v>
      </c>
      <c r="U429" s="5">
        <f t="shared" si="58"/>
        <v>1978</v>
      </c>
      <c r="V429" s="5" t="s">
        <v>3792</v>
      </c>
      <c r="W429" s="9">
        <f t="shared" si="55"/>
        <v>46</v>
      </c>
      <c r="X429" s="5" t="str">
        <f t="shared" si="59"/>
        <v>[45 - 49 ans]</v>
      </c>
      <c r="Y429" s="5" t="str">
        <f t="shared" si="60"/>
        <v xml:space="preserve"> Generation X </v>
      </c>
      <c r="Z429" s="9">
        <f t="shared" si="61"/>
        <v>14</v>
      </c>
      <c r="AA429" s="5" t="str">
        <f t="shared" si="62"/>
        <v>RAS</v>
      </c>
      <c r="AB429" s="5" t="s">
        <v>3807</v>
      </c>
      <c r="AC429" s="6" t="s">
        <v>3799</v>
      </c>
      <c r="AE429" s="5" t="s">
        <v>3844</v>
      </c>
      <c r="AF429" s="5" t="s">
        <v>4481</v>
      </c>
      <c r="AG429" s="5" t="s">
        <v>4485</v>
      </c>
      <c r="AH429" s="5" t="s">
        <v>4489</v>
      </c>
      <c r="AI429" s="5" t="s">
        <v>4265</v>
      </c>
      <c r="AJ429" s="5" t="s">
        <v>4266</v>
      </c>
      <c r="AK429" s="5">
        <v>14100</v>
      </c>
      <c r="AL429" s="5" t="s">
        <v>3858</v>
      </c>
    </row>
    <row r="430" spans="1:38" x14ac:dyDescent="0.3">
      <c r="A430" s="4">
        <v>45716</v>
      </c>
      <c r="B430" s="5" t="s">
        <v>1587</v>
      </c>
      <c r="C430" s="5" t="s">
        <v>1588</v>
      </c>
      <c r="D430" s="5" t="s">
        <v>1589</v>
      </c>
      <c r="E430" s="5" t="s">
        <v>4494</v>
      </c>
      <c r="G430" s="5" t="s">
        <v>39</v>
      </c>
      <c r="H430" s="5" t="s">
        <v>1590</v>
      </c>
      <c r="I430" s="5" t="s">
        <v>38</v>
      </c>
      <c r="J430" s="5" t="s">
        <v>149</v>
      </c>
      <c r="K430" s="4">
        <v>40544</v>
      </c>
      <c r="L430" s="4">
        <v>39722</v>
      </c>
      <c r="M430" s="9">
        <f t="shared" si="54"/>
        <v>16</v>
      </c>
      <c r="N430" s="4" t="str">
        <f t="shared" si="56"/>
        <v>] 15 ; +oo [</v>
      </c>
      <c r="O430" s="5" t="s">
        <v>3785</v>
      </c>
      <c r="P430" s="5" t="s">
        <v>3785</v>
      </c>
      <c r="Q430" s="5">
        <v>1</v>
      </c>
      <c r="R430" s="5" t="str">
        <f t="shared" si="57"/>
        <v>Specialisation</v>
      </c>
      <c r="S430" s="5" t="s">
        <v>3789</v>
      </c>
      <c r="T430" s="4">
        <v>31106</v>
      </c>
      <c r="U430" s="5">
        <f t="shared" si="58"/>
        <v>1985</v>
      </c>
      <c r="V430" s="5" t="s">
        <v>3793</v>
      </c>
      <c r="W430" s="9">
        <f t="shared" si="55"/>
        <v>40</v>
      </c>
      <c r="X430" s="5" t="str">
        <f t="shared" si="59"/>
        <v>[40 - 44 ans]</v>
      </c>
      <c r="Y430" s="5" t="str">
        <f t="shared" si="60"/>
        <v xml:space="preserve"> Mellenials </v>
      </c>
      <c r="Z430" s="9">
        <f t="shared" si="61"/>
        <v>20</v>
      </c>
      <c r="AA430" s="5" t="str">
        <f t="shared" si="62"/>
        <v>RAS</v>
      </c>
      <c r="AB430" s="5" t="s">
        <v>3807</v>
      </c>
      <c r="AC430" s="6" t="s">
        <v>3799</v>
      </c>
      <c r="AE430" s="5" t="s">
        <v>3844</v>
      </c>
      <c r="AF430" s="5" t="s">
        <v>4481</v>
      </c>
      <c r="AG430" s="5" t="s">
        <v>4485</v>
      </c>
      <c r="AH430" s="5" t="s">
        <v>4489</v>
      </c>
      <c r="AI430" s="5" t="s">
        <v>3862</v>
      </c>
      <c r="AJ430" s="5" t="s">
        <v>3863</v>
      </c>
      <c r="AK430" s="5" t="s">
        <v>3864</v>
      </c>
      <c r="AL430" s="5" t="s">
        <v>3858</v>
      </c>
    </row>
    <row r="431" spans="1:38" x14ac:dyDescent="0.3">
      <c r="A431" s="4">
        <v>45716</v>
      </c>
      <c r="B431" s="5" t="s">
        <v>1591</v>
      </c>
      <c r="C431" s="5" t="s">
        <v>1592</v>
      </c>
      <c r="D431" s="5" t="s">
        <v>1593</v>
      </c>
      <c r="E431" s="5" t="s">
        <v>4494</v>
      </c>
      <c r="G431" s="5" t="s">
        <v>39</v>
      </c>
      <c r="H431" s="5" t="s">
        <v>1594</v>
      </c>
      <c r="I431" s="5" t="s">
        <v>1268</v>
      </c>
      <c r="J431" s="5" t="s">
        <v>52</v>
      </c>
      <c r="K431" s="4">
        <v>40544</v>
      </c>
      <c r="L431" s="4">
        <v>39798</v>
      </c>
      <c r="M431" s="9">
        <f t="shared" si="54"/>
        <v>16</v>
      </c>
      <c r="N431" s="4" t="str">
        <f t="shared" si="56"/>
        <v>] 15 ; +oo [</v>
      </c>
      <c r="O431" s="5" t="s">
        <v>3786</v>
      </c>
      <c r="P431" s="5" t="s">
        <v>3786</v>
      </c>
      <c r="Q431" s="5">
        <v>2</v>
      </c>
      <c r="R431" s="5" t="str">
        <f t="shared" si="57"/>
        <v>Specialisation</v>
      </c>
      <c r="S431" s="5" t="s">
        <v>3789</v>
      </c>
      <c r="T431" s="4">
        <v>30311</v>
      </c>
      <c r="U431" s="5">
        <f t="shared" si="58"/>
        <v>1982</v>
      </c>
      <c r="V431" s="5" t="s">
        <v>3792</v>
      </c>
      <c r="W431" s="9">
        <f t="shared" si="55"/>
        <v>42</v>
      </c>
      <c r="X431" s="5" t="str">
        <f t="shared" si="59"/>
        <v>[40 - 44 ans]</v>
      </c>
      <c r="Y431" s="5" t="str">
        <f t="shared" si="60"/>
        <v xml:space="preserve"> Mellenials </v>
      </c>
      <c r="Z431" s="9">
        <f t="shared" si="61"/>
        <v>18</v>
      </c>
      <c r="AA431" s="5" t="str">
        <f t="shared" si="62"/>
        <v>RAS</v>
      </c>
      <c r="AB431" s="5" t="s">
        <v>3807</v>
      </c>
      <c r="AC431" s="6" t="s">
        <v>3799</v>
      </c>
      <c r="AE431" s="5" t="s">
        <v>3844</v>
      </c>
      <c r="AF431" s="5" t="s">
        <v>4482</v>
      </c>
      <c r="AG431" s="5" t="s">
        <v>4485</v>
      </c>
      <c r="AH431" s="5" t="s">
        <v>4489</v>
      </c>
      <c r="AI431" s="5" t="s">
        <v>4013</v>
      </c>
      <c r="AJ431" s="5" t="s">
        <v>4014</v>
      </c>
      <c r="AK431" s="5" t="s">
        <v>4015</v>
      </c>
      <c r="AL431" s="5" t="s">
        <v>3858</v>
      </c>
    </row>
    <row r="432" spans="1:38" x14ac:dyDescent="0.3">
      <c r="A432" s="4">
        <v>45716</v>
      </c>
      <c r="B432" s="5" t="s">
        <v>1595</v>
      </c>
      <c r="C432" s="5" t="s">
        <v>1596</v>
      </c>
      <c r="D432" s="5" t="s">
        <v>1597</v>
      </c>
      <c r="E432" s="5" t="s">
        <v>4494</v>
      </c>
      <c r="G432" s="5" t="s">
        <v>39</v>
      </c>
      <c r="H432" s="5" t="s">
        <v>327</v>
      </c>
      <c r="I432" s="5" t="s">
        <v>3770</v>
      </c>
      <c r="J432" s="5" t="s">
        <v>120</v>
      </c>
      <c r="K432" s="4">
        <v>40544</v>
      </c>
      <c r="L432" s="4">
        <v>39931</v>
      </c>
      <c r="M432" s="9">
        <f t="shared" si="54"/>
        <v>15</v>
      </c>
      <c r="N432" s="4" t="str">
        <f t="shared" si="56"/>
        <v>] 10 ; 15 ]</v>
      </c>
      <c r="O432" s="5" t="s">
        <v>3785</v>
      </c>
      <c r="P432" s="5" t="s">
        <v>3785</v>
      </c>
      <c r="Q432" s="5">
        <v>1</v>
      </c>
      <c r="R432" s="5" t="str">
        <f t="shared" si="57"/>
        <v>Specialisation</v>
      </c>
      <c r="S432" s="5" t="s">
        <v>3789</v>
      </c>
      <c r="T432" s="4">
        <v>31483</v>
      </c>
      <c r="U432" s="5">
        <f t="shared" si="58"/>
        <v>1986</v>
      </c>
      <c r="V432" s="5" t="s">
        <v>3792</v>
      </c>
      <c r="W432" s="9">
        <f t="shared" si="55"/>
        <v>38</v>
      </c>
      <c r="X432" s="5" t="str">
        <f t="shared" si="59"/>
        <v>[35 - 39 ans ]</v>
      </c>
      <c r="Y432" s="5" t="str">
        <f t="shared" si="60"/>
        <v xml:space="preserve"> Mellenials </v>
      </c>
      <c r="Z432" s="9">
        <f t="shared" si="61"/>
        <v>22</v>
      </c>
      <c r="AA432" s="5" t="str">
        <f t="shared" si="62"/>
        <v>RAS</v>
      </c>
      <c r="AB432" s="5" t="s">
        <v>3807</v>
      </c>
      <c r="AC432" s="6" t="s">
        <v>3799</v>
      </c>
      <c r="AE432" s="5" t="s">
        <v>3844</v>
      </c>
      <c r="AF432" s="5" t="s">
        <v>4481</v>
      </c>
      <c r="AG432" s="5" t="s">
        <v>4485</v>
      </c>
      <c r="AH432" s="5" t="s">
        <v>4489</v>
      </c>
      <c r="AI432" s="5" t="s">
        <v>4011</v>
      </c>
      <c r="AJ432" s="5" t="s">
        <v>4012</v>
      </c>
      <c r="AK432" s="5" t="s">
        <v>3959</v>
      </c>
      <c r="AL432" s="5" t="s">
        <v>3858</v>
      </c>
    </row>
    <row r="433" spans="1:38" x14ac:dyDescent="0.3">
      <c r="A433" s="4">
        <v>45716</v>
      </c>
      <c r="B433" s="5" t="s">
        <v>1598</v>
      </c>
      <c r="C433" s="5" t="s">
        <v>1599</v>
      </c>
      <c r="D433" s="5" t="s">
        <v>1600</v>
      </c>
      <c r="E433" s="5" t="s">
        <v>4494</v>
      </c>
      <c r="G433" s="5" t="s">
        <v>39</v>
      </c>
      <c r="H433" s="5" t="s">
        <v>1601</v>
      </c>
      <c r="I433" s="5" t="s">
        <v>1268</v>
      </c>
      <c r="J433" s="5" t="s">
        <v>52</v>
      </c>
      <c r="K433" s="4">
        <v>40544</v>
      </c>
      <c r="L433" s="4">
        <v>39615.041666666664</v>
      </c>
      <c r="M433" s="9">
        <f t="shared" si="54"/>
        <v>16</v>
      </c>
      <c r="N433" s="4" t="str">
        <f t="shared" si="56"/>
        <v>] 15 ; +oo [</v>
      </c>
      <c r="O433" s="5" t="s">
        <v>3783</v>
      </c>
      <c r="P433" s="5" t="s">
        <v>3783</v>
      </c>
      <c r="Q433" s="5">
        <v>1</v>
      </c>
      <c r="R433" s="5" t="str">
        <f t="shared" si="57"/>
        <v>Specialisation</v>
      </c>
      <c r="S433" s="5" t="s">
        <v>3790</v>
      </c>
      <c r="T433" s="4">
        <v>31142</v>
      </c>
      <c r="U433" s="5">
        <f t="shared" si="58"/>
        <v>1985</v>
      </c>
      <c r="V433" s="5" t="s">
        <v>3792</v>
      </c>
      <c r="W433" s="9">
        <f t="shared" si="55"/>
        <v>39</v>
      </c>
      <c r="X433" s="5" t="str">
        <f t="shared" si="59"/>
        <v>[35 - 39 ans ]</v>
      </c>
      <c r="Y433" s="5" t="str">
        <f t="shared" si="60"/>
        <v xml:space="preserve"> Mellenials </v>
      </c>
      <c r="Z433" s="9">
        <f t="shared" si="61"/>
        <v>21</v>
      </c>
      <c r="AA433" s="5" t="str">
        <f t="shared" si="62"/>
        <v>RAS</v>
      </c>
      <c r="AB433" s="5" t="s">
        <v>3807</v>
      </c>
      <c r="AC433" s="6" t="s">
        <v>3799</v>
      </c>
      <c r="AE433" s="5" t="s">
        <v>3844</v>
      </c>
      <c r="AF433" s="5" t="s">
        <v>4482</v>
      </c>
      <c r="AG433" s="5" t="s">
        <v>4485</v>
      </c>
      <c r="AH433" s="5" t="s">
        <v>4489</v>
      </c>
      <c r="AI433" s="5" t="s">
        <v>4013</v>
      </c>
      <c r="AJ433" s="5" t="s">
        <v>4014</v>
      </c>
      <c r="AK433" s="5" t="s">
        <v>4015</v>
      </c>
      <c r="AL433" s="5" t="s">
        <v>3858</v>
      </c>
    </row>
    <row r="434" spans="1:38" x14ac:dyDescent="0.3">
      <c r="A434" s="4">
        <v>45716</v>
      </c>
      <c r="B434" s="5" t="s">
        <v>1602</v>
      </c>
      <c r="C434" s="5" t="s">
        <v>1603</v>
      </c>
      <c r="D434" s="5" t="s">
        <v>1604</v>
      </c>
      <c r="E434" s="5" t="s">
        <v>4494</v>
      </c>
      <c r="G434" s="5" t="s">
        <v>39</v>
      </c>
      <c r="H434" s="5" t="s">
        <v>4503</v>
      </c>
      <c r="I434" s="5" t="s">
        <v>2525</v>
      </c>
      <c r="J434" s="5" t="s">
        <v>120</v>
      </c>
      <c r="K434" s="4">
        <v>40544</v>
      </c>
      <c r="L434" s="4">
        <v>39825.041666666664</v>
      </c>
      <c r="M434" s="9">
        <f t="shared" si="54"/>
        <v>16</v>
      </c>
      <c r="N434" s="4" t="str">
        <f t="shared" si="56"/>
        <v>] 15 ; +oo [</v>
      </c>
      <c r="O434" s="5" t="s">
        <v>3785</v>
      </c>
      <c r="P434" s="5" t="s">
        <v>3785</v>
      </c>
      <c r="Q434" s="5">
        <v>1</v>
      </c>
      <c r="R434" s="5" t="str">
        <f t="shared" si="57"/>
        <v>Specialisation</v>
      </c>
      <c r="S434" s="5" t="s">
        <v>3790</v>
      </c>
      <c r="T434" s="4">
        <v>31141</v>
      </c>
      <c r="U434" s="5">
        <f t="shared" si="58"/>
        <v>1985</v>
      </c>
      <c r="V434" s="5" t="s">
        <v>3793</v>
      </c>
      <c r="W434" s="9">
        <f t="shared" si="55"/>
        <v>39</v>
      </c>
      <c r="X434" s="5" t="str">
        <f t="shared" si="59"/>
        <v>[35 - 39 ans ]</v>
      </c>
      <c r="Y434" s="5" t="str">
        <f t="shared" si="60"/>
        <v xml:space="preserve"> Mellenials </v>
      </c>
      <c r="Z434" s="9">
        <f t="shared" si="61"/>
        <v>21</v>
      </c>
      <c r="AA434" s="5" t="str">
        <f t="shared" si="62"/>
        <v>RAS</v>
      </c>
      <c r="AB434" s="5" t="s">
        <v>3807</v>
      </c>
      <c r="AC434" s="6" t="s">
        <v>3799</v>
      </c>
      <c r="AE434" s="5" t="s">
        <v>3844</v>
      </c>
      <c r="AF434" s="5" t="s">
        <v>4481</v>
      </c>
      <c r="AG434" s="5" t="s">
        <v>4485</v>
      </c>
      <c r="AH434" s="5" t="s">
        <v>4489</v>
      </c>
      <c r="AI434" s="5" t="s">
        <v>4419</v>
      </c>
      <c r="AJ434" s="5" t="s">
        <v>4420</v>
      </c>
      <c r="AK434" s="5" t="s">
        <v>4372</v>
      </c>
      <c r="AL434" s="5" t="s">
        <v>3858</v>
      </c>
    </row>
    <row r="435" spans="1:38" x14ac:dyDescent="0.3">
      <c r="A435" s="4">
        <v>45716</v>
      </c>
      <c r="B435" s="5" t="s">
        <v>1605</v>
      </c>
      <c r="C435" s="5" t="s">
        <v>1606</v>
      </c>
      <c r="D435" s="5" t="s">
        <v>1607</v>
      </c>
      <c r="E435" s="5" t="s">
        <v>4494</v>
      </c>
      <c r="G435" s="5" t="s">
        <v>137</v>
      </c>
      <c r="H435" s="5" t="s">
        <v>440</v>
      </c>
      <c r="I435" s="5" t="s">
        <v>2240</v>
      </c>
      <c r="J435" s="5" t="s">
        <v>290</v>
      </c>
      <c r="K435" s="4">
        <v>40544</v>
      </c>
      <c r="L435" s="4">
        <v>40205</v>
      </c>
      <c r="M435" s="9">
        <f t="shared" si="54"/>
        <v>15</v>
      </c>
      <c r="N435" s="4" t="str">
        <f t="shared" si="56"/>
        <v>] 10 ; 15 ]</v>
      </c>
      <c r="O435" s="5" t="s">
        <v>3787</v>
      </c>
      <c r="P435" s="5" t="s">
        <v>3788</v>
      </c>
      <c r="Q435" s="5">
        <v>3</v>
      </c>
      <c r="R435" s="5" t="str">
        <f t="shared" si="57"/>
        <v>Qualification</v>
      </c>
      <c r="S435" s="5" t="s">
        <v>3789</v>
      </c>
      <c r="T435" s="4">
        <v>30844</v>
      </c>
      <c r="U435" s="5">
        <f t="shared" si="58"/>
        <v>1984</v>
      </c>
      <c r="V435" s="5" t="s">
        <v>3792</v>
      </c>
      <c r="W435" s="9">
        <f t="shared" si="55"/>
        <v>40</v>
      </c>
      <c r="X435" s="5" t="str">
        <f t="shared" si="59"/>
        <v>[40 - 44 ans]</v>
      </c>
      <c r="Y435" s="5" t="str">
        <f t="shared" si="60"/>
        <v xml:space="preserve"> Mellenials </v>
      </c>
      <c r="Z435" s="9">
        <f t="shared" si="61"/>
        <v>20</v>
      </c>
      <c r="AA435" s="5" t="str">
        <f t="shared" si="62"/>
        <v>RAS</v>
      </c>
      <c r="AB435" s="5" t="s">
        <v>3812</v>
      </c>
      <c r="AC435" s="6" t="s">
        <v>3799</v>
      </c>
      <c r="AE435" s="5" t="s">
        <v>3844</v>
      </c>
      <c r="AF435" s="5" t="s">
        <v>4482</v>
      </c>
      <c r="AG435" s="5" t="s">
        <v>4485</v>
      </c>
      <c r="AH435" s="5" t="s">
        <v>4487</v>
      </c>
      <c r="AI435" s="5" t="s">
        <v>4337</v>
      </c>
      <c r="AJ435" s="5" t="s">
        <v>4338</v>
      </c>
      <c r="AK435" s="5" t="s">
        <v>4001</v>
      </c>
      <c r="AL435" s="5" t="s">
        <v>3858</v>
      </c>
    </row>
    <row r="436" spans="1:38" x14ac:dyDescent="0.3">
      <c r="A436" s="4">
        <v>45716</v>
      </c>
      <c r="B436" s="5" t="s">
        <v>1608</v>
      </c>
      <c r="C436" s="5" t="s">
        <v>1609</v>
      </c>
      <c r="D436" s="5" t="s">
        <v>1610</v>
      </c>
      <c r="E436" s="5" t="s">
        <v>4494</v>
      </c>
      <c r="G436" s="5" t="s">
        <v>78</v>
      </c>
      <c r="H436" s="5" t="s">
        <v>603</v>
      </c>
      <c r="I436" s="5" t="s">
        <v>1526</v>
      </c>
      <c r="J436" s="5" t="s">
        <v>1823</v>
      </c>
      <c r="K436" s="4">
        <v>40544</v>
      </c>
      <c r="L436" s="4">
        <v>40112</v>
      </c>
      <c r="M436" s="9">
        <f t="shared" si="54"/>
        <v>15</v>
      </c>
      <c r="N436" s="4" t="str">
        <f t="shared" si="56"/>
        <v>] 10 ; 15 ]</v>
      </c>
      <c r="O436" s="5" t="s">
        <v>3786</v>
      </c>
      <c r="P436" s="5" t="s">
        <v>3786</v>
      </c>
      <c r="Q436" s="5">
        <v>1</v>
      </c>
      <c r="R436" s="5" t="str">
        <f t="shared" si="57"/>
        <v>Specialisation</v>
      </c>
      <c r="S436" s="5" t="s">
        <v>3789</v>
      </c>
      <c r="T436" s="4">
        <v>31566</v>
      </c>
      <c r="U436" s="5">
        <f t="shared" si="58"/>
        <v>1986</v>
      </c>
      <c r="V436" s="5" t="s">
        <v>3792</v>
      </c>
      <c r="W436" s="9">
        <f t="shared" si="55"/>
        <v>38</v>
      </c>
      <c r="X436" s="5" t="str">
        <f t="shared" si="59"/>
        <v>[35 - 39 ans ]</v>
      </c>
      <c r="Y436" s="5" t="str">
        <f t="shared" si="60"/>
        <v xml:space="preserve"> Mellenials </v>
      </c>
      <c r="Z436" s="9">
        <f t="shared" si="61"/>
        <v>22</v>
      </c>
      <c r="AA436" s="5" t="str">
        <f t="shared" si="62"/>
        <v>RAS</v>
      </c>
      <c r="AB436" s="5" t="s">
        <v>3808</v>
      </c>
      <c r="AC436" s="6" t="s">
        <v>3799</v>
      </c>
      <c r="AE436" s="5" t="s">
        <v>3844</v>
      </c>
      <c r="AF436" s="5" t="s">
        <v>4482</v>
      </c>
      <c r="AG436" s="5" t="s">
        <v>4485</v>
      </c>
      <c r="AH436" s="5" t="s">
        <v>4488</v>
      </c>
      <c r="AI436" s="5" t="s">
        <v>4142</v>
      </c>
      <c r="AJ436" s="5" t="s">
        <v>4143</v>
      </c>
      <c r="AK436" s="5" t="s">
        <v>3946</v>
      </c>
      <c r="AL436" s="5" t="s">
        <v>3858</v>
      </c>
    </row>
    <row r="437" spans="1:38" x14ac:dyDescent="0.3">
      <c r="A437" s="4">
        <v>45716</v>
      </c>
      <c r="B437" s="5" t="s">
        <v>1611</v>
      </c>
      <c r="C437" s="5" t="s">
        <v>1612</v>
      </c>
      <c r="D437" s="5" t="s">
        <v>1613</v>
      </c>
      <c r="E437" s="5" t="s">
        <v>4494</v>
      </c>
      <c r="G437" s="5" t="s">
        <v>78</v>
      </c>
      <c r="H437" s="5" t="s">
        <v>1614</v>
      </c>
      <c r="I437" s="5" t="s">
        <v>1626</v>
      </c>
      <c r="J437" s="5" t="s">
        <v>3294</v>
      </c>
      <c r="K437" s="4">
        <v>40544</v>
      </c>
      <c r="L437" s="4">
        <v>39931</v>
      </c>
      <c r="M437" s="9">
        <f t="shared" si="54"/>
        <v>15</v>
      </c>
      <c r="N437" s="4" t="str">
        <f t="shared" si="56"/>
        <v>] 10 ; 15 ]</v>
      </c>
      <c r="O437" s="5" t="s">
        <v>3788</v>
      </c>
      <c r="P437" s="5" t="s">
        <v>3780</v>
      </c>
      <c r="Q437" s="5">
        <v>1</v>
      </c>
      <c r="R437" s="5" t="str">
        <f t="shared" si="57"/>
        <v>Qualification</v>
      </c>
      <c r="S437" s="5" t="s">
        <v>3789</v>
      </c>
      <c r="T437" s="4">
        <v>29434</v>
      </c>
      <c r="U437" s="5">
        <f t="shared" si="58"/>
        <v>1980</v>
      </c>
      <c r="V437" s="5" t="s">
        <v>3793</v>
      </c>
      <c r="W437" s="9">
        <f t="shared" si="55"/>
        <v>44</v>
      </c>
      <c r="X437" s="5" t="str">
        <f t="shared" si="59"/>
        <v>[40 - 44 ans]</v>
      </c>
      <c r="Y437" s="5" t="str">
        <f t="shared" si="60"/>
        <v xml:space="preserve"> Generation X </v>
      </c>
      <c r="Z437" s="9">
        <f t="shared" si="61"/>
        <v>16</v>
      </c>
      <c r="AA437" s="5" t="str">
        <f t="shared" si="62"/>
        <v>RAS</v>
      </c>
      <c r="AB437" s="5" t="s">
        <v>3808</v>
      </c>
      <c r="AC437" s="6" t="s">
        <v>3799</v>
      </c>
      <c r="AE437" s="5" t="s">
        <v>3844</v>
      </c>
      <c r="AF437" s="5" t="s">
        <v>4482</v>
      </c>
      <c r="AG437" s="5" t="s">
        <v>4485</v>
      </c>
      <c r="AH437" s="5" t="s">
        <v>4488</v>
      </c>
      <c r="AI437" s="5" t="s">
        <v>4339</v>
      </c>
      <c r="AJ437" s="5" t="s">
        <v>4340</v>
      </c>
      <c r="AK437" s="5" t="s">
        <v>4341</v>
      </c>
      <c r="AL437" s="5" t="s">
        <v>3858</v>
      </c>
    </row>
    <row r="438" spans="1:38" x14ac:dyDescent="0.3">
      <c r="A438" s="4">
        <v>45716</v>
      </c>
      <c r="B438" s="5" t="s">
        <v>1615</v>
      </c>
      <c r="C438" s="5" t="s">
        <v>1616</v>
      </c>
      <c r="D438" s="5" t="s">
        <v>1617</v>
      </c>
      <c r="E438" s="5" t="s">
        <v>4494</v>
      </c>
      <c r="G438" s="5" t="s">
        <v>39</v>
      </c>
      <c r="H438" s="5" t="s">
        <v>1131</v>
      </c>
      <c r="I438" s="5" t="s">
        <v>1702</v>
      </c>
      <c r="J438" s="5" t="s">
        <v>120</v>
      </c>
      <c r="K438" s="4">
        <v>40544</v>
      </c>
      <c r="L438" s="4">
        <v>40108</v>
      </c>
      <c r="M438" s="9">
        <f t="shared" si="54"/>
        <v>15</v>
      </c>
      <c r="N438" s="4" t="str">
        <f t="shared" si="56"/>
        <v>] 10 ; 15 ]</v>
      </c>
      <c r="O438" s="5" t="s">
        <v>3786</v>
      </c>
      <c r="P438" s="5" t="s">
        <v>3786</v>
      </c>
      <c r="Q438" s="5">
        <v>1</v>
      </c>
      <c r="R438" s="5" t="str">
        <f t="shared" si="57"/>
        <v>Specialisation</v>
      </c>
      <c r="S438" s="5" t="s">
        <v>3789</v>
      </c>
      <c r="T438" s="4">
        <v>31554</v>
      </c>
      <c r="U438" s="5">
        <f t="shared" si="58"/>
        <v>1986</v>
      </c>
      <c r="V438" s="5" t="s">
        <v>3793</v>
      </c>
      <c r="W438" s="9">
        <f t="shared" si="55"/>
        <v>38</v>
      </c>
      <c r="X438" s="5" t="str">
        <f t="shared" si="59"/>
        <v>[35 - 39 ans ]</v>
      </c>
      <c r="Y438" s="5" t="str">
        <f t="shared" si="60"/>
        <v xml:space="preserve"> Mellenials </v>
      </c>
      <c r="Z438" s="9">
        <f t="shared" si="61"/>
        <v>22</v>
      </c>
      <c r="AA438" s="5" t="str">
        <f t="shared" si="62"/>
        <v>RAS</v>
      </c>
      <c r="AB438" s="5" t="s">
        <v>3807</v>
      </c>
      <c r="AC438" s="6" t="s">
        <v>3799</v>
      </c>
      <c r="AE438" s="5" t="s">
        <v>3844</v>
      </c>
      <c r="AF438" s="5" t="s">
        <v>4482</v>
      </c>
      <c r="AG438" s="5" t="s">
        <v>4485</v>
      </c>
      <c r="AH438" s="5" t="s">
        <v>4489</v>
      </c>
      <c r="AI438" s="5" t="s">
        <v>4203</v>
      </c>
      <c r="AJ438" s="5" t="s">
        <v>4249</v>
      </c>
      <c r="AK438" s="5" t="s">
        <v>3917</v>
      </c>
      <c r="AL438" s="5" t="s">
        <v>3858</v>
      </c>
    </row>
    <row r="439" spans="1:38" x14ac:dyDescent="0.3">
      <c r="A439" s="4">
        <v>45716</v>
      </c>
      <c r="B439" s="5" t="s">
        <v>1618</v>
      </c>
      <c r="C439" s="5" t="s">
        <v>1619</v>
      </c>
      <c r="D439" s="5" t="s">
        <v>1620</v>
      </c>
      <c r="E439" s="5" t="s">
        <v>4494</v>
      </c>
      <c r="G439" s="5" t="s">
        <v>78</v>
      </c>
      <c r="H439" s="5" t="s">
        <v>1614</v>
      </c>
      <c r="I439" s="5" t="s">
        <v>1626</v>
      </c>
      <c r="J439" s="5" t="s">
        <v>3294</v>
      </c>
      <c r="K439" s="4">
        <v>40544</v>
      </c>
      <c r="L439" s="4">
        <v>40000</v>
      </c>
      <c r="M439" s="9">
        <f t="shared" si="54"/>
        <v>15</v>
      </c>
      <c r="N439" s="4" t="str">
        <f t="shared" si="56"/>
        <v>] 10 ; 15 ]</v>
      </c>
      <c r="O439" s="5" t="s">
        <v>3788</v>
      </c>
      <c r="P439" s="5" t="s">
        <v>3780</v>
      </c>
      <c r="Q439" s="5">
        <v>1</v>
      </c>
      <c r="R439" s="5" t="str">
        <f t="shared" si="57"/>
        <v>Qualification</v>
      </c>
      <c r="S439" s="5" t="s">
        <v>3790</v>
      </c>
      <c r="T439" s="4">
        <v>29961</v>
      </c>
      <c r="U439" s="5">
        <f t="shared" si="58"/>
        <v>1982</v>
      </c>
      <c r="V439" s="5" t="s">
        <v>3793</v>
      </c>
      <c r="W439" s="9">
        <f t="shared" si="55"/>
        <v>43</v>
      </c>
      <c r="X439" s="5" t="str">
        <f t="shared" si="59"/>
        <v>[40 - 44 ans]</v>
      </c>
      <c r="Y439" s="5" t="str">
        <f t="shared" si="60"/>
        <v xml:space="preserve"> Mellenials </v>
      </c>
      <c r="Z439" s="9">
        <f t="shared" si="61"/>
        <v>17</v>
      </c>
      <c r="AA439" s="5" t="str">
        <f t="shared" si="62"/>
        <v>RAS</v>
      </c>
      <c r="AB439" s="5" t="s">
        <v>3808</v>
      </c>
      <c r="AC439" s="6" t="s">
        <v>3799</v>
      </c>
      <c r="AE439" s="5" t="s">
        <v>3844</v>
      </c>
      <c r="AF439" s="5" t="s">
        <v>4482</v>
      </c>
      <c r="AG439" s="5" t="s">
        <v>4485</v>
      </c>
      <c r="AH439" s="5" t="s">
        <v>4488</v>
      </c>
      <c r="AI439" s="5" t="s">
        <v>4339</v>
      </c>
      <c r="AJ439" s="5" t="s">
        <v>4340</v>
      </c>
      <c r="AK439" s="5" t="s">
        <v>4341</v>
      </c>
      <c r="AL439" s="5" t="s">
        <v>3858</v>
      </c>
    </row>
    <row r="440" spans="1:38" x14ac:dyDescent="0.3">
      <c r="A440" s="4">
        <v>45716</v>
      </c>
      <c r="B440" s="5" t="s">
        <v>1621</v>
      </c>
      <c r="C440" s="5" t="s">
        <v>1622</v>
      </c>
      <c r="D440" s="5" t="s">
        <v>1623</v>
      </c>
      <c r="E440" s="5" t="s">
        <v>4494</v>
      </c>
      <c r="G440" s="5" t="s">
        <v>137</v>
      </c>
      <c r="H440" s="5" t="s">
        <v>504</v>
      </c>
      <c r="I440" s="5" t="s">
        <v>290</v>
      </c>
      <c r="J440" s="5" t="s">
        <v>290</v>
      </c>
      <c r="K440" s="4">
        <v>40544</v>
      </c>
      <c r="L440" s="4">
        <v>38719.041666666664</v>
      </c>
      <c r="M440" s="9">
        <f t="shared" si="54"/>
        <v>19</v>
      </c>
      <c r="N440" s="4" t="str">
        <f t="shared" si="56"/>
        <v>] 15 ; +oo [</v>
      </c>
      <c r="O440" s="5" t="s">
        <v>3780</v>
      </c>
      <c r="P440" s="5" t="s">
        <v>3780</v>
      </c>
      <c r="Q440" s="5">
        <v>3</v>
      </c>
      <c r="R440" s="5" t="str">
        <f t="shared" si="57"/>
        <v>Qualification</v>
      </c>
      <c r="S440" s="5" t="s">
        <v>3790</v>
      </c>
      <c r="T440" s="4">
        <v>29153</v>
      </c>
      <c r="U440" s="5">
        <f t="shared" si="58"/>
        <v>1979</v>
      </c>
      <c r="V440" s="5" t="s">
        <v>3793</v>
      </c>
      <c r="W440" s="9">
        <f t="shared" si="55"/>
        <v>45</v>
      </c>
      <c r="X440" s="5" t="str">
        <f t="shared" si="59"/>
        <v>[45 - 49 ans]</v>
      </c>
      <c r="Y440" s="5" t="str">
        <f t="shared" si="60"/>
        <v xml:space="preserve"> Generation X </v>
      </c>
      <c r="Z440" s="9">
        <f t="shared" si="61"/>
        <v>15</v>
      </c>
      <c r="AA440" s="5" t="str">
        <f t="shared" si="62"/>
        <v>RAS</v>
      </c>
      <c r="AB440" s="5" t="s">
        <v>3812</v>
      </c>
      <c r="AC440" s="6" t="s">
        <v>3799</v>
      </c>
      <c r="AE440" s="5" t="s">
        <v>3844</v>
      </c>
      <c r="AF440" s="5" t="s">
        <v>4482</v>
      </c>
      <c r="AG440" s="5" t="s">
        <v>4485</v>
      </c>
      <c r="AH440" s="5" t="s">
        <v>4487</v>
      </c>
      <c r="AI440" s="5" t="s">
        <v>4093</v>
      </c>
      <c r="AJ440" s="5" t="s">
        <v>4094</v>
      </c>
      <c r="AK440" s="5">
        <v>71300</v>
      </c>
      <c r="AL440" s="5" t="s">
        <v>3858</v>
      </c>
    </row>
    <row r="441" spans="1:38" x14ac:dyDescent="0.3">
      <c r="A441" s="4">
        <v>45716</v>
      </c>
      <c r="B441" s="5" t="s">
        <v>1624</v>
      </c>
      <c r="C441" s="5" t="s">
        <v>1625</v>
      </c>
      <c r="D441" s="5" t="s">
        <v>1626</v>
      </c>
      <c r="E441" s="5" t="s">
        <v>4494</v>
      </c>
      <c r="G441" s="5" t="s">
        <v>78</v>
      </c>
      <c r="H441" s="5" t="s">
        <v>1627</v>
      </c>
      <c r="I441" s="5" t="s">
        <v>3294</v>
      </c>
      <c r="J441" s="5" t="s">
        <v>169</v>
      </c>
      <c r="K441" s="4">
        <v>40544</v>
      </c>
      <c r="L441" s="4">
        <v>39931</v>
      </c>
      <c r="M441" s="9">
        <f t="shared" si="54"/>
        <v>15</v>
      </c>
      <c r="N441" s="4" t="str">
        <f t="shared" si="56"/>
        <v>] 10 ; 15 ]</v>
      </c>
      <c r="O441" s="5" t="s">
        <v>3783</v>
      </c>
      <c r="P441" s="5" t="s">
        <v>3785</v>
      </c>
      <c r="Q441" s="5">
        <v>1</v>
      </c>
      <c r="R441" s="5" t="str">
        <f t="shared" si="57"/>
        <v>Specialisation</v>
      </c>
      <c r="S441" s="5" t="s">
        <v>3790</v>
      </c>
      <c r="T441" s="4">
        <v>29455</v>
      </c>
      <c r="U441" s="5">
        <f t="shared" si="58"/>
        <v>1980</v>
      </c>
      <c r="V441" s="5" t="s">
        <v>3793</v>
      </c>
      <c r="W441" s="9">
        <f t="shared" si="55"/>
        <v>44</v>
      </c>
      <c r="X441" s="5" t="str">
        <f t="shared" si="59"/>
        <v>[40 - 44 ans]</v>
      </c>
      <c r="Y441" s="5" t="str">
        <f t="shared" si="60"/>
        <v xml:space="preserve"> Generation X </v>
      </c>
      <c r="Z441" s="9">
        <f t="shared" si="61"/>
        <v>16</v>
      </c>
      <c r="AA441" s="5" t="str">
        <f t="shared" si="62"/>
        <v>RAS</v>
      </c>
      <c r="AB441" s="5" t="s">
        <v>3808</v>
      </c>
      <c r="AC441" s="6" t="s">
        <v>3799</v>
      </c>
      <c r="AE441" s="5" t="s">
        <v>3845</v>
      </c>
      <c r="AF441" s="5" t="s">
        <v>4482</v>
      </c>
      <c r="AG441" s="5" t="s">
        <v>4485</v>
      </c>
      <c r="AH441" s="5" t="s">
        <v>4488</v>
      </c>
      <c r="AI441" s="5" t="s">
        <v>4339</v>
      </c>
      <c r="AJ441" s="5" t="s">
        <v>4340</v>
      </c>
      <c r="AK441" s="5" t="s">
        <v>4341</v>
      </c>
      <c r="AL441" s="5" t="s">
        <v>3854</v>
      </c>
    </row>
    <row r="442" spans="1:38" x14ac:dyDescent="0.3">
      <c r="A442" s="4">
        <v>45716</v>
      </c>
      <c r="B442" s="5" t="s">
        <v>1628</v>
      </c>
      <c r="C442" s="5" t="s">
        <v>1629</v>
      </c>
      <c r="D442" s="5" t="s">
        <v>1630</v>
      </c>
      <c r="E442" s="5" t="s">
        <v>4494</v>
      </c>
      <c r="G442" s="5" t="s">
        <v>78</v>
      </c>
      <c r="H442" s="5" t="s">
        <v>527</v>
      </c>
      <c r="I442" s="5" t="s">
        <v>701</v>
      </c>
      <c r="J442" s="5" t="s">
        <v>1518</v>
      </c>
      <c r="K442" s="4">
        <v>40544</v>
      </c>
      <c r="L442" s="4">
        <v>38261</v>
      </c>
      <c r="M442" s="9">
        <f t="shared" si="54"/>
        <v>20</v>
      </c>
      <c r="N442" s="4" t="str">
        <f t="shared" si="56"/>
        <v>] 15 ; +oo [</v>
      </c>
      <c r="O442" s="5" t="s">
        <v>3780</v>
      </c>
      <c r="P442" s="5" t="s">
        <v>3780</v>
      </c>
      <c r="Q442" s="5">
        <v>3</v>
      </c>
      <c r="R442" s="5" t="str">
        <f t="shared" si="57"/>
        <v>Qualification</v>
      </c>
      <c r="S442" s="5" t="s">
        <v>3790</v>
      </c>
      <c r="T442" s="4">
        <v>29017</v>
      </c>
      <c r="U442" s="5">
        <f t="shared" si="58"/>
        <v>1979</v>
      </c>
      <c r="V442" s="5" t="s">
        <v>3793</v>
      </c>
      <c r="W442" s="9">
        <f t="shared" si="55"/>
        <v>45</v>
      </c>
      <c r="X442" s="5" t="str">
        <f t="shared" si="59"/>
        <v>[45 - 49 ans]</v>
      </c>
      <c r="Y442" s="5" t="str">
        <f t="shared" si="60"/>
        <v xml:space="preserve"> Generation X </v>
      </c>
      <c r="Z442" s="9">
        <f t="shared" si="61"/>
        <v>15</v>
      </c>
      <c r="AA442" s="5" t="str">
        <f t="shared" si="62"/>
        <v>RAS</v>
      </c>
      <c r="AB442" s="5" t="s">
        <v>3805</v>
      </c>
      <c r="AC442" s="6" t="s">
        <v>3799</v>
      </c>
      <c r="AE442" s="5" t="s">
        <v>3844</v>
      </c>
      <c r="AF442" s="5" t="s">
        <v>4482</v>
      </c>
      <c r="AG442" s="5" t="s">
        <v>4485</v>
      </c>
      <c r="AH442" s="5" t="s">
        <v>4488</v>
      </c>
      <c r="AI442" s="5" t="s">
        <v>4174</v>
      </c>
      <c r="AJ442" s="5" t="s">
        <v>4175</v>
      </c>
      <c r="AK442" s="5">
        <v>81310</v>
      </c>
      <c r="AL442" s="5" t="s">
        <v>3858</v>
      </c>
    </row>
    <row r="443" spans="1:38" x14ac:dyDescent="0.3">
      <c r="A443" s="4">
        <v>45716</v>
      </c>
      <c r="B443" s="5" t="s">
        <v>1631</v>
      </c>
      <c r="C443" s="5" t="s">
        <v>1632</v>
      </c>
      <c r="D443" s="5" t="s">
        <v>1633</v>
      </c>
      <c r="E443" s="5" t="s">
        <v>4494</v>
      </c>
      <c r="G443" s="5" t="s">
        <v>78</v>
      </c>
      <c r="H443" s="5" t="s">
        <v>1634</v>
      </c>
      <c r="I443" s="5" t="s">
        <v>1518</v>
      </c>
      <c r="J443" s="5" t="s">
        <v>3762</v>
      </c>
      <c r="K443" s="4">
        <v>40544</v>
      </c>
      <c r="L443" s="4">
        <v>38961</v>
      </c>
      <c r="M443" s="9">
        <f t="shared" si="54"/>
        <v>18</v>
      </c>
      <c r="N443" s="4" t="str">
        <f t="shared" si="56"/>
        <v>] 15 ; +oo [</v>
      </c>
      <c r="O443" s="5" t="s">
        <v>3783</v>
      </c>
      <c r="P443" s="5" t="s">
        <v>3783</v>
      </c>
      <c r="Q443" s="5">
        <v>1</v>
      </c>
      <c r="R443" s="5" t="str">
        <f t="shared" si="57"/>
        <v>Specialisation</v>
      </c>
      <c r="S443" s="5" t="s">
        <v>3790</v>
      </c>
      <c r="T443" s="4">
        <v>30572</v>
      </c>
      <c r="U443" s="5">
        <f t="shared" si="58"/>
        <v>1983</v>
      </c>
      <c r="V443" s="5" t="s">
        <v>3793</v>
      </c>
      <c r="W443" s="9">
        <f t="shared" si="55"/>
        <v>41</v>
      </c>
      <c r="X443" s="5" t="str">
        <f t="shared" si="59"/>
        <v>[40 - 44 ans]</v>
      </c>
      <c r="Y443" s="5" t="str">
        <f t="shared" si="60"/>
        <v xml:space="preserve"> Mellenials </v>
      </c>
      <c r="Z443" s="9">
        <f t="shared" si="61"/>
        <v>19</v>
      </c>
      <c r="AA443" s="5" t="str">
        <f t="shared" si="62"/>
        <v>RAS</v>
      </c>
      <c r="AB443" s="5" t="s">
        <v>3808</v>
      </c>
      <c r="AC443" s="6" t="s">
        <v>3799</v>
      </c>
      <c r="AE443" s="5" t="s">
        <v>3845</v>
      </c>
      <c r="AF443" s="5" t="s">
        <v>4482</v>
      </c>
      <c r="AG443" s="5" t="s">
        <v>4485</v>
      </c>
      <c r="AH443" s="5" t="s">
        <v>4488</v>
      </c>
      <c r="AI443" s="5" t="s">
        <v>4106</v>
      </c>
      <c r="AJ443" s="5" t="s">
        <v>4107</v>
      </c>
      <c r="AK443" s="5" t="s">
        <v>4108</v>
      </c>
      <c r="AL443" s="5" t="s">
        <v>3854</v>
      </c>
    </row>
    <row r="444" spans="1:38" x14ac:dyDescent="0.3">
      <c r="A444" s="4">
        <v>45716</v>
      </c>
      <c r="B444" s="5" t="s">
        <v>1635</v>
      </c>
      <c r="C444" s="5" t="s">
        <v>1636</v>
      </c>
      <c r="D444" s="5" t="s">
        <v>1637</v>
      </c>
      <c r="E444" s="5" t="s">
        <v>4494</v>
      </c>
      <c r="G444" s="5" t="s">
        <v>29</v>
      </c>
      <c r="H444" s="5" t="s">
        <v>1638</v>
      </c>
      <c r="I444" s="5" t="s">
        <v>377</v>
      </c>
      <c r="J444" s="5" t="s">
        <v>69</v>
      </c>
      <c r="K444" s="4">
        <v>40544</v>
      </c>
      <c r="L444" s="4">
        <v>39904.041666666664</v>
      </c>
      <c r="M444" s="9">
        <f t="shared" si="54"/>
        <v>15</v>
      </c>
      <c r="N444" s="4" t="str">
        <f t="shared" si="56"/>
        <v>] 10 ; 15 ]</v>
      </c>
      <c r="O444" s="5" t="s">
        <v>3780</v>
      </c>
      <c r="P444" s="5" t="s">
        <v>3786</v>
      </c>
      <c r="Q444" s="5">
        <v>1</v>
      </c>
      <c r="R444" s="5" t="str">
        <f t="shared" si="57"/>
        <v>Qualification</v>
      </c>
      <c r="S444" s="5" t="s">
        <v>3789</v>
      </c>
      <c r="T444" s="4">
        <v>29249</v>
      </c>
      <c r="U444" s="5">
        <f t="shared" si="58"/>
        <v>1980</v>
      </c>
      <c r="V444" s="5" t="s">
        <v>3793</v>
      </c>
      <c r="W444" s="9">
        <f t="shared" si="55"/>
        <v>45</v>
      </c>
      <c r="X444" s="5" t="str">
        <f t="shared" si="59"/>
        <v>[45 - 49 ans]</v>
      </c>
      <c r="Y444" s="5" t="str">
        <f t="shared" si="60"/>
        <v xml:space="preserve"> Generation X </v>
      </c>
      <c r="Z444" s="9">
        <f t="shared" si="61"/>
        <v>15</v>
      </c>
      <c r="AA444" s="5" t="str">
        <f t="shared" si="62"/>
        <v>RAS</v>
      </c>
      <c r="AB444" s="5" t="s">
        <v>3822</v>
      </c>
      <c r="AC444" s="6" t="s">
        <v>3802</v>
      </c>
      <c r="AE444" s="5" t="s">
        <v>3844</v>
      </c>
      <c r="AF444" s="5" t="s">
        <v>4482</v>
      </c>
      <c r="AG444" s="5" t="s">
        <v>4485</v>
      </c>
      <c r="AH444" s="5" t="s">
        <v>4488</v>
      </c>
      <c r="AI444" s="5" t="s">
        <v>3855</v>
      </c>
      <c r="AJ444" s="5" t="s">
        <v>3856</v>
      </c>
      <c r="AK444" s="5" t="s">
        <v>3857</v>
      </c>
      <c r="AL444" s="5" t="s">
        <v>3858</v>
      </c>
    </row>
    <row r="445" spans="1:38" x14ac:dyDescent="0.3">
      <c r="A445" s="4">
        <v>45716</v>
      </c>
      <c r="B445" s="5" t="s">
        <v>1639</v>
      </c>
      <c r="C445" s="5" t="s">
        <v>1640</v>
      </c>
      <c r="D445" s="5" t="s">
        <v>1641</v>
      </c>
      <c r="E445" s="5" t="s">
        <v>4494</v>
      </c>
      <c r="G445" s="5" t="s">
        <v>78</v>
      </c>
      <c r="H445" s="5" t="s">
        <v>527</v>
      </c>
      <c r="I445" s="5" t="s">
        <v>1633</v>
      </c>
      <c r="J445" s="5" t="s">
        <v>1518</v>
      </c>
      <c r="K445" s="4">
        <v>40544</v>
      </c>
      <c r="L445" s="4">
        <v>40000</v>
      </c>
      <c r="M445" s="9">
        <f t="shared" si="54"/>
        <v>15</v>
      </c>
      <c r="N445" s="4" t="str">
        <f t="shared" si="56"/>
        <v>] 10 ; 15 ]</v>
      </c>
      <c r="O445" s="5" t="s">
        <v>3780</v>
      </c>
      <c r="P445" s="5" t="s">
        <v>3780</v>
      </c>
      <c r="Q445" s="5">
        <v>1</v>
      </c>
      <c r="R445" s="5" t="str">
        <f t="shared" si="57"/>
        <v>Qualification</v>
      </c>
      <c r="S445" s="5" t="s">
        <v>3790</v>
      </c>
      <c r="T445" s="4">
        <v>30186</v>
      </c>
      <c r="U445" s="5">
        <f t="shared" si="58"/>
        <v>1982</v>
      </c>
      <c r="V445" s="5" t="s">
        <v>3793</v>
      </c>
      <c r="W445" s="9">
        <f t="shared" si="55"/>
        <v>42</v>
      </c>
      <c r="X445" s="5" t="str">
        <f t="shared" si="59"/>
        <v>[40 - 44 ans]</v>
      </c>
      <c r="Y445" s="5" t="str">
        <f t="shared" si="60"/>
        <v xml:space="preserve"> Mellenials </v>
      </c>
      <c r="Z445" s="9">
        <f t="shared" si="61"/>
        <v>18</v>
      </c>
      <c r="AA445" s="5" t="str">
        <f t="shared" si="62"/>
        <v>RAS</v>
      </c>
      <c r="AB445" s="5" t="s">
        <v>3808</v>
      </c>
      <c r="AC445" s="6" t="s">
        <v>3799</v>
      </c>
      <c r="AE445" s="5" t="s">
        <v>3844</v>
      </c>
      <c r="AF445" s="5" t="s">
        <v>4482</v>
      </c>
      <c r="AG445" s="5" t="s">
        <v>4485</v>
      </c>
      <c r="AH445" s="5" t="s">
        <v>4488</v>
      </c>
      <c r="AI445" s="5" t="s">
        <v>4106</v>
      </c>
      <c r="AJ445" s="5" t="s">
        <v>4107</v>
      </c>
      <c r="AK445" s="5">
        <v>81310</v>
      </c>
      <c r="AL445" s="5" t="s">
        <v>3858</v>
      </c>
    </row>
    <row r="446" spans="1:38" x14ac:dyDescent="0.3">
      <c r="A446" s="4">
        <v>45716</v>
      </c>
      <c r="B446" s="5" t="s">
        <v>1642</v>
      </c>
      <c r="C446" s="5" t="s">
        <v>1643</v>
      </c>
      <c r="D446" s="5" t="s">
        <v>1644</v>
      </c>
      <c r="E446" s="5" t="s">
        <v>4494</v>
      </c>
      <c r="G446" s="5" t="s">
        <v>78</v>
      </c>
      <c r="H446" s="5" t="s">
        <v>1066</v>
      </c>
      <c r="I446" s="5" t="s">
        <v>1306</v>
      </c>
      <c r="J446" s="5" t="s">
        <v>1510</v>
      </c>
      <c r="K446" s="4">
        <v>40544</v>
      </c>
      <c r="L446" s="4">
        <v>40205</v>
      </c>
      <c r="M446" s="9">
        <f t="shared" si="54"/>
        <v>15</v>
      </c>
      <c r="N446" s="4" t="str">
        <f t="shared" si="56"/>
        <v>] 10 ; 15 ]</v>
      </c>
      <c r="O446" s="5" t="s">
        <v>3788</v>
      </c>
      <c r="P446" s="5" t="s">
        <v>3780</v>
      </c>
      <c r="Q446" s="5">
        <v>1</v>
      </c>
      <c r="R446" s="5" t="str">
        <f t="shared" si="57"/>
        <v>Qualification</v>
      </c>
      <c r="S446" s="5" t="s">
        <v>3790</v>
      </c>
      <c r="T446" s="4">
        <v>32108</v>
      </c>
      <c r="U446" s="5">
        <f t="shared" si="58"/>
        <v>1987</v>
      </c>
      <c r="V446" s="5" t="s">
        <v>3793</v>
      </c>
      <c r="W446" s="9">
        <f t="shared" si="55"/>
        <v>37</v>
      </c>
      <c r="X446" s="5" t="str">
        <f t="shared" si="59"/>
        <v>[35 - 39 ans ]</v>
      </c>
      <c r="Y446" s="5" t="str">
        <f t="shared" si="60"/>
        <v xml:space="preserve"> Mellenials </v>
      </c>
      <c r="Z446" s="9">
        <f t="shared" si="61"/>
        <v>23</v>
      </c>
      <c r="AA446" s="5" t="str">
        <f t="shared" si="62"/>
        <v>RAS</v>
      </c>
      <c r="AB446" s="5" t="s">
        <v>3808</v>
      </c>
      <c r="AC446" s="6" t="s">
        <v>3799</v>
      </c>
      <c r="AE446" s="5" t="s">
        <v>3844</v>
      </c>
      <c r="AF446" s="5" t="s">
        <v>4482</v>
      </c>
      <c r="AG446" s="5" t="s">
        <v>4485</v>
      </c>
      <c r="AH446" s="5" t="s">
        <v>4488</v>
      </c>
      <c r="AI446" s="5" t="s">
        <v>4241</v>
      </c>
      <c r="AJ446" s="5" t="s">
        <v>4250</v>
      </c>
      <c r="AK446" s="5" t="s">
        <v>4242</v>
      </c>
      <c r="AL446" s="5" t="s">
        <v>3858</v>
      </c>
    </row>
    <row r="447" spans="1:38" x14ac:dyDescent="0.3">
      <c r="A447" s="4">
        <v>45716</v>
      </c>
      <c r="B447" s="5" t="s">
        <v>1645</v>
      </c>
      <c r="C447" s="5" t="s">
        <v>1646</v>
      </c>
      <c r="D447" s="5" t="s">
        <v>1647</v>
      </c>
      <c r="E447" s="5" t="s">
        <v>4494</v>
      </c>
      <c r="G447" s="5" t="s">
        <v>78</v>
      </c>
      <c r="H447" s="5" t="s">
        <v>1066</v>
      </c>
      <c r="I447" s="5" t="s">
        <v>1664</v>
      </c>
      <c r="J447" s="5" t="s">
        <v>1510</v>
      </c>
      <c r="K447" s="4">
        <v>40544</v>
      </c>
      <c r="L447" s="4">
        <v>40217</v>
      </c>
      <c r="M447" s="9">
        <f t="shared" si="54"/>
        <v>15</v>
      </c>
      <c r="N447" s="4" t="str">
        <f t="shared" si="56"/>
        <v>] 10 ; 15 ]</v>
      </c>
      <c r="O447" s="5" t="s">
        <v>3788</v>
      </c>
      <c r="P447" s="5" t="s">
        <v>3780</v>
      </c>
      <c r="Q447" s="5">
        <v>1</v>
      </c>
      <c r="R447" s="5" t="str">
        <f t="shared" si="57"/>
        <v>Qualification</v>
      </c>
      <c r="S447" s="5" t="s">
        <v>3790</v>
      </c>
      <c r="T447" s="4">
        <v>30189</v>
      </c>
      <c r="U447" s="5">
        <f t="shared" si="58"/>
        <v>1982</v>
      </c>
      <c r="V447" s="5" t="s">
        <v>3793</v>
      </c>
      <c r="W447" s="9">
        <f t="shared" si="55"/>
        <v>42</v>
      </c>
      <c r="X447" s="5" t="str">
        <f t="shared" si="59"/>
        <v>[40 - 44 ans]</v>
      </c>
      <c r="Y447" s="5" t="str">
        <f t="shared" si="60"/>
        <v xml:space="preserve"> Mellenials </v>
      </c>
      <c r="Z447" s="9">
        <f t="shared" si="61"/>
        <v>18</v>
      </c>
      <c r="AA447" s="5" t="str">
        <f t="shared" si="62"/>
        <v>RAS</v>
      </c>
      <c r="AB447" s="5" t="s">
        <v>3808</v>
      </c>
      <c r="AC447" s="6" t="s">
        <v>3799</v>
      </c>
      <c r="AE447" s="5" t="s">
        <v>3844</v>
      </c>
      <c r="AF447" s="5" t="s">
        <v>4482</v>
      </c>
      <c r="AG447" s="5" t="s">
        <v>4485</v>
      </c>
      <c r="AH447" s="5" t="s">
        <v>4488</v>
      </c>
      <c r="AI447" s="5" t="s">
        <v>4251</v>
      </c>
      <c r="AJ447" s="5" t="s">
        <v>4252</v>
      </c>
      <c r="AK447" s="5" t="s">
        <v>4242</v>
      </c>
      <c r="AL447" s="5" t="s">
        <v>3858</v>
      </c>
    </row>
    <row r="448" spans="1:38" x14ac:dyDescent="0.3">
      <c r="A448" s="4">
        <v>45716</v>
      </c>
      <c r="B448" s="5" t="s">
        <v>1648</v>
      </c>
      <c r="C448" s="5" t="s">
        <v>1649</v>
      </c>
      <c r="D448" s="5" t="s">
        <v>1650</v>
      </c>
      <c r="E448" s="5" t="s">
        <v>4494</v>
      </c>
      <c r="G448" s="5" t="s">
        <v>78</v>
      </c>
      <c r="H448" s="5" t="s">
        <v>1066</v>
      </c>
      <c r="I448" s="5" t="s">
        <v>1664</v>
      </c>
      <c r="J448" s="5" t="s">
        <v>1510</v>
      </c>
      <c r="K448" s="4">
        <v>40544</v>
      </c>
      <c r="L448" s="4">
        <v>40220</v>
      </c>
      <c r="M448" s="9">
        <f t="shared" si="54"/>
        <v>15</v>
      </c>
      <c r="N448" s="4" t="str">
        <f t="shared" si="56"/>
        <v>] 10 ; 15 ]</v>
      </c>
      <c r="O448" s="5" t="s">
        <v>3788</v>
      </c>
      <c r="P448" s="5" t="s">
        <v>3780</v>
      </c>
      <c r="Q448" s="5">
        <v>1</v>
      </c>
      <c r="R448" s="5" t="str">
        <f t="shared" si="57"/>
        <v>Qualification</v>
      </c>
      <c r="S448" s="5" t="s">
        <v>3790</v>
      </c>
      <c r="T448" s="4">
        <v>31619</v>
      </c>
      <c r="U448" s="5">
        <f t="shared" si="58"/>
        <v>1986</v>
      </c>
      <c r="V448" s="5" t="s">
        <v>3793</v>
      </c>
      <c r="W448" s="9">
        <f t="shared" si="55"/>
        <v>38</v>
      </c>
      <c r="X448" s="5" t="str">
        <f t="shared" si="59"/>
        <v>[35 - 39 ans ]</v>
      </c>
      <c r="Y448" s="5" t="str">
        <f t="shared" si="60"/>
        <v xml:space="preserve"> Mellenials </v>
      </c>
      <c r="Z448" s="9">
        <f t="shared" si="61"/>
        <v>22</v>
      </c>
      <c r="AA448" s="5" t="str">
        <f t="shared" si="62"/>
        <v>RAS</v>
      </c>
      <c r="AB448" s="5" t="s">
        <v>3808</v>
      </c>
      <c r="AC448" s="6" t="s">
        <v>3799</v>
      </c>
      <c r="AE448" s="5" t="s">
        <v>3844</v>
      </c>
      <c r="AF448" s="5" t="s">
        <v>4482</v>
      </c>
      <c r="AG448" s="5" t="s">
        <v>4485</v>
      </c>
      <c r="AH448" s="5" t="s">
        <v>4488</v>
      </c>
      <c r="AI448" s="5" t="s">
        <v>4251</v>
      </c>
      <c r="AJ448" s="5" t="s">
        <v>4252</v>
      </c>
      <c r="AK448" s="5" t="s">
        <v>4242</v>
      </c>
      <c r="AL448" s="5" t="s">
        <v>3858</v>
      </c>
    </row>
    <row r="449" spans="1:38" x14ac:dyDescent="0.3">
      <c r="A449" s="4">
        <v>45716</v>
      </c>
      <c r="B449" s="5" t="s">
        <v>1651</v>
      </c>
      <c r="C449" s="5" t="s">
        <v>1652</v>
      </c>
      <c r="D449" s="5" t="s">
        <v>1653</v>
      </c>
      <c r="E449" s="5" t="s">
        <v>4494</v>
      </c>
      <c r="G449" s="5" t="s">
        <v>78</v>
      </c>
      <c r="H449" s="5" t="s">
        <v>1654</v>
      </c>
      <c r="I449" s="5" t="s">
        <v>701</v>
      </c>
      <c r="J449" s="5" t="s">
        <v>1518</v>
      </c>
      <c r="K449" s="4">
        <v>40544</v>
      </c>
      <c r="L449" s="4">
        <v>40225</v>
      </c>
      <c r="M449" s="9">
        <f t="shared" ref="M449:M512" si="63">DATEDIF(L449,A449,"y")</f>
        <v>15</v>
      </c>
      <c r="N449" s="4" t="str">
        <f t="shared" si="56"/>
        <v>] 10 ; 15 ]</v>
      </c>
      <c r="O449" s="5" t="s">
        <v>3780</v>
      </c>
      <c r="P449" s="5" t="s">
        <v>3780</v>
      </c>
      <c r="Q449" s="5">
        <v>1</v>
      </c>
      <c r="R449" s="5" t="str">
        <f t="shared" si="57"/>
        <v>Qualification</v>
      </c>
      <c r="S449" s="5" t="s">
        <v>3790</v>
      </c>
      <c r="T449" s="4">
        <v>31067</v>
      </c>
      <c r="U449" s="5">
        <f t="shared" si="58"/>
        <v>1985</v>
      </c>
      <c r="V449" s="5" t="s">
        <v>3792</v>
      </c>
      <c r="W449" s="9">
        <f t="shared" ref="W449:W512" si="64">DATEDIF(T449,A449,"y")</f>
        <v>40</v>
      </c>
      <c r="X449" s="5" t="str">
        <f t="shared" si="59"/>
        <v>[40 - 44 ans]</v>
      </c>
      <c r="Y449" s="5" t="str">
        <f t="shared" si="60"/>
        <v xml:space="preserve"> Mellenials </v>
      </c>
      <c r="Z449" s="9">
        <f t="shared" si="61"/>
        <v>20</v>
      </c>
      <c r="AA449" s="5" t="str">
        <f t="shared" si="62"/>
        <v>RAS</v>
      </c>
      <c r="AB449" s="5" t="s">
        <v>3808</v>
      </c>
      <c r="AC449" s="6" t="s">
        <v>3799</v>
      </c>
      <c r="AE449" s="5" t="s">
        <v>3844</v>
      </c>
      <c r="AF449" s="5" t="s">
        <v>4482</v>
      </c>
      <c r="AG449" s="5" t="s">
        <v>4485</v>
      </c>
      <c r="AH449" s="5" t="s">
        <v>4488</v>
      </c>
      <c r="AI449" s="5" t="s">
        <v>4174</v>
      </c>
      <c r="AJ449" s="5" t="s">
        <v>4175</v>
      </c>
      <c r="AK449" s="5">
        <v>81310</v>
      </c>
      <c r="AL449" s="5" t="s">
        <v>3858</v>
      </c>
    </row>
    <row r="450" spans="1:38" x14ac:dyDescent="0.3">
      <c r="A450" s="4">
        <v>45716</v>
      </c>
      <c r="B450" s="5" t="s">
        <v>1655</v>
      </c>
      <c r="C450" s="5" t="s">
        <v>1656</v>
      </c>
      <c r="D450" s="5" t="s">
        <v>1657</v>
      </c>
      <c r="E450" s="5" t="s">
        <v>4494</v>
      </c>
      <c r="G450" s="5" t="s">
        <v>554</v>
      </c>
      <c r="H450" s="5" t="s">
        <v>1658</v>
      </c>
      <c r="I450" s="5" t="s">
        <v>2412</v>
      </c>
      <c r="J450" s="5" t="s">
        <v>2841</v>
      </c>
      <c r="K450" s="4">
        <v>40544</v>
      </c>
      <c r="L450" s="4">
        <v>40102</v>
      </c>
      <c r="M450" s="9">
        <f t="shared" si="63"/>
        <v>15</v>
      </c>
      <c r="N450" s="4" t="str">
        <f t="shared" ref="N450:N513" si="65">IF(M450&lt;=2," ] 0 ; 2 ]",IF(AND(M450&gt;2,M450&lt;=5),"] 2 ; 5 ]",IF(AND(M450&gt;5,M450&lt;=8),"] 5 ; 8 ]",IF(AND(M450&gt;8,M450&lt;=10),"] 8 ; 10 ]",IF(AND(M450&gt;10,M450&lt;=15),"] 10 ; 15 ]","] 15 ; +oo [")))))</f>
        <v>] 10 ; 15 ]</v>
      </c>
      <c r="O450" s="5" t="s">
        <v>3780</v>
      </c>
      <c r="P450" s="5" t="s">
        <v>3780</v>
      </c>
      <c r="Q450" s="5">
        <v>2</v>
      </c>
      <c r="R450" s="5" t="str">
        <f t="shared" ref="R450:R513" si="66">IF(OR(O450="A",O450="B",O450="C",O450="D"),"Qualification",IF(OR(O450="E",O450="F",O450="G"),"Specialisation","Management &amp; Expertise"))</f>
        <v>Qualification</v>
      </c>
      <c r="S450" s="5" t="s">
        <v>3790</v>
      </c>
      <c r="T450" s="4">
        <v>31391</v>
      </c>
      <c r="U450" s="5">
        <f t="shared" ref="U450:U513" si="67">YEAR(T450)</f>
        <v>1985</v>
      </c>
      <c r="V450" s="5" t="s">
        <v>3793</v>
      </c>
      <c r="W450" s="9">
        <f t="shared" si="64"/>
        <v>39</v>
      </c>
      <c r="X450" s="5" t="str">
        <f t="shared" ref="X450:X513" si="68">IF(W450&lt;30,"[20 - 29 ans[",IF(AND(W450&gt;=30,W450&lt;35),"[30 - 34 ans]",IF(AND(W450&gt;=35,W450&lt;40),"[35 - 39 ans ]",IF(AND(W450&gt;=40,W450&lt;45),"[40 - 44 ans]",IF(AND(W450&gt;=45,W450&lt;50),"[45 - 49 ans]","[50 ans, +oo [")))))</f>
        <v>[35 - 39 ans ]</v>
      </c>
      <c r="Y450" s="5" t="str">
        <f t="shared" ref="Y450:Y513" si="69">IF(AND(U450&gt;1946,U450&lt;=1965)," Baby - Boomers ",IF(AND(U450&gt;1965,U450&lt;=1980)," Generation X ",IF(AND(U450&gt;1980,U450&lt;1996)," Mellenials ",IF(AND(U450&gt;1996,U450&lt;2012)," Gen Z "," Gen Alpha"))))</f>
        <v xml:space="preserve"> Mellenials </v>
      </c>
      <c r="Z450" s="9">
        <f t="shared" ref="Z450:Z513" si="70">60-W450</f>
        <v>21</v>
      </c>
      <c r="AA450" s="5" t="str">
        <f t="shared" ref="AA450:AA513" si="71">IF(Z450&lt;=5,"Départ à la Retraite 5ans","RAS")</f>
        <v>RAS</v>
      </c>
      <c r="AB450" s="5" t="s">
        <v>3806</v>
      </c>
      <c r="AC450" s="6" t="s">
        <v>3799</v>
      </c>
      <c r="AE450" s="5" t="s">
        <v>3844</v>
      </c>
      <c r="AF450" s="5" t="s">
        <v>4482</v>
      </c>
      <c r="AG450" s="5" t="s">
        <v>4485</v>
      </c>
      <c r="AH450" s="5" t="s">
        <v>4487</v>
      </c>
      <c r="AI450" s="5" t="s">
        <v>4119</v>
      </c>
      <c r="AJ450" s="5" t="s">
        <v>4120</v>
      </c>
      <c r="AK450" s="5" t="s">
        <v>4121</v>
      </c>
      <c r="AL450" s="5" t="s">
        <v>3858</v>
      </c>
    </row>
    <row r="451" spans="1:38" x14ac:dyDescent="0.3">
      <c r="A451" s="4">
        <v>45716</v>
      </c>
      <c r="B451" s="5" t="s">
        <v>1659</v>
      </c>
      <c r="C451" s="5" t="s">
        <v>1660</v>
      </c>
      <c r="D451" s="5" t="s">
        <v>1661</v>
      </c>
      <c r="E451" s="5" t="s">
        <v>4494</v>
      </c>
      <c r="G451" s="5" t="s">
        <v>78</v>
      </c>
      <c r="H451" s="5" t="s">
        <v>1066</v>
      </c>
      <c r="I451" s="5" t="s">
        <v>1664</v>
      </c>
      <c r="J451" s="5" t="s">
        <v>1510</v>
      </c>
      <c r="K451" s="4">
        <v>40544</v>
      </c>
      <c r="L451" s="4">
        <v>39921.041666666664</v>
      </c>
      <c r="M451" s="9">
        <f t="shared" si="63"/>
        <v>15</v>
      </c>
      <c r="N451" s="4" t="str">
        <f t="shared" si="65"/>
        <v>] 10 ; 15 ]</v>
      </c>
      <c r="O451" s="5" t="s">
        <v>3788</v>
      </c>
      <c r="P451" s="5" t="s">
        <v>3780</v>
      </c>
      <c r="Q451" s="5">
        <v>1</v>
      </c>
      <c r="R451" s="5" t="str">
        <f t="shared" si="66"/>
        <v>Qualification</v>
      </c>
      <c r="S451" s="5" t="s">
        <v>3789</v>
      </c>
      <c r="T451" s="4">
        <v>30254</v>
      </c>
      <c r="U451" s="5">
        <f t="shared" si="67"/>
        <v>1982</v>
      </c>
      <c r="V451" s="5" t="s">
        <v>3793</v>
      </c>
      <c r="W451" s="9">
        <f t="shared" si="64"/>
        <v>42</v>
      </c>
      <c r="X451" s="5" t="str">
        <f t="shared" si="68"/>
        <v>[40 - 44 ans]</v>
      </c>
      <c r="Y451" s="5" t="str">
        <f t="shared" si="69"/>
        <v xml:space="preserve"> Mellenials </v>
      </c>
      <c r="Z451" s="9">
        <f t="shared" si="70"/>
        <v>18</v>
      </c>
      <c r="AA451" s="5" t="str">
        <f t="shared" si="71"/>
        <v>RAS</v>
      </c>
      <c r="AB451" s="5" t="s">
        <v>3808</v>
      </c>
      <c r="AC451" s="6" t="s">
        <v>3799</v>
      </c>
      <c r="AE451" s="5" t="s">
        <v>3844</v>
      </c>
      <c r="AF451" s="5" t="s">
        <v>4482</v>
      </c>
      <c r="AG451" s="5" t="s">
        <v>4485</v>
      </c>
      <c r="AH451" s="5" t="s">
        <v>4488</v>
      </c>
      <c r="AI451" s="5" t="s">
        <v>4251</v>
      </c>
      <c r="AJ451" s="5" t="s">
        <v>4252</v>
      </c>
      <c r="AK451" s="5" t="s">
        <v>4242</v>
      </c>
      <c r="AL451" s="5" t="s">
        <v>3858</v>
      </c>
    </row>
    <row r="452" spans="1:38" x14ac:dyDescent="0.3">
      <c r="A452" s="4">
        <v>45716</v>
      </c>
      <c r="B452" s="5" t="s">
        <v>1662</v>
      </c>
      <c r="C452" s="5" t="s">
        <v>1663</v>
      </c>
      <c r="D452" s="5" t="s">
        <v>1664</v>
      </c>
      <c r="E452" s="5" t="s">
        <v>4494</v>
      </c>
      <c r="G452" s="5" t="s">
        <v>78</v>
      </c>
      <c r="H452" s="5" t="s">
        <v>1307</v>
      </c>
      <c r="I452" s="5" t="s">
        <v>1510</v>
      </c>
      <c r="J452" s="5" t="s">
        <v>1357</v>
      </c>
      <c r="K452" s="4">
        <v>40544</v>
      </c>
      <c r="L452" s="4">
        <v>40087</v>
      </c>
      <c r="M452" s="9">
        <f t="shared" si="63"/>
        <v>15</v>
      </c>
      <c r="N452" s="4" t="str">
        <f t="shared" si="65"/>
        <v>] 10 ; 15 ]</v>
      </c>
      <c r="O452" s="5" t="s">
        <v>3783</v>
      </c>
      <c r="P452" s="5" t="s">
        <v>3785</v>
      </c>
      <c r="Q452" s="5">
        <v>1</v>
      </c>
      <c r="R452" s="5" t="str">
        <f t="shared" si="66"/>
        <v>Specialisation</v>
      </c>
      <c r="S452" s="5" t="s">
        <v>3789</v>
      </c>
      <c r="T452" s="4">
        <v>31194</v>
      </c>
      <c r="U452" s="5">
        <f t="shared" si="67"/>
        <v>1985</v>
      </c>
      <c r="V452" s="5" t="s">
        <v>3793</v>
      </c>
      <c r="W452" s="9">
        <f t="shared" si="64"/>
        <v>39</v>
      </c>
      <c r="X452" s="5" t="str">
        <f t="shared" si="68"/>
        <v>[35 - 39 ans ]</v>
      </c>
      <c r="Y452" s="5" t="str">
        <f t="shared" si="69"/>
        <v xml:space="preserve"> Mellenials </v>
      </c>
      <c r="Z452" s="9">
        <f t="shared" si="70"/>
        <v>21</v>
      </c>
      <c r="AA452" s="5" t="str">
        <f t="shared" si="71"/>
        <v>RAS</v>
      </c>
      <c r="AB452" s="5" t="s">
        <v>3808</v>
      </c>
      <c r="AC452" s="6" t="s">
        <v>3799</v>
      </c>
      <c r="AE452" s="5" t="s">
        <v>3845</v>
      </c>
      <c r="AF452" s="5" t="s">
        <v>4482</v>
      </c>
      <c r="AG452" s="5" t="s">
        <v>4485</v>
      </c>
      <c r="AH452" s="5" t="s">
        <v>4488</v>
      </c>
      <c r="AI452" s="5" t="s">
        <v>4251</v>
      </c>
      <c r="AJ452" s="5" t="s">
        <v>4252</v>
      </c>
      <c r="AK452" s="5" t="s">
        <v>4242</v>
      </c>
      <c r="AL452" s="5" t="s">
        <v>3854</v>
      </c>
    </row>
    <row r="453" spans="1:38" x14ac:dyDescent="0.3">
      <c r="A453" s="4">
        <v>45716</v>
      </c>
      <c r="B453" s="5" t="s">
        <v>1665</v>
      </c>
      <c r="C453" s="5" t="s">
        <v>1666</v>
      </c>
      <c r="D453" s="5" t="s">
        <v>1667</v>
      </c>
      <c r="E453" s="5" t="s">
        <v>4494</v>
      </c>
      <c r="G453" s="5" t="s">
        <v>554</v>
      </c>
      <c r="H453" s="5" t="s">
        <v>555</v>
      </c>
      <c r="I453" s="5" t="s">
        <v>2412</v>
      </c>
      <c r="J453" s="5" t="s">
        <v>2841</v>
      </c>
      <c r="K453" s="4">
        <v>40544</v>
      </c>
      <c r="L453" s="4">
        <v>40205</v>
      </c>
      <c r="M453" s="9">
        <f t="shared" si="63"/>
        <v>15</v>
      </c>
      <c r="N453" s="4" t="str">
        <f t="shared" si="65"/>
        <v>] 10 ; 15 ]</v>
      </c>
      <c r="O453" s="5" t="s">
        <v>3780</v>
      </c>
      <c r="P453" s="5" t="s">
        <v>3780</v>
      </c>
      <c r="Q453" s="5">
        <v>2</v>
      </c>
      <c r="R453" s="5" t="str">
        <f t="shared" si="66"/>
        <v>Qualification</v>
      </c>
      <c r="S453" s="5" t="s">
        <v>3789</v>
      </c>
      <c r="T453" s="4">
        <v>30036</v>
      </c>
      <c r="U453" s="5">
        <f t="shared" si="67"/>
        <v>1982</v>
      </c>
      <c r="V453" s="5" t="s">
        <v>3793</v>
      </c>
      <c r="W453" s="9">
        <f t="shared" si="64"/>
        <v>42</v>
      </c>
      <c r="X453" s="5" t="str">
        <f t="shared" si="68"/>
        <v>[40 - 44 ans]</v>
      </c>
      <c r="Y453" s="5" t="str">
        <f t="shared" si="69"/>
        <v xml:space="preserve"> Mellenials </v>
      </c>
      <c r="Z453" s="9">
        <f t="shared" si="70"/>
        <v>18</v>
      </c>
      <c r="AA453" s="5" t="str">
        <f t="shared" si="71"/>
        <v>RAS</v>
      </c>
      <c r="AB453" s="5" t="s">
        <v>3806</v>
      </c>
      <c r="AC453" s="6" t="s">
        <v>3799</v>
      </c>
      <c r="AE453" s="5" t="s">
        <v>3844</v>
      </c>
      <c r="AF453" s="5" t="s">
        <v>4482</v>
      </c>
      <c r="AG453" s="5" t="s">
        <v>4485</v>
      </c>
      <c r="AH453" s="5" t="s">
        <v>4487</v>
      </c>
      <c r="AI453" s="5" t="s">
        <v>4119</v>
      </c>
      <c r="AJ453" s="5" t="s">
        <v>4120</v>
      </c>
      <c r="AK453" s="5" t="s">
        <v>4121</v>
      </c>
      <c r="AL453" s="5" t="s">
        <v>3858</v>
      </c>
    </row>
    <row r="454" spans="1:38" x14ac:dyDescent="0.3">
      <c r="A454" s="4">
        <v>45716</v>
      </c>
      <c r="B454" s="5" t="s">
        <v>1668</v>
      </c>
      <c r="C454" s="5" t="s">
        <v>1669</v>
      </c>
      <c r="D454" s="5" t="s">
        <v>1670</v>
      </c>
      <c r="E454" s="5" t="s">
        <v>4494</v>
      </c>
      <c r="G454" s="5" t="s">
        <v>29</v>
      </c>
      <c r="H454" s="5" t="s">
        <v>1671</v>
      </c>
      <c r="I454" s="5" t="s">
        <v>2618</v>
      </c>
      <c r="J454" s="5" t="s">
        <v>157</v>
      </c>
      <c r="K454" s="4">
        <v>40544</v>
      </c>
      <c r="L454" s="4">
        <v>40220.041666666664</v>
      </c>
      <c r="M454" s="9">
        <f t="shared" si="63"/>
        <v>15</v>
      </c>
      <c r="N454" s="4" t="str">
        <f t="shared" si="65"/>
        <v>] 10 ; 15 ]</v>
      </c>
      <c r="O454" s="5" t="s">
        <v>3786</v>
      </c>
      <c r="P454" s="5" t="s">
        <v>3786</v>
      </c>
      <c r="Q454" s="5">
        <v>1</v>
      </c>
      <c r="R454" s="5" t="str">
        <f t="shared" si="66"/>
        <v>Specialisation</v>
      </c>
      <c r="S454" s="5" t="s">
        <v>3789</v>
      </c>
      <c r="T454" s="4">
        <v>30744</v>
      </c>
      <c r="U454" s="5">
        <f t="shared" si="67"/>
        <v>1984</v>
      </c>
      <c r="V454" s="5" t="s">
        <v>3793</v>
      </c>
      <c r="W454" s="9">
        <f t="shared" si="64"/>
        <v>40</v>
      </c>
      <c r="X454" s="5" t="str">
        <f t="shared" si="68"/>
        <v>[40 - 44 ans]</v>
      </c>
      <c r="Y454" s="5" t="str">
        <f t="shared" si="69"/>
        <v xml:space="preserve"> Mellenials </v>
      </c>
      <c r="Z454" s="9">
        <f t="shared" si="70"/>
        <v>20</v>
      </c>
      <c r="AA454" s="5" t="str">
        <f t="shared" si="71"/>
        <v>RAS</v>
      </c>
      <c r="AB454" s="5" t="s">
        <v>3806</v>
      </c>
      <c r="AC454" s="6" t="s">
        <v>3799</v>
      </c>
      <c r="AE454" s="5" t="s">
        <v>3844</v>
      </c>
      <c r="AF454" s="5" t="s">
        <v>4482</v>
      </c>
      <c r="AG454" s="5" t="s">
        <v>4485</v>
      </c>
      <c r="AH454" s="5" t="s">
        <v>4487</v>
      </c>
      <c r="AI454" s="5" t="s">
        <v>4342</v>
      </c>
      <c r="AJ454" s="5" t="s">
        <v>4343</v>
      </c>
      <c r="AK454" s="5" t="s">
        <v>4344</v>
      </c>
      <c r="AL454" s="5" t="s">
        <v>3858</v>
      </c>
    </row>
    <row r="455" spans="1:38" x14ac:dyDescent="0.3">
      <c r="A455" s="4">
        <v>45716</v>
      </c>
      <c r="B455" s="5" t="s">
        <v>1672</v>
      </c>
      <c r="C455" s="5" t="s">
        <v>1673</v>
      </c>
      <c r="D455" s="5" t="s">
        <v>1674</v>
      </c>
      <c r="E455" s="5" t="s">
        <v>4494</v>
      </c>
      <c r="G455" s="5" t="s">
        <v>78</v>
      </c>
      <c r="H455" s="5" t="s">
        <v>1066</v>
      </c>
      <c r="I455" s="5" t="s">
        <v>1306</v>
      </c>
      <c r="J455" s="5" t="s">
        <v>1510</v>
      </c>
      <c r="K455" s="4">
        <v>40544</v>
      </c>
      <c r="L455" s="4">
        <v>40220</v>
      </c>
      <c r="M455" s="9">
        <f t="shared" si="63"/>
        <v>15</v>
      </c>
      <c r="N455" s="4" t="str">
        <f t="shared" si="65"/>
        <v>] 10 ; 15 ]</v>
      </c>
      <c r="O455" s="5" t="s">
        <v>3788</v>
      </c>
      <c r="P455" s="5" t="s">
        <v>3780</v>
      </c>
      <c r="Q455" s="5">
        <v>1</v>
      </c>
      <c r="R455" s="5" t="str">
        <f t="shared" si="66"/>
        <v>Qualification</v>
      </c>
      <c r="S455" s="5" t="s">
        <v>3789</v>
      </c>
      <c r="T455" s="4">
        <v>28506</v>
      </c>
      <c r="U455" s="5">
        <f t="shared" si="67"/>
        <v>1978</v>
      </c>
      <c r="V455" s="5" t="s">
        <v>3793</v>
      </c>
      <c r="W455" s="9">
        <f t="shared" si="64"/>
        <v>47</v>
      </c>
      <c r="X455" s="5" t="str">
        <f t="shared" si="68"/>
        <v>[45 - 49 ans]</v>
      </c>
      <c r="Y455" s="5" t="str">
        <f t="shared" si="69"/>
        <v xml:space="preserve"> Generation X </v>
      </c>
      <c r="Z455" s="9">
        <f t="shared" si="70"/>
        <v>13</v>
      </c>
      <c r="AA455" s="5" t="str">
        <f t="shared" si="71"/>
        <v>RAS</v>
      </c>
      <c r="AB455" s="5" t="s">
        <v>3808</v>
      </c>
      <c r="AC455" s="6" t="s">
        <v>3799</v>
      </c>
      <c r="AE455" s="5" t="s">
        <v>3844</v>
      </c>
      <c r="AF455" s="5" t="s">
        <v>4482</v>
      </c>
      <c r="AG455" s="5" t="s">
        <v>4485</v>
      </c>
      <c r="AH455" s="5" t="s">
        <v>4488</v>
      </c>
      <c r="AI455" s="5" t="s">
        <v>4241</v>
      </c>
      <c r="AJ455" s="5" t="s">
        <v>4250</v>
      </c>
      <c r="AK455" s="5" t="s">
        <v>4242</v>
      </c>
      <c r="AL455" s="5" t="s">
        <v>3858</v>
      </c>
    </row>
    <row r="456" spans="1:38" x14ac:dyDescent="0.3">
      <c r="A456" s="4">
        <v>45716</v>
      </c>
      <c r="B456" s="5" t="s">
        <v>1675</v>
      </c>
      <c r="C456" s="5" t="s">
        <v>1676</v>
      </c>
      <c r="D456" s="5" t="s">
        <v>1677</v>
      </c>
      <c r="E456" s="5" t="s">
        <v>4494</v>
      </c>
      <c r="G456" s="5" t="s">
        <v>78</v>
      </c>
      <c r="H456" s="5" t="s">
        <v>1066</v>
      </c>
      <c r="I456" s="5" t="s">
        <v>1664</v>
      </c>
      <c r="J456" s="5" t="s">
        <v>1510</v>
      </c>
      <c r="K456" s="4">
        <v>40544</v>
      </c>
      <c r="L456" s="4">
        <v>39995</v>
      </c>
      <c r="M456" s="9">
        <f t="shared" si="63"/>
        <v>15</v>
      </c>
      <c r="N456" s="4" t="str">
        <f t="shared" si="65"/>
        <v>] 10 ; 15 ]</v>
      </c>
      <c r="O456" s="5" t="s">
        <v>3788</v>
      </c>
      <c r="P456" s="5" t="s">
        <v>3788</v>
      </c>
      <c r="Q456" s="5">
        <v>2</v>
      </c>
      <c r="R456" s="5" t="str">
        <f t="shared" si="66"/>
        <v>Qualification</v>
      </c>
      <c r="S456" s="5" t="s">
        <v>3790</v>
      </c>
      <c r="T456" s="4">
        <v>30515</v>
      </c>
      <c r="U456" s="5">
        <f t="shared" si="67"/>
        <v>1983</v>
      </c>
      <c r="V456" s="5" t="s">
        <v>3793</v>
      </c>
      <c r="W456" s="9">
        <f t="shared" si="64"/>
        <v>41</v>
      </c>
      <c r="X456" s="5" t="str">
        <f t="shared" si="68"/>
        <v>[40 - 44 ans]</v>
      </c>
      <c r="Y456" s="5" t="str">
        <f t="shared" si="69"/>
        <v xml:space="preserve"> Mellenials </v>
      </c>
      <c r="Z456" s="9">
        <f t="shared" si="70"/>
        <v>19</v>
      </c>
      <c r="AA456" s="5" t="str">
        <f t="shared" si="71"/>
        <v>RAS</v>
      </c>
      <c r="AB456" s="5" t="s">
        <v>3808</v>
      </c>
      <c r="AC456" s="6" t="s">
        <v>3799</v>
      </c>
      <c r="AE456" s="5" t="s">
        <v>3844</v>
      </c>
      <c r="AF456" s="5" t="s">
        <v>4482</v>
      </c>
      <c r="AG456" s="5" t="s">
        <v>4485</v>
      </c>
      <c r="AH456" s="5" t="s">
        <v>4488</v>
      </c>
      <c r="AI456" s="5" t="s">
        <v>4251</v>
      </c>
      <c r="AJ456" s="5" t="s">
        <v>4252</v>
      </c>
      <c r="AK456" s="5" t="s">
        <v>4242</v>
      </c>
      <c r="AL456" s="5" t="s">
        <v>3858</v>
      </c>
    </row>
    <row r="457" spans="1:38" x14ac:dyDescent="0.3">
      <c r="A457" s="4">
        <v>45716</v>
      </c>
      <c r="B457" s="5" t="s">
        <v>1678</v>
      </c>
      <c r="C457" s="5" t="s">
        <v>1679</v>
      </c>
      <c r="D457" s="5" t="s">
        <v>1680</v>
      </c>
      <c r="E457" s="5" t="s">
        <v>4494</v>
      </c>
      <c r="G457" s="5" t="s">
        <v>57</v>
      </c>
      <c r="H457" s="5" t="s">
        <v>1681</v>
      </c>
      <c r="I457" s="5" t="s">
        <v>954</v>
      </c>
      <c r="J457" s="5" t="s">
        <v>56</v>
      </c>
      <c r="K457" s="4">
        <v>40544</v>
      </c>
      <c r="L457" s="4">
        <v>40015</v>
      </c>
      <c r="M457" s="9">
        <f t="shared" si="63"/>
        <v>15</v>
      </c>
      <c r="N457" s="4" t="str">
        <f t="shared" si="65"/>
        <v>] 10 ; 15 ]</v>
      </c>
      <c r="O457" s="5" t="s">
        <v>3786</v>
      </c>
      <c r="P457" s="5" t="s">
        <v>3783</v>
      </c>
      <c r="Q457" s="5">
        <v>1</v>
      </c>
      <c r="R457" s="5" t="str">
        <f t="shared" si="66"/>
        <v>Specialisation</v>
      </c>
      <c r="S457" s="5" t="s">
        <v>3790</v>
      </c>
      <c r="T457" s="4">
        <v>31796</v>
      </c>
      <c r="U457" s="5">
        <f t="shared" si="67"/>
        <v>1987</v>
      </c>
      <c r="V457" s="5" t="s">
        <v>3793</v>
      </c>
      <c r="W457" s="9">
        <f t="shared" si="64"/>
        <v>38</v>
      </c>
      <c r="X457" s="5" t="str">
        <f t="shared" si="68"/>
        <v>[35 - 39 ans ]</v>
      </c>
      <c r="Y457" s="5" t="str">
        <f t="shared" si="69"/>
        <v xml:space="preserve"> Mellenials </v>
      </c>
      <c r="Z457" s="9">
        <f t="shared" si="70"/>
        <v>22</v>
      </c>
      <c r="AA457" s="5" t="str">
        <f t="shared" si="71"/>
        <v>RAS</v>
      </c>
      <c r="AB457" s="5" t="s">
        <v>3806</v>
      </c>
      <c r="AC457" s="6" t="s">
        <v>3799</v>
      </c>
      <c r="AE457" s="5" t="s">
        <v>3844</v>
      </c>
      <c r="AF457" s="5" t="s">
        <v>4482</v>
      </c>
      <c r="AG457" s="5" t="s">
        <v>4485</v>
      </c>
      <c r="AH457" s="5" t="s">
        <v>4487</v>
      </c>
      <c r="AI457" s="5" t="s">
        <v>4122</v>
      </c>
      <c r="AJ457" s="5" t="s">
        <v>4123</v>
      </c>
      <c r="AK457" s="5" t="s">
        <v>4124</v>
      </c>
      <c r="AL457" s="5" t="s">
        <v>3858</v>
      </c>
    </row>
    <row r="458" spans="1:38" x14ac:dyDescent="0.3">
      <c r="A458" s="4">
        <v>45716</v>
      </c>
      <c r="B458" s="5" t="s">
        <v>1682</v>
      </c>
      <c r="C458" s="5" t="s">
        <v>1683</v>
      </c>
      <c r="D458" s="5" t="s">
        <v>1684</v>
      </c>
      <c r="E458" s="5" t="s">
        <v>4494</v>
      </c>
      <c r="G458" s="5" t="s">
        <v>29</v>
      </c>
      <c r="H458" s="5" t="s">
        <v>1685</v>
      </c>
      <c r="I458" s="5" t="s">
        <v>408</v>
      </c>
      <c r="J458" s="5" t="s">
        <v>974</v>
      </c>
      <c r="K458" s="4">
        <v>40544</v>
      </c>
      <c r="L458" s="4">
        <v>40112</v>
      </c>
      <c r="M458" s="9">
        <f t="shared" si="63"/>
        <v>15</v>
      </c>
      <c r="N458" s="4" t="str">
        <f t="shared" si="65"/>
        <v>] 10 ; 15 ]</v>
      </c>
      <c r="O458" s="5" t="s">
        <v>3786</v>
      </c>
      <c r="P458" s="5" t="s">
        <v>3786</v>
      </c>
      <c r="Q458" s="5">
        <v>1</v>
      </c>
      <c r="R458" s="5" t="str">
        <f t="shared" si="66"/>
        <v>Specialisation</v>
      </c>
      <c r="S458" s="5" t="s">
        <v>3790</v>
      </c>
      <c r="T458" s="4">
        <v>30914</v>
      </c>
      <c r="U458" s="5">
        <f t="shared" si="67"/>
        <v>1984</v>
      </c>
      <c r="V458" s="5" t="s">
        <v>3793</v>
      </c>
      <c r="W458" s="9">
        <f t="shared" si="64"/>
        <v>40</v>
      </c>
      <c r="X458" s="5" t="str">
        <f t="shared" si="68"/>
        <v>[40 - 44 ans]</v>
      </c>
      <c r="Y458" s="5" t="str">
        <f t="shared" si="69"/>
        <v xml:space="preserve"> Mellenials </v>
      </c>
      <c r="Z458" s="9">
        <f t="shared" si="70"/>
        <v>20</v>
      </c>
      <c r="AA458" s="5" t="str">
        <f t="shared" si="71"/>
        <v>RAS</v>
      </c>
      <c r="AB458" s="5" t="s">
        <v>3806</v>
      </c>
      <c r="AC458" s="6" t="s">
        <v>3799</v>
      </c>
      <c r="AE458" s="5" t="s">
        <v>3844</v>
      </c>
      <c r="AF458" s="5" t="s">
        <v>4482</v>
      </c>
      <c r="AG458" s="5" t="s">
        <v>4485</v>
      </c>
      <c r="AH458" s="5" t="s">
        <v>4487</v>
      </c>
      <c r="AI458" s="5" t="s">
        <v>4051</v>
      </c>
      <c r="AJ458" s="5" t="s">
        <v>4052</v>
      </c>
      <c r="AK458" s="5" t="s">
        <v>4053</v>
      </c>
      <c r="AL458" s="5" t="s">
        <v>3858</v>
      </c>
    </row>
    <row r="459" spans="1:38" x14ac:dyDescent="0.3">
      <c r="A459" s="4">
        <v>45716</v>
      </c>
      <c r="B459" s="5" t="s">
        <v>1686</v>
      </c>
      <c r="C459" s="5" t="s">
        <v>1687</v>
      </c>
      <c r="D459" s="5" t="s">
        <v>1688</v>
      </c>
      <c r="E459" s="5" t="s">
        <v>4494</v>
      </c>
      <c r="G459" s="5" t="s">
        <v>29</v>
      </c>
      <c r="H459" s="5" t="s">
        <v>283</v>
      </c>
      <c r="I459" s="5" t="s">
        <v>65</v>
      </c>
      <c r="J459" s="5" t="s">
        <v>69</v>
      </c>
      <c r="K459" s="4">
        <v>40544</v>
      </c>
      <c r="L459" s="4">
        <v>40205</v>
      </c>
      <c r="M459" s="9">
        <f t="shared" si="63"/>
        <v>15</v>
      </c>
      <c r="N459" s="4" t="str">
        <f t="shared" si="65"/>
        <v>] 10 ; 15 ]</v>
      </c>
      <c r="O459" s="5" t="s">
        <v>3786</v>
      </c>
      <c r="P459" s="5" t="s">
        <v>3786</v>
      </c>
      <c r="Q459" s="5">
        <v>2</v>
      </c>
      <c r="R459" s="5" t="str">
        <f t="shared" si="66"/>
        <v>Specialisation</v>
      </c>
      <c r="S459" s="5" t="s">
        <v>3790</v>
      </c>
      <c r="T459" s="4">
        <v>29674</v>
      </c>
      <c r="U459" s="5">
        <f t="shared" si="67"/>
        <v>1981</v>
      </c>
      <c r="V459" s="5" t="s">
        <v>3793</v>
      </c>
      <c r="W459" s="9">
        <f t="shared" si="64"/>
        <v>43</v>
      </c>
      <c r="X459" s="5" t="str">
        <f t="shared" si="68"/>
        <v>[40 - 44 ans]</v>
      </c>
      <c r="Y459" s="5" t="str">
        <f t="shared" si="69"/>
        <v xml:space="preserve"> Mellenials </v>
      </c>
      <c r="Z459" s="9">
        <f t="shared" si="70"/>
        <v>17</v>
      </c>
      <c r="AA459" s="5" t="str">
        <f t="shared" si="71"/>
        <v>RAS</v>
      </c>
      <c r="AB459" s="5" t="s">
        <v>3806</v>
      </c>
      <c r="AC459" s="6" t="s">
        <v>3799</v>
      </c>
      <c r="AE459" s="5" t="s">
        <v>3844</v>
      </c>
      <c r="AF459" s="5" t="s">
        <v>4482</v>
      </c>
      <c r="AG459" s="5" t="s">
        <v>4485</v>
      </c>
      <c r="AH459" s="5" t="s">
        <v>4487</v>
      </c>
      <c r="AI459" s="5" t="s">
        <v>3880</v>
      </c>
      <c r="AJ459" s="5" t="s">
        <v>3881</v>
      </c>
      <c r="AK459" s="5" t="s">
        <v>3882</v>
      </c>
      <c r="AL459" s="5" t="s">
        <v>3858</v>
      </c>
    </row>
    <row r="460" spans="1:38" x14ac:dyDescent="0.3">
      <c r="A460" s="4">
        <v>45716</v>
      </c>
      <c r="B460" s="5" t="s">
        <v>1689</v>
      </c>
      <c r="C460" s="5" t="s">
        <v>1690</v>
      </c>
      <c r="D460" s="5" t="s">
        <v>1691</v>
      </c>
      <c r="E460" s="5" t="s">
        <v>4494</v>
      </c>
      <c r="G460" s="5" t="s">
        <v>78</v>
      </c>
      <c r="H460" s="5" t="s">
        <v>1692</v>
      </c>
      <c r="I460" s="5" t="s">
        <v>1126</v>
      </c>
      <c r="J460" s="5" t="s">
        <v>298</v>
      </c>
      <c r="K460" s="4">
        <v>40544</v>
      </c>
      <c r="L460" s="4">
        <v>40220</v>
      </c>
      <c r="M460" s="9">
        <f t="shared" si="63"/>
        <v>15</v>
      </c>
      <c r="N460" s="4" t="str">
        <f t="shared" si="65"/>
        <v>] 10 ; 15 ]</v>
      </c>
      <c r="O460" s="5" t="s">
        <v>3788</v>
      </c>
      <c r="P460" s="5" t="s">
        <v>3780</v>
      </c>
      <c r="Q460" s="5">
        <v>1</v>
      </c>
      <c r="R460" s="5" t="str">
        <f t="shared" si="66"/>
        <v>Qualification</v>
      </c>
      <c r="S460" s="5" t="s">
        <v>3790</v>
      </c>
      <c r="T460" s="4">
        <v>31530</v>
      </c>
      <c r="U460" s="5">
        <f t="shared" si="67"/>
        <v>1986</v>
      </c>
      <c r="V460" s="5" t="s">
        <v>3793</v>
      </c>
      <c r="W460" s="9">
        <f t="shared" si="64"/>
        <v>38</v>
      </c>
      <c r="X460" s="5" t="str">
        <f t="shared" si="68"/>
        <v>[35 - 39 ans ]</v>
      </c>
      <c r="Y460" s="5" t="str">
        <f t="shared" si="69"/>
        <v xml:space="preserve"> Mellenials </v>
      </c>
      <c r="Z460" s="9">
        <f t="shared" si="70"/>
        <v>22</v>
      </c>
      <c r="AA460" s="5" t="str">
        <f t="shared" si="71"/>
        <v>RAS</v>
      </c>
      <c r="AB460" s="5" t="s">
        <v>3808</v>
      </c>
      <c r="AC460" s="6" t="s">
        <v>3799</v>
      </c>
      <c r="AE460" s="5" t="s">
        <v>3844</v>
      </c>
      <c r="AF460" s="5" t="s">
        <v>4482</v>
      </c>
      <c r="AG460" s="5" t="s">
        <v>4485</v>
      </c>
      <c r="AH460" s="5" t="s">
        <v>4488</v>
      </c>
      <c r="AI460" s="5" t="s">
        <v>4345</v>
      </c>
      <c r="AJ460" s="5" t="s">
        <v>4346</v>
      </c>
      <c r="AK460" s="5" t="s">
        <v>4347</v>
      </c>
      <c r="AL460" s="5" t="s">
        <v>3858</v>
      </c>
    </row>
    <row r="461" spans="1:38" x14ac:dyDescent="0.3">
      <c r="A461" s="4">
        <v>45716</v>
      </c>
      <c r="B461" s="5" t="s">
        <v>1693</v>
      </c>
      <c r="C461" s="5" t="s">
        <v>1694</v>
      </c>
      <c r="D461" s="5" t="s">
        <v>1695</v>
      </c>
      <c r="E461" s="5" t="s">
        <v>4494</v>
      </c>
      <c r="G461" s="5" t="s">
        <v>88</v>
      </c>
      <c r="H461" s="5" t="s">
        <v>456</v>
      </c>
      <c r="I461" s="5" t="s">
        <v>2079</v>
      </c>
      <c r="J461" s="5" t="s">
        <v>883</v>
      </c>
      <c r="K461" s="4">
        <v>40544</v>
      </c>
      <c r="L461" s="4">
        <v>40112</v>
      </c>
      <c r="M461" s="9">
        <f t="shared" si="63"/>
        <v>15</v>
      </c>
      <c r="N461" s="4" t="str">
        <f t="shared" si="65"/>
        <v>] 10 ; 15 ]</v>
      </c>
      <c r="O461" s="5" t="s">
        <v>3780</v>
      </c>
      <c r="P461" s="5" t="s">
        <v>3780</v>
      </c>
      <c r="Q461" s="5">
        <v>2</v>
      </c>
      <c r="R461" s="5" t="str">
        <f t="shared" si="66"/>
        <v>Qualification</v>
      </c>
      <c r="S461" s="5" t="s">
        <v>3790</v>
      </c>
      <c r="T461" s="4">
        <v>29782</v>
      </c>
      <c r="U461" s="5">
        <f t="shared" si="67"/>
        <v>1981</v>
      </c>
      <c r="V461" s="5" t="s">
        <v>3793</v>
      </c>
      <c r="W461" s="9">
        <f t="shared" si="64"/>
        <v>43</v>
      </c>
      <c r="X461" s="5" t="str">
        <f t="shared" si="68"/>
        <v>[40 - 44 ans]</v>
      </c>
      <c r="Y461" s="5" t="str">
        <f t="shared" si="69"/>
        <v xml:space="preserve"> Mellenials </v>
      </c>
      <c r="Z461" s="9">
        <f t="shared" si="70"/>
        <v>17</v>
      </c>
      <c r="AA461" s="5" t="str">
        <f t="shared" si="71"/>
        <v>RAS</v>
      </c>
      <c r="AB461" s="5" t="s">
        <v>3806</v>
      </c>
      <c r="AC461" s="6" t="s">
        <v>3799</v>
      </c>
      <c r="AE461" s="5" t="s">
        <v>3844</v>
      </c>
      <c r="AF461" s="5" t="s">
        <v>4482</v>
      </c>
      <c r="AG461" s="5" t="s">
        <v>4485</v>
      </c>
      <c r="AH461" s="5" t="s">
        <v>4488</v>
      </c>
      <c r="AI461" s="5" t="s">
        <v>4176</v>
      </c>
      <c r="AJ461" s="5" t="s">
        <v>4348</v>
      </c>
      <c r="AK461" s="5">
        <v>11122</v>
      </c>
      <c r="AL461" s="5" t="s">
        <v>3858</v>
      </c>
    </row>
    <row r="462" spans="1:38" x14ac:dyDescent="0.3">
      <c r="A462" s="4">
        <v>45716</v>
      </c>
      <c r="B462" s="5" t="s">
        <v>1696</v>
      </c>
      <c r="C462" s="5" t="s">
        <v>1697</v>
      </c>
      <c r="D462" s="5" t="s">
        <v>1698</v>
      </c>
      <c r="E462" s="5" t="s">
        <v>4494</v>
      </c>
      <c r="G462" s="5" t="s">
        <v>39</v>
      </c>
      <c r="H462" s="5" t="s">
        <v>1699</v>
      </c>
      <c r="I462" s="5" t="s">
        <v>1256</v>
      </c>
      <c r="J462" s="5" t="s">
        <v>1899</v>
      </c>
      <c r="K462" s="4">
        <v>40575</v>
      </c>
      <c r="L462" s="4">
        <v>40575</v>
      </c>
      <c r="M462" s="9">
        <f t="shared" si="63"/>
        <v>14</v>
      </c>
      <c r="N462" s="4" t="str">
        <f t="shared" si="65"/>
        <v>] 10 ; 15 ]</v>
      </c>
      <c r="O462" s="5" t="s">
        <v>3782</v>
      </c>
      <c r="P462" s="5" t="s">
        <v>3782</v>
      </c>
      <c r="Q462" s="5">
        <v>1</v>
      </c>
      <c r="R462" s="5" t="str">
        <f t="shared" si="66"/>
        <v>Management &amp; Expertise</v>
      </c>
      <c r="S462" s="5" t="s">
        <v>3789</v>
      </c>
      <c r="T462" s="4">
        <v>29676</v>
      </c>
      <c r="U462" s="5">
        <f t="shared" si="67"/>
        <v>1981</v>
      </c>
      <c r="V462" s="5" t="s">
        <v>3793</v>
      </c>
      <c r="W462" s="9">
        <f t="shared" si="64"/>
        <v>43</v>
      </c>
      <c r="X462" s="5" t="str">
        <f t="shared" si="68"/>
        <v>[40 - 44 ans]</v>
      </c>
      <c r="Y462" s="5" t="str">
        <f t="shared" si="69"/>
        <v xml:space="preserve"> Mellenials </v>
      </c>
      <c r="Z462" s="9">
        <f t="shared" si="70"/>
        <v>17</v>
      </c>
      <c r="AA462" s="5" t="str">
        <f t="shared" si="71"/>
        <v>RAS</v>
      </c>
      <c r="AB462" s="5" t="s">
        <v>3832</v>
      </c>
      <c r="AC462" s="6" t="s">
        <v>3801</v>
      </c>
      <c r="AE462" s="5" t="s">
        <v>3845</v>
      </c>
      <c r="AF462" s="5" t="s">
        <v>4481</v>
      </c>
      <c r="AG462" s="5" t="s">
        <v>4485</v>
      </c>
      <c r="AH462" s="5" t="s">
        <v>4489</v>
      </c>
      <c r="AI462" s="5" t="s">
        <v>4231</v>
      </c>
      <c r="AJ462" s="5" t="s">
        <v>4349</v>
      </c>
      <c r="AK462" s="5" t="s">
        <v>4232</v>
      </c>
      <c r="AL462" s="5" t="s">
        <v>3854</v>
      </c>
    </row>
    <row r="463" spans="1:38" x14ac:dyDescent="0.3">
      <c r="A463" s="4">
        <v>45716</v>
      </c>
      <c r="B463" s="5" t="s">
        <v>1700</v>
      </c>
      <c r="C463" s="5" t="s">
        <v>1701</v>
      </c>
      <c r="D463" s="5" t="s">
        <v>1702</v>
      </c>
      <c r="E463" s="5" t="s">
        <v>4494</v>
      </c>
      <c r="G463" s="5" t="s">
        <v>39</v>
      </c>
      <c r="H463" s="5" t="s">
        <v>1703</v>
      </c>
      <c r="I463" s="5" t="s">
        <v>120</v>
      </c>
      <c r="J463" s="5" t="s">
        <v>2821</v>
      </c>
      <c r="K463" s="4">
        <v>40575</v>
      </c>
      <c r="L463" s="4">
        <v>40575</v>
      </c>
      <c r="M463" s="9">
        <f t="shared" si="63"/>
        <v>14</v>
      </c>
      <c r="N463" s="4" t="str">
        <f t="shared" si="65"/>
        <v>] 10 ; 15 ]</v>
      </c>
      <c r="O463" s="5" t="s">
        <v>3782</v>
      </c>
      <c r="P463" s="5" t="s">
        <v>3782</v>
      </c>
      <c r="Q463" s="5">
        <v>2</v>
      </c>
      <c r="R463" s="5" t="str">
        <f t="shared" si="66"/>
        <v>Management &amp; Expertise</v>
      </c>
      <c r="S463" s="5" t="s">
        <v>3789</v>
      </c>
      <c r="T463" s="4">
        <v>26691</v>
      </c>
      <c r="U463" s="5">
        <f t="shared" si="67"/>
        <v>1973</v>
      </c>
      <c r="V463" s="5" t="s">
        <v>3793</v>
      </c>
      <c r="W463" s="9">
        <f t="shared" si="64"/>
        <v>52</v>
      </c>
      <c r="X463" s="5" t="str">
        <f t="shared" si="68"/>
        <v>[50 ans, +oo [</v>
      </c>
      <c r="Y463" s="5" t="str">
        <f t="shared" si="69"/>
        <v xml:space="preserve"> Generation X </v>
      </c>
      <c r="Z463" s="9">
        <f t="shared" si="70"/>
        <v>8</v>
      </c>
      <c r="AA463" s="5" t="str">
        <f t="shared" si="71"/>
        <v>RAS</v>
      </c>
      <c r="AB463" s="5" t="s">
        <v>3807</v>
      </c>
      <c r="AC463" s="6" t="s">
        <v>3799</v>
      </c>
      <c r="AE463" s="5" t="s">
        <v>3845</v>
      </c>
      <c r="AF463" s="5" t="s">
        <v>4481</v>
      </c>
      <c r="AG463" s="5" t="s">
        <v>4485</v>
      </c>
      <c r="AH463" s="5" t="s">
        <v>4489</v>
      </c>
      <c r="AI463" s="5" t="s">
        <v>4203</v>
      </c>
      <c r="AJ463" s="5" t="s">
        <v>4249</v>
      </c>
      <c r="AK463" s="5" t="s">
        <v>3917</v>
      </c>
      <c r="AL463" s="5" t="s">
        <v>3854</v>
      </c>
    </row>
    <row r="464" spans="1:38" x14ac:dyDescent="0.3">
      <c r="A464" s="4">
        <v>45716</v>
      </c>
      <c r="B464" s="5" t="s">
        <v>1704</v>
      </c>
      <c r="C464" s="5" t="s">
        <v>1705</v>
      </c>
      <c r="D464" s="5" t="s">
        <v>1706</v>
      </c>
      <c r="E464" s="5" t="s">
        <v>4494</v>
      </c>
      <c r="G464" s="5" t="s">
        <v>88</v>
      </c>
      <c r="H464" s="5" t="s">
        <v>456</v>
      </c>
      <c r="I464" s="5" t="s">
        <v>1709</v>
      </c>
      <c r="J464" s="5" t="s">
        <v>883</v>
      </c>
      <c r="K464" s="4">
        <v>40575</v>
      </c>
      <c r="L464" s="4">
        <v>40575</v>
      </c>
      <c r="M464" s="9">
        <f t="shared" si="63"/>
        <v>14</v>
      </c>
      <c r="N464" s="4" t="str">
        <f t="shared" si="65"/>
        <v>] 10 ; 15 ]</v>
      </c>
      <c r="O464" s="5" t="s">
        <v>3780</v>
      </c>
      <c r="P464" s="5" t="s">
        <v>3780</v>
      </c>
      <c r="Q464" s="5">
        <v>3</v>
      </c>
      <c r="R464" s="5" t="str">
        <f t="shared" si="66"/>
        <v>Qualification</v>
      </c>
      <c r="S464" s="5" t="s">
        <v>3789</v>
      </c>
      <c r="T464" s="4">
        <v>30959</v>
      </c>
      <c r="U464" s="5">
        <f t="shared" si="67"/>
        <v>1984</v>
      </c>
      <c r="V464" s="5" t="s">
        <v>3793</v>
      </c>
      <c r="W464" s="9">
        <f t="shared" si="64"/>
        <v>40</v>
      </c>
      <c r="X464" s="5" t="str">
        <f t="shared" si="68"/>
        <v>[40 - 44 ans]</v>
      </c>
      <c r="Y464" s="5" t="str">
        <f t="shared" si="69"/>
        <v xml:space="preserve"> Mellenials </v>
      </c>
      <c r="Z464" s="9">
        <f t="shared" si="70"/>
        <v>20</v>
      </c>
      <c r="AA464" s="5" t="str">
        <f t="shared" si="71"/>
        <v>RAS</v>
      </c>
      <c r="AB464" s="5" t="s">
        <v>3835</v>
      </c>
      <c r="AC464" s="6" t="s">
        <v>3800</v>
      </c>
      <c r="AE464" s="5" t="s">
        <v>3844</v>
      </c>
      <c r="AF464" s="5" t="s">
        <v>4482</v>
      </c>
      <c r="AG464" s="5" t="s">
        <v>4485</v>
      </c>
      <c r="AH464" s="5" t="s">
        <v>4488</v>
      </c>
      <c r="AI464" s="5" t="s">
        <v>4350</v>
      </c>
      <c r="AJ464" s="5" t="s">
        <v>4351</v>
      </c>
      <c r="AK464" s="5" t="s">
        <v>4352</v>
      </c>
      <c r="AL464" s="5" t="s">
        <v>3858</v>
      </c>
    </row>
    <row r="465" spans="1:38" x14ac:dyDescent="0.3">
      <c r="A465" s="4">
        <v>45716</v>
      </c>
      <c r="B465" s="5" t="s">
        <v>1707</v>
      </c>
      <c r="C465" s="5" t="s">
        <v>1708</v>
      </c>
      <c r="D465" s="5" t="s">
        <v>1709</v>
      </c>
      <c r="E465" s="5" t="s">
        <v>4494</v>
      </c>
      <c r="G465" s="5" t="s">
        <v>88</v>
      </c>
      <c r="H465" s="5" t="s">
        <v>653</v>
      </c>
      <c r="I465" s="5" t="s">
        <v>883</v>
      </c>
      <c r="J465" s="5" t="s">
        <v>182</v>
      </c>
      <c r="K465" s="4">
        <v>40575</v>
      </c>
      <c r="L465" s="4">
        <v>40575</v>
      </c>
      <c r="M465" s="9">
        <f t="shared" si="63"/>
        <v>14</v>
      </c>
      <c r="N465" s="4" t="str">
        <f t="shared" si="65"/>
        <v>] 10 ; 15 ]</v>
      </c>
      <c r="O465" s="5" t="s">
        <v>3785</v>
      </c>
      <c r="P465" s="5" t="s">
        <v>3785</v>
      </c>
      <c r="Q465" s="5">
        <v>2</v>
      </c>
      <c r="R465" s="5" t="str">
        <f t="shared" si="66"/>
        <v>Specialisation</v>
      </c>
      <c r="S465" s="5" t="s">
        <v>3789</v>
      </c>
      <c r="T465" s="4">
        <v>32040</v>
      </c>
      <c r="U465" s="5">
        <f t="shared" si="67"/>
        <v>1987</v>
      </c>
      <c r="V465" s="5" t="s">
        <v>3793</v>
      </c>
      <c r="W465" s="9">
        <f t="shared" si="64"/>
        <v>37</v>
      </c>
      <c r="X465" s="5" t="str">
        <f t="shared" si="68"/>
        <v>[35 - 39 ans ]</v>
      </c>
      <c r="Y465" s="5" t="str">
        <f t="shared" si="69"/>
        <v xml:space="preserve"> Mellenials </v>
      </c>
      <c r="Z465" s="9">
        <f t="shared" si="70"/>
        <v>23</v>
      </c>
      <c r="AA465" s="5" t="str">
        <f t="shared" si="71"/>
        <v>RAS</v>
      </c>
      <c r="AB465" s="5" t="s">
        <v>3835</v>
      </c>
      <c r="AC465" s="6" t="s">
        <v>3800</v>
      </c>
      <c r="AE465" s="5" t="s">
        <v>3845</v>
      </c>
      <c r="AF465" s="5" t="s">
        <v>4481</v>
      </c>
      <c r="AG465" s="5" t="s">
        <v>4485</v>
      </c>
      <c r="AH465" s="5" t="s">
        <v>4488</v>
      </c>
      <c r="AI465" s="5" t="s">
        <v>4350</v>
      </c>
      <c r="AJ465" s="5" t="s">
        <v>4351</v>
      </c>
      <c r="AK465" s="5" t="s">
        <v>4352</v>
      </c>
      <c r="AL465" s="5" t="s">
        <v>3854</v>
      </c>
    </row>
    <row r="466" spans="1:38" x14ac:dyDescent="0.3">
      <c r="A466" s="4">
        <v>45716</v>
      </c>
      <c r="B466" s="5" t="s">
        <v>1710</v>
      </c>
      <c r="C466" s="5" t="s">
        <v>1711</v>
      </c>
      <c r="D466" s="5" t="s">
        <v>1712</v>
      </c>
      <c r="E466" s="5" t="s">
        <v>4494</v>
      </c>
      <c r="G466" s="5" t="s">
        <v>88</v>
      </c>
      <c r="H466" s="5" t="s">
        <v>456</v>
      </c>
      <c r="I466" s="5" t="s">
        <v>1709</v>
      </c>
      <c r="J466" s="5" t="s">
        <v>883</v>
      </c>
      <c r="K466" s="4">
        <v>40575</v>
      </c>
      <c r="L466" s="4">
        <v>40575</v>
      </c>
      <c r="M466" s="9">
        <f t="shared" si="63"/>
        <v>14</v>
      </c>
      <c r="N466" s="4" t="str">
        <f t="shared" si="65"/>
        <v>] 10 ; 15 ]</v>
      </c>
      <c r="O466" s="5" t="s">
        <v>3780</v>
      </c>
      <c r="P466" s="5" t="s">
        <v>3786</v>
      </c>
      <c r="Q466" s="5">
        <v>1</v>
      </c>
      <c r="R466" s="5" t="str">
        <f t="shared" si="66"/>
        <v>Qualification</v>
      </c>
      <c r="S466" s="5" t="s">
        <v>3790</v>
      </c>
      <c r="T466" s="4">
        <v>29086</v>
      </c>
      <c r="U466" s="5">
        <f t="shared" si="67"/>
        <v>1979</v>
      </c>
      <c r="V466" s="5" t="s">
        <v>3793</v>
      </c>
      <c r="W466" s="9">
        <f t="shared" si="64"/>
        <v>45</v>
      </c>
      <c r="X466" s="5" t="str">
        <f t="shared" si="68"/>
        <v>[45 - 49 ans]</v>
      </c>
      <c r="Y466" s="5" t="str">
        <f t="shared" si="69"/>
        <v xml:space="preserve"> Generation X </v>
      </c>
      <c r="Z466" s="9">
        <f t="shared" si="70"/>
        <v>15</v>
      </c>
      <c r="AA466" s="5" t="str">
        <f t="shared" si="71"/>
        <v>RAS</v>
      </c>
      <c r="AB466" s="5" t="s">
        <v>3835</v>
      </c>
      <c r="AC466" s="6" t="s">
        <v>3800</v>
      </c>
      <c r="AE466" s="5" t="s">
        <v>3844</v>
      </c>
      <c r="AF466" s="5" t="s">
        <v>4482</v>
      </c>
      <c r="AG466" s="5" t="s">
        <v>4485</v>
      </c>
      <c r="AH466" s="5" t="s">
        <v>4488</v>
      </c>
      <c r="AI466" s="5" t="s">
        <v>4350</v>
      </c>
      <c r="AJ466" s="5" t="s">
        <v>4351</v>
      </c>
      <c r="AK466" s="5" t="s">
        <v>4352</v>
      </c>
      <c r="AL466" s="5" t="s">
        <v>3858</v>
      </c>
    </row>
    <row r="467" spans="1:38" x14ac:dyDescent="0.3">
      <c r="A467" s="4">
        <v>45716</v>
      </c>
      <c r="B467" s="5" t="s">
        <v>1713</v>
      </c>
      <c r="C467" s="5" t="s">
        <v>1714</v>
      </c>
      <c r="D467" s="5" t="s">
        <v>1715</v>
      </c>
      <c r="E467" s="5" t="s">
        <v>4494</v>
      </c>
      <c r="G467" s="5" t="s">
        <v>88</v>
      </c>
      <c r="H467" s="5" t="s">
        <v>456</v>
      </c>
      <c r="I467" s="5" t="s">
        <v>1709</v>
      </c>
      <c r="J467" s="5" t="s">
        <v>883</v>
      </c>
      <c r="K467" s="4">
        <v>40575</v>
      </c>
      <c r="L467" s="4">
        <v>40575</v>
      </c>
      <c r="M467" s="9">
        <f t="shared" si="63"/>
        <v>14</v>
      </c>
      <c r="N467" s="4" t="str">
        <f t="shared" si="65"/>
        <v>] 10 ; 15 ]</v>
      </c>
      <c r="O467" s="5" t="s">
        <v>3780</v>
      </c>
      <c r="P467" s="5" t="s">
        <v>3786</v>
      </c>
      <c r="Q467" s="5">
        <v>1</v>
      </c>
      <c r="R467" s="5" t="str">
        <f t="shared" si="66"/>
        <v>Qualification</v>
      </c>
      <c r="S467" s="5" t="s">
        <v>3790</v>
      </c>
      <c r="T467" s="4">
        <v>31266</v>
      </c>
      <c r="U467" s="5">
        <f t="shared" si="67"/>
        <v>1985</v>
      </c>
      <c r="V467" s="5" t="s">
        <v>3793</v>
      </c>
      <c r="W467" s="9">
        <f t="shared" si="64"/>
        <v>39</v>
      </c>
      <c r="X467" s="5" t="str">
        <f t="shared" si="68"/>
        <v>[35 - 39 ans ]</v>
      </c>
      <c r="Y467" s="5" t="str">
        <f t="shared" si="69"/>
        <v xml:space="preserve"> Mellenials </v>
      </c>
      <c r="Z467" s="9">
        <f t="shared" si="70"/>
        <v>21</v>
      </c>
      <c r="AA467" s="5" t="str">
        <f t="shared" si="71"/>
        <v>RAS</v>
      </c>
      <c r="AB467" s="5" t="s">
        <v>3835</v>
      </c>
      <c r="AC467" s="6" t="s">
        <v>3800</v>
      </c>
      <c r="AE467" s="5" t="s">
        <v>3844</v>
      </c>
      <c r="AF467" s="5" t="s">
        <v>4482</v>
      </c>
      <c r="AG467" s="5" t="s">
        <v>4485</v>
      </c>
      <c r="AH467" s="5" t="s">
        <v>4488</v>
      </c>
      <c r="AI467" s="5" t="s">
        <v>4350</v>
      </c>
      <c r="AJ467" s="5" t="s">
        <v>4351</v>
      </c>
      <c r="AK467" s="5" t="s">
        <v>4352</v>
      </c>
      <c r="AL467" s="5" t="s">
        <v>3858</v>
      </c>
    </row>
    <row r="468" spans="1:38" x14ac:dyDescent="0.3">
      <c r="A468" s="4">
        <v>45716</v>
      </c>
      <c r="B468" s="5" t="s">
        <v>1716</v>
      </c>
      <c r="C468" s="5" t="s">
        <v>1717</v>
      </c>
      <c r="D468" s="5" t="s">
        <v>1718</v>
      </c>
      <c r="E468" s="5" t="s">
        <v>4494</v>
      </c>
      <c r="G468" s="5" t="s">
        <v>88</v>
      </c>
      <c r="H468" s="5" t="s">
        <v>456</v>
      </c>
      <c r="I468" s="5" t="s">
        <v>1709</v>
      </c>
      <c r="J468" s="5" t="s">
        <v>883</v>
      </c>
      <c r="K468" s="4">
        <v>40575</v>
      </c>
      <c r="L468" s="4">
        <v>40575</v>
      </c>
      <c r="M468" s="9">
        <f t="shared" si="63"/>
        <v>14</v>
      </c>
      <c r="N468" s="4" t="str">
        <f t="shared" si="65"/>
        <v>] 10 ; 15 ]</v>
      </c>
      <c r="O468" s="5" t="s">
        <v>3780</v>
      </c>
      <c r="P468" s="5" t="s">
        <v>3786</v>
      </c>
      <c r="Q468" s="5">
        <v>1</v>
      </c>
      <c r="R468" s="5" t="str">
        <f t="shared" si="66"/>
        <v>Qualification</v>
      </c>
      <c r="S468" s="5" t="s">
        <v>3790</v>
      </c>
      <c r="T468" s="4">
        <v>32361</v>
      </c>
      <c r="U468" s="5">
        <f t="shared" si="67"/>
        <v>1988</v>
      </c>
      <c r="V468" s="5" t="s">
        <v>3792</v>
      </c>
      <c r="W468" s="9">
        <f t="shared" si="64"/>
        <v>36</v>
      </c>
      <c r="X468" s="5" t="str">
        <f t="shared" si="68"/>
        <v>[35 - 39 ans ]</v>
      </c>
      <c r="Y468" s="5" t="str">
        <f t="shared" si="69"/>
        <v xml:space="preserve"> Mellenials </v>
      </c>
      <c r="Z468" s="9">
        <f t="shared" si="70"/>
        <v>24</v>
      </c>
      <c r="AA468" s="5" t="str">
        <f t="shared" si="71"/>
        <v>RAS</v>
      </c>
      <c r="AB468" s="5" t="s">
        <v>3835</v>
      </c>
      <c r="AC468" s="6" t="s">
        <v>3800</v>
      </c>
      <c r="AE468" s="5" t="s">
        <v>3844</v>
      </c>
      <c r="AF468" s="5" t="s">
        <v>4482</v>
      </c>
      <c r="AG468" s="5" t="s">
        <v>4485</v>
      </c>
      <c r="AH468" s="5" t="s">
        <v>4488</v>
      </c>
      <c r="AI468" s="5" t="s">
        <v>4350</v>
      </c>
      <c r="AJ468" s="5" t="s">
        <v>4351</v>
      </c>
      <c r="AK468" s="5" t="s">
        <v>4352</v>
      </c>
      <c r="AL468" s="5" t="s">
        <v>3858</v>
      </c>
    </row>
    <row r="469" spans="1:38" x14ac:dyDescent="0.3">
      <c r="A469" s="4">
        <v>45716</v>
      </c>
      <c r="B469" s="5" t="s">
        <v>1719</v>
      </c>
      <c r="C469" s="5" t="s">
        <v>1720</v>
      </c>
      <c r="D469" s="5" t="s">
        <v>1721</v>
      </c>
      <c r="E469" s="5" t="s">
        <v>4494</v>
      </c>
      <c r="G469" s="5" t="s">
        <v>88</v>
      </c>
      <c r="H469" s="5" t="s">
        <v>706</v>
      </c>
      <c r="I469" s="5" t="s">
        <v>1709</v>
      </c>
      <c r="J469" s="5" t="s">
        <v>883</v>
      </c>
      <c r="K469" s="4">
        <v>40575</v>
      </c>
      <c r="L469" s="4">
        <v>40575</v>
      </c>
      <c r="M469" s="9">
        <f t="shared" si="63"/>
        <v>14</v>
      </c>
      <c r="N469" s="4" t="str">
        <f t="shared" si="65"/>
        <v>] 10 ; 15 ]</v>
      </c>
      <c r="O469" s="5" t="s">
        <v>3786</v>
      </c>
      <c r="P469" s="5" t="s">
        <v>3786</v>
      </c>
      <c r="Q469" s="5">
        <v>1</v>
      </c>
      <c r="R469" s="5" t="str">
        <f t="shared" si="66"/>
        <v>Specialisation</v>
      </c>
      <c r="S469" s="5" t="s">
        <v>3790</v>
      </c>
      <c r="T469" s="4">
        <v>30027</v>
      </c>
      <c r="U469" s="5">
        <f t="shared" si="67"/>
        <v>1982</v>
      </c>
      <c r="V469" s="5" t="s">
        <v>3793</v>
      </c>
      <c r="W469" s="9">
        <f t="shared" si="64"/>
        <v>42</v>
      </c>
      <c r="X469" s="5" t="str">
        <f t="shared" si="68"/>
        <v>[40 - 44 ans]</v>
      </c>
      <c r="Y469" s="5" t="str">
        <f t="shared" si="69"/>
        <v xml:space="preserve"> Mellenials </v>
      </c>
      <c r="Z469" s="9">
        <f t="shared" si="70"/>
        <v>18</v>
      </c>
      <c r="AA469" s="5" t="str">
        <f t="shared" si="71"/>
        <v>RAS</v>
      </c>
      <c r="AB469" s="5" t="s">
        <v>3835</v>
      </c>
      <c r="AC469" s="6" t="s">
        <v>3800</v>
      </c>
      <c r="AE469" s="5" t="s">
        <v>3844</v>
      </c>
      <c r="AF469" s="5" t="s">
        <v>4482</v>
      </c>
      <c r="AG469" s="5" t="s">
        <v>4485</v>
      </c>
      <c r="AH469" s="5" t="s">
        <v>4488</v>
      </c>
      <c r="AI469" s="5" t="s">
        <v>4350</v>
      </c>
      <c r="AJ469" s="5" t="s">
        <v>4351</v>
      </c>
      <c r="AK469" s="5" t="s">
        <v>4352</v>
      </c>
      <c r="AL469" s="5" t="s">
        <v>3858</v>
      </c>
    </row>
    <row r="470" spans="1:38" x14ac:dyDescent="0.3">
      <c r="A470" s="4">
        <v>45716</v>
      </c>
      <c r="B470" s="5" t="s">
        <v>1722</v>
      </c>
      <c r="C470" s="5" t="s">
        <v>1723</v>
      </c>
      <c r="D470" s="5" t="s">
        <v>1724</v>
      </c>
      <c r="E470" s="5" t="s">
        <v>4494</v>
      </c>
      <c r="G470" s="5" t="s">
        <v>24</v>
      </c>
      <c r="H470" s="5" t="s">
        <v>1138</v>
      </c>
      <c r="I470" s="5" t="s">
        <v>318</v>
      </c>
      <c r="J470" s="5" t="s">
        <v>23</v>
      </c>
      <c r="K470" s="4">
        <v>40575</v>
      </c>
      <c r="L470" s="4">
        <v>40575</v>
      </c>
      <c r="M470" s="9">
        <f t="shared" si="63"/>
        <v>14</v>
      </c>
      <c r="N470" s="4" t="str">
        <f t="shared" si="65"/>
        <v>] 10 ; 15 ]</v>
      </c>
      <c r="O470" s="5" t="s">
        <v>3785</v>
      </c>
      <c r="P470" s="5" t="s">
        <v>3785</v>
      </c>
      <c r="Q470" s="5">
        <v>1</v>
      </c>
      <c r="R470" s="5" t="str">
        <f t="shared" si="66"/>
        <v>Specialisation</v>
      </c>
      <c r="S470" s="5" t="s">
        <v>3790</v>
      </c>
      <c r="T470" s="4">
        <v>31052</v>
      </c>
      <c r="U470" s="5">
        <f t="shared" si="67"/>
        <v>1985</v>
      </c>
      <c r="V470" s="5" t="s">
        <v>3793</v>
      </c>
      <c r="W470" s="9">
        <f t="shared" si="64"/>
        <v>40</v>
      </c>
      <c r="X470" s="5" t="str">
        <f t="shared" si="68"/>
        <v>[40 - 44 ans]</v>
      </c>
      <c r="Y470" s="5" t="str">
        <f t="shared" si="69"/>
        <v xml:space="preserve"> Mellenials </v>
      </c>
      <c r="Z470" s="9">
        <f t="shared" si="70"/>
        <v>20</v>
      </c>
      <c r="AA470" s="5" t="str">
        <f t="shared" si="71"/>
        <v>RAS</v>
      </c>
      <c r="AB470" s="5" t="s">
        <v>3830</v>
      </c>
      <c r="AC470" s="6" t="s">
        <v>3801</v>
      </c>
      <c r="AE470" s="5" t="s">
        <v>3844</v>
      </c>
      <c r="AF470" s="5" t="s">
        <v>4481</v>
      </c>
      <c r="AG470" s="5" t="s">
        <v>4485</v>
      </c>
      <c r="AH470" s="5" t="s">
        <v>4488</v>
      </c>
      <c r="AI470" s="5" t="s">
        <v>4144</v>
      </c>
      <c r="AJ470" s="5" t="s">
        <v>4145</v>
      </c>
      <c r="AK470" s="5" t="s">
        <v>3983</v>
      </c>
      <c r="AL470" s="5" t="s">
        <v>3858</v>
      </c>
    </row>
    <row r="471" spans="1:38" x14ac:dyDescent="0.3">
      <c r="A471" s="4">
        <v>45716</v>
      </c>
      <c r="B471" s="5" t="s">
        <v>1725</v>
      </c>
      <c r="C471" s="5" t="s">
        <v>1726</v>
      </c>
      <c r="D471" s="5" t="s">
        <v>1727</v>
      </c>
      <c r="E471" s="5" t="s">
        <v>4494</v>
      </c>
      <c r="G471" s="5" t="s">
        <v>88</v>
      </c>
      <c r="H471" s="5" t="s">
        <v>796</v>
      </c>
      <c r="I471" s="5" t="s">
        <v>879</v>
      </c>
      <c r="J471" s="5" t="s">
        <v>182</v>
      </c>
      <c r="K471" s="4">
        <v>40575</v>
      </c>
      <c r="L471" s="4">
        <v>40575</v>
      </c>
      <c r="M471" s="9">
        <f t="shared" si="63"/>
        <v>14</v>
      </c>
      <c r="N471" s="4" t="str">
        <f t="shared" si="65"/>
        <v>] 10 ; 15 ]</v>
      </c>
      <c r="O471" s="5" t="s">
        <v>3782</v>
      </c>
      <c r="P471" s="5" t="s">
        <v>3782</v>
      </c>
      <c r="Q471" s="5">
        <v>1</v>
      </c>
      <c r="R471" s="5" t="str">
        <f t="shared" si="66"/>
        <v>Management &amp; Expertise</v>
      </c>
      <c r="S471" s="5" t="s">
        <v>3789</v>
      </c>
      <c r="T471" s="4">
        <v>32314</v>
      </c>
      <c r="U471" s="5">
        <f t="shared" si="67"/>
        <v>1988</v>
      </c>
      <c r="V471" s="5" t="s">
        <v>3793</v>
      </c>
      <c r="W471" s="9">
        <f t="shared" si="64"/>
        <v>36</v>
      </c>
      <c r="X471" s="5" t="str">
        <f t="shared" si="68"/>
        <v>[35 - 39 ans ]</v>
      </c>
      <c r="Y471" s="5" t="str">
        <f t="shared" si="69"/>
        <v xml:space="preserve"> Mellenials </v>
      </c>
      <c r="Z471" s="9">
        <f t="shared" si="70"/>
        <v>24</v>
      </c>
      <c r="AA471" s="5" t="str">
        <f t="shared" si="71"/>
        <v>RAS</v>
      </c>
      <c r="AB471" s="5" t="s">
        <v>3830</v>
      </c>
      <c r="AC471" s="6" t="s">
        <v>3801</v>
      </c>
      <c r="AE471" s="5" t="s">
        <v>3845</v>
      </c>
      <c r="AF471" s="5" t="s">
        <v>4481</v>
      </c>
      <c r="AG471" s="5" t="s">
        <v>4485</v>
      </c>
      <c r="AH471" s="5" t="s">
        <v>4488</v>
      </c>
      <c r="AI471" s="5" t="s">
        <v>4353</v>
      </c>
      <c r="AJ471" s="5" t="s">
        <v>4354</v>
      </c>
      <c r="AK471" s="5">
        <v>11151</v>
      </c>
      <c r="AL471" s="5" t="s">
        <v>3858</v>
      </c>
    </row>
    <row r="472" spans="1:38" x14ac:dyDescent="0.3">
      <c r="A472" s="4">
        <v>45716</v>
      </c>
      <c r="B472" s="5" t="s">
        <v>1728</v>
      </c>
      <c r="C472" s="5" t="s">
        <v>1729</v>
      </c>
      <c r="D472" s="5" t="s">
        <v>1730</v>
      </c>
      <c r="E472" s="5" t="s">
        <v>4494</v>
      </c>
      <c r="G472" s="5" t="s">
        <v>88</v>
      </c>
      <c r="H472" s="5" t="s">
        <v>456</v>
      </c>
      <c r="I472" s="5" t="s">
        <v>1039</v>
      </c>
      <c r="J472" s="5" t="s">
        <v>883</v>
      </c>
      <c r="K472" s="4">
        <v>40575</v>
      </c>
      <c r="L472" s="4">
        <v>40575</v>
      </c>
      <c r="M472" s="9">
        <f t="shared" si="63"/>
        <v>14</v>
      </c>
      <c r="N472" s="4" t="str">
        <f t="shared" si="65"/>
        <v>] 10 ; 15 ]</v>
      </c>
      <c r="O472" s="5" t="s">
        <v>3780</v>
      </c>
      <c r="P472" s="5" t="s">
        <v>3780</v>
      </c>
      <c r="Q472" s="5">
        <v>3</v>
      </c>
      <c r="R472" s="5" t="str">
        <f t="shared" si="66"/>
        <v>Qualification</v>
      </c>
      <c r="S472" s="5" t="s">
        <v>3790</v>
      </c>
      <c r="T472" s="4">
        <v>31160</v>
      </c>
      <c r="U472" s="5">
        <f t="shared" si="67"/>
        <v>1985</v>
      </c>
      <c r="V472" s="5" t="s">
        <v>3793</v>
      </c>
      <c r="W472" s="9">
        <f t="shared" si="64"/>
        <v>39</v>
      </c>
      <c r="X472" s="5" t="str">
        <f t="shared" si="68"/>
        <v>[35 - 39 ans ]</v>
      </c>
      <c r="Y472" s="5" t="str">
        <f t="shared" si="69"/>
        <v xml:space="preserve"> Mellenials </v>
      </c>
      <c r="Z472" s="9">
        <f t="shared" si="70"/>
        <v>21</v>
      </c>
      <c r="AA472" s="5" t="str">
        <f t="shared" si="71"/>
        <v>RAS</v>
      </c>
      <c r="AB472" s="5" t="s">
        <v>3830</v>
      </c>
      <c r="AC472" s="6" t="s">
        <v>3801</v>
      </c>
      <c r="AE472" s="5" t="s">
        <v>3844</v>
      </c>
      <c r="AF472" s="5" t="s">
        <v>4482</v>
      </c>
      <c r="AG472" s="5" t="s">
        <v>4485</v>
      </c>
      <c r="AH472" s="5" t="s">
        <v>4488</v>
      </c>
      <c r="AI472" s="5" t="s">
        <v>4234</v>
      </c>
      <c r="AJ472" s="5" t="s">
        <v>4235</v>
      </c>
      <c r="AK472" s="5" t="s">
        <v>4236</v>
      </c>
      <c r="AL472" s="5" t="s">
        <v>3858</v>
      </c>
    </row>
    <row r="473" spans="1:38" x14ac:dyDescent="0.3">
      <c r="A473" s="4">
        <v>45716</v>
      </c>
      <c r="B473" s="5" t="s">
        <v>1731</v>
      </c>
      <c r="C473" s="5" t="s">
        <v>1732</v>
      </c>
      <c r="D473" s="5" t="s">
        <v>1733</v>
      </c>
      <c r="E473" s="5" t="s">
        <v>4494</v>
      </c>
      <c r="G473" s="5" t="s">
        <v>88</v>
      </c>
      <c r="H473" s="5" t="s">
        <v>456</v>
      </c>
      <c r="I473" s="5" t="s">
        <v>2020</v>
      </c>
      <c r="J473" s="5" t="s">
        <v>883</v>
      </c>
      <c r="K473" s="4">
        <v>40575</v>
      </c>
      <c r="L473" s="4">
        <v>40575</v>
      </c>
      <c r="M473" s="9">
        <f t="shared" si="63"/>
        <v>14</v>
      </c>
      <c r="N473" s="4" t="str">
        <f t="shared" si="65"/>
        <v>] 10 ; 15 ]</v>
      </c>
      <c r="O473" s="5" t="s">
        <v>3780</v>
      </c>
      <c r="P473" s="5" t="s">
        <v>3786</v>
      </c>
      <c r="Q473" s="5">
        <v>1</v>
      </c>
      <c r="R473" s="5" t="str">
        <f t="shared" si="66"/>
        <v>Qualification</v>
      </c>
      <c r="S473" s="5" t="s">
        <v>3790</v>
      </c>
      <c r="T473" s="4">
        <v>31246</v>
      </c>
      <c r="U473" s="5">
        <f t="shared" si="67"/>
        <v>1985</v>
      </c>
      <c r="V473" s="5" t="s">
        <v>3793</v>
      </c>
      <c r="W473" s="9">
        <f t="shared" si="64"/>
        <v>39</v>
      </c>
      <c r="X473" s="5" t="str">
        <f t="shared" si="68"/>
        <v>[35 - 39 ans ]</v>
      </c>
      <c r="Y473" s="5" t="str">
        <f t="shared" si="69"/>
        <v xml:space="preserve"> Mellenials </v>
      </c>
      <c r="Z473" s="9">
        <f t="shared" si="70"/>
        <v>21</v>
      </c>
      <c r="AA473" s="5" t="str">
        <f t="shared" si="71"/>
        <v>RAS</v>
      </c>
      <c r="AB473" s="5" t="s">
        <v>3811</v>
      </c>
      <c r="AC473" s="6" t="s">
        <v>3801</v>
      </c>
      <c r="AE473" s="5" t="s">
        <v>3844</v>
      </c>
      <c r="AF473" s="5" t="s">
        <v>4482</v>
      </c>
      <c r="AG473" s="5" t="s">
        <v>4485</v>
      </c>
      <c r="AH473" s="5" t="s">
        <v>4488</v>
      </c>
      <c r="AI473" s="5" t="s">
        <v>4072</v>
      </c>
      <c r="AJ473" s="5" t="s">
        <v>4073</v>
      </c>
      <c r="AK473" s="5" t="s">
        <v>4074</v>
      </c>
      <c r="AL473" s="5" t="s">
        <v>3858</v>
      </c>
    </row>
    <row r="474" spans="1:38" x14ac:dyDescent="0.3">
      <c r="A474" s="4">
        <v>45716</v>
      </c>
      <c r="B474" s="5" t="s">
        <v>1734</v>
      </c>
      <c r="C474" s="5" t="s">
        <v>1735</v>
      </c>
      <c r="D474" s="5" t="s">
        <v>1736</v>
      </c>
      <c r="E474" s="5" t="s">
        <v>4494</v>
      </c>
      <c r="G474" s="5" t="s">
        <v>88</v>
      </c>
      <c r="H474" s="5" t="s">
        <v>456</v>
      </c>
      <c r="I474" s="5" t="s">
        <v>1039</v>
      </c>
      <c r="J474" s="5" t="s">
        <v>883</v>
      </c>
      <c r="K474" s="4">
        <v>40575</v>
      </c>
      <c r="L474" s="4">
        <v>40575</v>
      </c>
      <c r="M474" s="9">
        <f t="shared" si="63"/>
        <v>14</v>
      </c>
      <c r="N474" s="4" t="str">
        <f t="shared" si="65"/>
        <v>] 10 ; 15 ]</v>
      </c>
      <c r="O474" s="5" t="s">
        <v>3780</v>
      </c>
      <c r="P474" s="5" t="s">
        <v>3786</v>
      </c>
      <c r="Q474" s="5">
        <v>1</v>
      </c>
      <c r="R474" s="5" t="str">
        <f t="shared" si="66"/>
        <v>Qualification</v>
      </c>
      <c r="S474" s="5" t="s">
        <v>3790</v>
      </c>
      <c r="T474" s="4">
        <v>30813</v>
      </c>
      <c r="U474" s="5">
        <f t="shared" si="67"/>
        <v>1984</v>
      </c>
      <c r="V474" s="5" t="s">
        <v>3793</v>
      </c>
      <c r="W474" s="9">
        <f t="shared" si="64"/>
        <v>40</v>
      </c>
      <c r="X474" s="5" t="str">
        <f t="shared" si="68"/>
        <v>[40 - 44 ans]</v>
      </c>
      <c r="Y474" s="5" t="str">
        <f t="shared" si="69"/>
        <v xml:space="preserve"> Mellenials </v>
      </c>
      <c r="Z474" s="9">
        <f t="shared" si="70"/>
        <v>20</v>
      </c>
      <c r="AA474" s="5" t="str">
        <f t="shared" si="71"/>
        <v>RAS</v>
      </c>
      <c r="AB474" s="5" t="s">
        <v>3830</v>
      </c>
      <c r="AC474" s="6" t="s">
        <v>3801</v>
      </c>
      <c r="AE474" s="5" t="s">
        <v>3844</v>
      </c>
      <c r="AF474" s="5" t="s">
        <v>4482</v>
      </c>
      <c r="AG474" s="5" t="s">
        <v>4485</v>
      </c>
      <c r="AH474" s="5" t="s">
        <v>4488</v>
      </c>
      <c r="AI474" s="5" t="s">
        <v>4234</v>
      </c>
      <c r="AJ474" s="5" t="s">
        <v>4235</v>
      </c>
      <c r="AK474" s="5" t="s">
        <v>4236</v>
      </c>
      <c r="AL474" s="5" t="s">
        <v>3858</v>
      </c>
    </row>
    <row r="475" spans="1:38" x14ac:dyDescent="0.3">
      <c r="A475" s="4">
        <v>45716</v>
      </c>
      <c r="B475" s="5" t="s">
        <v>1737</v>
      </c>
      <c r="C475" s="5" t="s">
        <v>1738</v>
      </c>
      <c r="D475" s="5" t="s">
        <v>1739</v>
      </c>
      <c r="E475" s="5" t="s">
        <v>4494</v>
      </c>
      <c r="G475" s="5" t="s">
        <v>88</v>
      </c>
      <c r="H475" s="5" t="s">
        <v>456</v>
      </c>
      <c r="I475" s="5" t="s">
        <v>1039</v>
      </c>
      <c r="J475" s="5" t="s">
        <v>883</v>
      </c>
      <c r="K475" s="4">
        <v>40575</v>
      </c>
      <c r="L475" s="4">
        <v>40575</v>
      </c>
      <c r="M475" s="9">
        <f t="shared" si="63"/>
        <v>14</v>
      </c>
      <c r="N475" s="4" t="str">
        <f t="shared" si="65"/>
        <v>] 10 ; 15 ]</v>
      </c>
      <c r="O475" s="5" t="s">
        <v>3780</v>
      </c>
      <c r="P475" s="5" t="s">
        <v>3786</v>
      </c>
      <c r="Q475" s="5">
        <v>1</v>
      </c>
      <c r="R475" s="5" t="str">
        <f t="shared" si="66"/>
        <v>Qualification</v>
      </c>
      <c r="S475" s="5" t="s">
        <v>3790</v>
      </c>
      <c r="T475" s="4">
        <v>31818</v>
      </c>
      <c r="U475" s="5">
        <f t="shared" si="67"/>
        <v>1987</v>
      </c>
      <c r="V475" s="5" t="s">
        <v>3793</v>
      </c>
      <c r="W475" s="9">
        <f t="shared" si="64"/>
        <v>38</v>
      </c>
      <c r="X475" s="5" t="str">
        <f t="shared" si="68"/>
        <v>[35 - 39 ans ]</v>
      </c>
      <c r="Y475" s="5" t="str">
        <f t="shared" si="69"/>
        <v xml:space="preserve"> Mellenials </v>
      </c>
      <c r="Z475" s="9">
        <f t="shared" si="70"/>
        <v>22</v>
      </c>
      <c r="AA475" s="5" t="str">
        <f t="shared" si="71"/>
        <v>RAS</v>
      </c>
      <c r="AB475" s="5" t="s">
        <v>3830</v>
      </c>
      <c r="AC475" s="6" t="s">
        <v>3801</v>
      </c>
      <c r="AE475" s="5" t="s">
        <v>3844</v>
      </c>
      <c r="AF475" s="5" t="s">
        <v>4482</v>
      </c>
      <c r="AG475" s="5" t="s">
        <v>4485</v>
      </c>
      <c r="AH475" s="5" t="s">
        <v>4488</v>
      </c>
      <c r="AI475" s="5" t="s">
        <v>4234</v>
      </c>
      <c r="AJ475" s="5" t="s">
        <v>4235</v>
      </c>
      <c r="AK475" s="5" t="s">
        <v>4236</v>
      </c>
      <c r="AL475" s="5" t="s">
        <v>3858</v>
      </c>
    </row>
    <row r="476" spans="1:38" x14ac:dyDescent="0.3">
      <c r="A476" s="4">
        <v>45716</v>
      </c>
      <c r="B476" s="5" t="s">
        <v>1740</v>
      </c>
      <c r="C476" s="5" t="s">
        <v>1741</v>
      </c>
      <c r="D476" s="5" t="s">
        <v>1742</v>
      </c>
      <c r="E476" s="5" t="s">
        <v>4494</v>
      </c>
      <c r="G476" s="5" t="s">
        <v>88</v>
      </c>
      <c r="H476" s="5" t="s">
        <v>456</v>
      </c>
      <c r="I476" s="5" t="s">
        <v>1039</v>
      </c>
      <c r="J476" s="5" t="s">
        <v>883</v>
      </c>
      <c r="K476" s="4">
        <v>40575</v>
      </c>
      <c r="L476" s="4">
        <v>40575</v>
      </c>
      <c r="M476" s="9">
        <f t="shared" si="63"/>
        <v>14</v>
      </c>
      <c r="N476" s="4" t="str">
        <f t="shared" si="65"/>
        <v>] 10 ; 15 ]</v>
      </c>
      <c r="O476" s="5" t="s">
        <v>3780</v>
      </c>
      <c r="P476" s="5" t="s">
        <v>3786</v>
      </c>
      <c r="Q476" s="5">
        <v>1</v>
      </c>
      <c r="R476" s="5" t="str">
        <f t="shared" si="66"/>
        <v>Qualification</v>
      </c>
      <c r="S476" s="5" t="s">
        <v>3790</v>
      </c>
      <c r="T476" s="4">
        <v>32002</v>
      </c>
      <c r="U476" s="5">
        <f t="shared" si="67"/>
        <v>1987</v>
      </c>
      <c r="V476" s="5" t="s">
        <v>3792</v>
      </c>
      <c r="W476" s="9">
        <f t="shared" si="64"/>
        <v>37</v>
      </c>
      <c r="X476" s="5" t="str">
        <f t="shared" si="68"/>
        <v>[35 - 39 ans ]</v>
      </c>
      <c r="Y476" s="5" t="str">
        <f t="shared" si="69"/>
        <v xml:space="preserve"> Mellenials </v>
      </c>
      <c r="Z476" s="9">
        <f t="shared" si="70"/>
        <v>23</v>
      </c>
      <c r="AA476" s="5" t="str">
        <f t="shared" si="71"/>
        <v>RAS</v>
      </c>
      <c r="AB476" s="5" t="s">
        <v>3830</v>
      </c>
      <c r="AC476" s="6" t="s">
        <v>3801</v>
      </c>
      <c r="AE476" s="5" t="s">
        <v>3844</v>
      </c>
      <c r="AF476" s="5" t="s">
        <v>4482</v>
      </c>
      <c r="AG476" s="5" t="s">
        <v>4485</v>
      </c>
      <c r="AH476" s="5" t="s">
        <v>4488</v>
      </c>
      <c r="AI476" s="5" t="s">
        <v>4234</v>
      </c>
      <c r="AJ476" s="5" t="s">
        <v>4235</v>
      </c>
      <c r="AK476" s="5" t="s">
        <v>4236</v>
      </c>
      <c r="AL476" s="5" t="s">
        <v>3858</v>
      </c>
    </row>
    <row r="477" spans="1:38" x14ac:dyDescent="0.3">
      <c r="A477" s="4">
        <v>45716</v>
      </c>
      <c r="B477" s="5" t="s">
        <v>1743</v>
      </c>
      <c r="C477" s="5" t="s">
        <v>1744</v>
      </c>
      <c r="D477" s="5" t="s">
        <v>1745</v>
      </c>
      <c r="E477" s="5" t="s">
        <v>4494</v>
      </c>
      <c r="G477" s="5" t="s">
        <v>39</v>
      </c>
      <c r="H477" s="5" t="s">
        <v>1746</v>
      </c>
      <c r="I477" s="5" t="s">
        <v>1425</v>
      </c>
      <c r="J477" s="5" t="s">
        <v>1899</v>
      </c>
      <c r="K477" s="4">
        <v>40575</v>
      </c>
      <c r="L477" s="4">
        <v>40575</v>
      </c>
      <c r="M477" s="9">
        <f t="shared" si="63"/>
        <v>14</v>
      </c>
      <c r="N477" s="4" t="str">
        <f t="shared" si="65"/>
        <v>] 10 ; 15 ]</v>
      </c>
      <c r="O477" s="5" t="s">
        <v>3785</v>
      </c>
      <c r="P477" s="5" t="s">
        <v>3785</v>
      </c>
      <c r="Q477" s="5">
        <v>1</v>
      </c>
      <c r="R477" s="5" t="str">
        <f t="shared" si="66"/>
        <v>Specialisation</v>
      </c>
      <c r="S477" s="5" t="s">
        <v>3789</v>
      </c>
      <c r="T477" s="4">
        <v>31857</v>
      </c>
      <c r="U477" s="5">
        <f t="shared" si="67"/>
        <v>1987</v>
      </c>
      <c r="V477" s="5" t="s">
        <v>3792</v>
      </c>
      <c r="W477" s="9">
        <f t="shared" si="64"/>
        <v>37</v>
      </c>
      <c r="X477" s="5" t="str">
        <f t="shared" si="68"/>
        <v>[35 - 39 ans ]</v>
      </c>
      <c r="Y477" s="5" t="str">
        <f t="shared" si="69"/>
        <v xml:space="preserve"> Mellenials </v>
      </c>
      <c r="Z477" s="9">
        <f t="shared" si="70"/>
        <v>23</v>
      </c>
      <c r="AA477" s="5" t="str">
        <f t="shared" si="71"/>
        <v>RAS</v>
      </c>
      <c r="AB477" s="5" t="s">
        <v>3807</v>
      </c>
      <c r="AC477" s="6" t="s">
        <v>3799</v>
      </c>
      <c r="AE477" s="5" t="s">
        <v>3844</v>
      </c>
      <c r="AF477" s="5" t="s">
        <v>4481</v>
      </c>
      <c r="AG477" s="5" t="s">
        <v>4485</v>
      </c>
      <c r="AH477" s="5" t="s">
        <v>4489</v>
      </c>
      <c r="AI477" s="5" t="s">
        <v>4304</v>
      </c>
      <c r="AJ477" s="5" t="s">
        <v>4305</v>
      </c>
      <c r="AK477" s="5" t="s">
        <v>4306</v>
      </c>
      <c r="AL477" s="5" t="s">
        <v>3858</v>
      </c>
    </row>
    <row r="478" spans="1:38" s="20" customFormat="1" x14ac:dyDescent="0.3">
      <c r="A478" s="16">
        <v>45716</v>
      </c>
      <c r="B478" s="17" t="s">
        <v>1747</v>
      </c>
      <c r="C478" s="17" t="s">
        <v>1748</v>
      </c>
      <c r="D478" s="17" t="s">
        <v>1749</v>
      </c>
      <c r="E478" s="17" t="s">
        <v>4494</v>
      </c>
      <c r="F478" s="17"/>
      <c r="G478" s="17" t="s">
        <v>24</v>
      </c>
      <c r="H478" s="17" t="s">
        <v>256</v>
      </c>
      <c r="I478" s="17" t="s">
        <v>899</v>
      </c>
      <c r="J478" s="17" t="s">
        <v>23</v>
      </c>
      <c r="K478" s="16">
        <v>40575</v>
      </c>
      <c r="L478" s="16">
        <v>40575</v>
      </c>
      <c r="M478" s="18">
        <f t="shared" si="63"/>
        <v>14</v>
      </c>
      <c r="N478" s="16" t="str">
        <f t="shared" si="65"/>
        <v>] 10 ; 15 ]</v>
      </c>
      <c r="O478" s="17" t="s">
        <v>3786</v>
      </c>
      <c r="P478" s="17" t="s">
        <v>3786</v>
      </c>
      <c r="Q478" s="17">
        <v>2</v>
      </c>
      <c r="R478" s="5" t="str">
        <f t="shared" si="66"/>
        <v>Specialisation</v>
      </c>
      <c r="S478" s="17" t="s">
        <v>3789</v>
      </c>
      <c r="T478" s="16">
        <v>31059</v>
      </c>
      <c r="U478" s="17">
        <f t="shared" si="67"/>
        <v>1985</v>
      </c>
      <c r="V478" s="17" t="s">
        <v>3793</v>
      </c>
      <c r="W478" s="18">
        <f t="shared" si="64"/>
        <v>40</v>
      </c>
      <c r="X478" s="17" t="str">
        <f t="shared" si="68"/>
        <v>[40 - 44 ans]</v>
      </c>
      <c r="Y478" s="17" t="str">
        <f t="shared" si="69"/>
        <v xml:space="preserve"> Mellenials </v>
      </c>
      <c r="Z478" s="18">
        <f t="shared" si="70"/>
        <v>20</v>
      </c>
      <c r="AA478" s="17" t="str">
        <f t="shared" si="71"/>
        <v>RAS</v>
      </c>
      <c r="AB478" s="17" t="s">
        <v>3805</v>
      </c>
      <c r="AC478" s="19" t="s">
        <v>3799</v>
      </c>
      <c r="AD478" s="17"/>
      <c r="AE478" s="17" t="s">
        <v>3844</v>
      </c>
      <c r="AF478" s="17" t="s">
        <v>4482</v>
      </c>
      <c r="AG478" s="17" t="s">
        <v>4485</v>
      </c>
      <c r="AH478" s="17" t="s">
        <v>4488</v>
      </c>
      <c r="AI478" s="17" t="s">
        <v>4218</v>
      </c>
      <c r="AJ478" s="17" t="s">
        <v>4248</v>
      </c>
      <c r="AK478" s="17" t="s">
        <v>3983</v>
      </c>
      <c r="AL478" s="17" t="s">
        <v>3858</v>
      </c>
    </row>
    <row r="479" spans="1:38" x14ac:dyDescent="0.3">
      <c r="A479" s="4">
        <v>45716</v>
      </c>
      <c r="B479" s="5" t="s">
        <v>1750</v>
      </c>
      <c r="C479" s="5" t="s">
        <v>1751</v>
      </c>
      <c r="D479" s="5" t="s">
        <v>1752</v>
      </c>
      <c r="E479" s="5" t="s">
        <v>4494</v>
      </c>
      <c r="G479" s="5" t="s">
        <v>88</v>
      </c>
      <c r="H479" s="5" t="s">
        <v>456</v>
      </c>
      <c r="I479" s="5" t="s">
        <v>1397</v>
      </c>
      <c r="J479" s="5" t="s">
        <v>883</v>
      </c>
      <c r="K479" s="4">
        <v>40575</v>
      </c>
      <c r="L479" s="4">
        <v>40575</v>
      </c>
      <c r="M479" s="9">
        <f t="shared" si="63"/>
        <v>14</v>
      </c>
      <c r="N479" s="4" t="str">
        <f t="shared" si="65"/>
        <v>] 10 ; 15 ]</v>
      </c>
      <c r="O479" s="5" t="s">
        <v>3780</v>
      </c>
      <c r="P479" s="5" t="s">
        <v>3786</v>
      </c>
      <c r="Q479" s="5">
        <v>1</v>
      </c>
      <c r="R479" s="5" t="str">
        <f t="shared" si="66"/>
        <v>Qualification</v>
      </c>
      <c r="S479" s="5" t="s">
        <v>3789</v>
      </c>
      <c r="T479" s="4">
        <v>30801</v>
      </c>
      <c r="U479" s="5">
        <f t="shared" si="67"/>
        <v>1984</v>
      </c>
      <c r="V479" s="5" t="s">
        <v>3793</v>
      </c>
      <c r="W479" s="9">
        <f t="shared" si="64"/>
        <v>40</v>
      </c>
      <c r="X479" s="5" t="str">
        <f t="shared" si="68"/>
        <v>[40 - 44 ans]</v>
      </c>
      <c r="Y479" s="5" t="str">
        <f t="shared" si="69"/>
        <v xml:space="preserve"> Mellenials </v>
      </c>
      <c r="Z479" s="9">
        <f t="shared" si="70"/>
        <v>20</v>
      </c>
      <c r="AA479" s="5" t="str">
        <f t="shared" si="71"/>
        <v>RAS</v>
      </c>
      <c r="AB479" s="5" t="s">
        <v>3833</v>
      </c>
      <c r="AC479" s="6" t="s">
        <v>3801</v>
      </c>
      <c r="AE479" s="5" t="s">
        <v>3844</v>
      </c>
      <c r="AF479" s="5" t="s">
        <v>4482</v>
      </c>
      <c r="AG479" s="5" t="s">
        <v>4485</v>
      </c>
      <c r="AH479" s="5" t="s">
        <v>4488</v>
      </c>
      <c r="AI479" s="5" t="s">
        <v>4301</v>
      </c>
      <c r="AJ479" s="5" t="s">
        <v>4302</v>
      </c>
      <c r="AK479" s="5" t="s">
        <v>4303</v>
      </c>
      <c r="AL479" s="5" t="s">
        <v>3858</v>
      </c>
    </row>
    <row r="480" spans="1:38" x14ac:dyDescent="0.3">
      <c r="A480" s="4">
        <v>45716</v>
      </c>
      <c r="B480" s="5" t="s">
        <v>1753</v>
      </c>
      <c r="C480" s="5" t="s">
        <v>1754</v>
      </c>
      <c r="D480" s="5" t="s">
        <v>1755</v>
      </c>
      <c r="E480" s="5" t="s">
        <v>4494</v>
      </c>
      <c r="G480" s="5" t="s">
        <v>24</v>
      </c>
      <c r="H480" s="5" t="s">
        <v>256</v>
      </c>
      <c r="I480" s="5" t="s">
        <v>318</v>
      </c>
      <c r="J480" s="5" t="s">
        <v>23</v>
      </c>
      <c r="K480" s="4">
        <v>40575</v>
      </c>
      <c r="L480" s="4">
        <v>40575</v>
      </c>
      <c r="M480" s="9">
        <f t="shared" si="63"/>
        <v>14</v>
      </c>
      <c r="N480" s="4" t="str">
        <f t="shared" si="65"/>
        <v>] 10 ; 15 ]</v>
      </c>
      <c r="O480" s="5" t="s">
        <v>3786</v>
      </c>
      <c r="P480" s="5" t="s">
        <v>3786</v>
      </c>
      <c r="Q480" s="5">
        <v>2</v>
      </c>
      <c r="R480" s="5" t="str">
        <f t="shared" si="66"/>
        <v>Specialisation</v>
      </c>
      <c r="S480" s="5" t="s">
        <v>3790</v>
      </c>
      <c r="T480" s="4">
        <v>30914</v>
      </c>
      <c r="U480" s="5">
        <f t="shared" si="67"/>
        <v>1984</v>
      </c>
      <c r="V480" s="5" t="s">
        <v>3792</v>
      </c>
      <c r="W480" s="9">
        <f t="shared" si="64"/>
        <v>40</v>
      </c>
      <c r="X480" s="5" t="str">
        <f t="shared" si="68"/>
        <v>[40 - 44 ans]</v>
      </c>
      <c r="Y480" s="5" t="str">
        <f t="shared" si="69"/>
        <v xml:space="preserve"> Mellenials </v>
      </c>
      <c r="Z480" s="9">
        <f t="shared" si="70"/>
        <v>20</v>
      </c>
      <c r="AA480" s="5" t="str">
        <f t="shared" si="71"/>
        <v>RAS</v>
      </c>
      <c r="AB480" s="5" t="s">
        <v>3810</v>
      </c>
      <c r="AC480" s="6" t="s">
        <v>3801</v>
      </c>
      <c r="AE480" s="5" t="s">
        <v>3844</v>
      </c>
      <c r="AF480" s="5" t="s">
        <v>4482</v>
      </c>
      <c r="AG480" s="5" t="s">
        <v>4485</v>
      </c>
      <c r="AH480" s="5" t="s">
        <v>4488</v>
      </c>
      <c r="AI480" s="5" t="s">
        <v>4144</v>
      </c>
      <c r="AJ480" s="5" t="s">
        <v>4145</v>
      </c>
      <c r="AK480" s="5" t="s">
        <v>3983</v>
      </c>
      <c r="AL480" s="5" t="s">
        <v>3858</v>
      </c>
    </row>
    <row r="481" spans="1:38" x14ac:dyDescent="0.3">
      <c r="A481" s="4">
        <v>45716</v>
      </c>
      <c r="B481" s="5" t="s">
        <v>1756</v>
      </c>
      <c r="C481" s="5" t="s">
        <v>1757</v>
      </c>
      <c r="D481" s="5" t="s">
        <v>1758</v>
      </c>
      <c r="E481" s="5" t="s">
        <v>4494</v>
      </c>
      <c r="G481" s="5" t="s">
        <v>88</v>
      </c>
      <c r="H481" s="5" t="s">
        <v>706</v>
      </c>
      <c r="I481" s="5" t="s">
        <v>1397</v>
      </c>
      <c r="J481" s="5" t="s">
        <v>883</v>
      </c>
      <c r="K481" s="4">
        <v>40575</v>
      </c>
      <c r="L481" s="4">
        <v>40575</v>
      </c>
      <c r="M481" s="9">
        <f t="shared" si="63"/>
        <v>14</v>
      </c>
      <c r="N481" s="4" t="str">
        <f t="shared" si="65"/>
        <v>] 10 ; 15 ]</v>
      </c>
      <c r="O481" s="5" t="s">
        <v>3786</v>
      </c>
      <c r="P481" s="5" t="s">
        <v>3786</v>
      </c>
      <c r="Q481" s="5">
        <v>2</v>
      </c>
      <c r="R481" s="5" t="str">
        <f t="shared" si="66"/>
        <v>Specialisation</v>
      </c>
      <c r="S481" s="5" t="s">
        <v>3790</v>
      </c>
      <c r="T481" s="4">
        <v>30419</v>
      </c>
      <c r="U481" s="5">
        <f t="shared" si="67"/>
        <v>1983</v>
      </c>
      <c r="V481" s="5" t="s">
        <v>3792</v>
      </c>
      <c r="W481" s="9">
        <f t="shared" si="64"/>
        <v>41</v>
      </c>
      <c r="X481" s="5" t="str">
        <f t="shared" si="68"/>
        <v>[40 - 44 ans]</v>
      </c>
      <c r="Y481" s="5" t="str">
        <f t="shared" si="69"/>
        <v xml:space="preserve"> Mellenials </v>
      </c>
      <c r="Z481" s="9">
        <f t="shared" si="70"/>
        <v>19</v>
      </c>
      <c r="AA481" s="5" t="str">
        <f t="shared" si="71"/>
        <v>RAS</v>
      </c>
      <c r="AB481" s="5" t="s">
        <v>3833</v>
      </c>
      <c r="AC481" s="6" t="s">
        <v>3801</v>
      </c>
      <c r="AE481" s="5" t="s">
        <v>3844</v>
      </c>
      <c r="AF481" s="5" t="s">
        <v>4482</v>
      </c>
      <c r="AG481" s="5" t="s">
        <v>4485</v>
      </c>
      <c r="AH481" s="5" t="s">
        <v>4488</v>
      </c>
      <c r="AI481" s="5" t="s">
        <v>4301</v>
      </c>
      <c r="AJ481" s="5" t="s">
        <v>4302</v>
      </c>
      <c r="AK481" s="5" t="s">
        <v>4303</v>
      </c>
      <c r="AL481" s="5" t="s">
        <v>3858</v>
      </c>
    </row>
    <row r="482" spans="1:38" x14ac:dyDescent="0.3">
      <c r="A482" s="4">
        <v>45716</v>
      </c>
      <c r="B482" s="5" t="s">
        <v>1759</v>
      </c>
      <c r="C482" s="5" t="s">
        <v>1760</v>
      </c>
      <c r="D482" s="5" t="s">
        <v>1761</v>
      </c>
      <c r="E482" s="5" t="s">
        <v>4494</v>
      </c>
      <c r="G482" s="5" t="s">
        <v>1762</v>
      </c>
      <c r="H482" s="5" t="s">
        <v>1763</v>
      </c>
      <c r="I482" s="5" t="s">
        <v>2205</v>
      </c>
      <c r="J482" s="5" t="s">
        <v>1857</v>
      </c>
      <c r="K482" s="4">
        <v>40575</v>
      </c>
      <c r="L482" s="4">
        <v>40575</v>
      </c>
      <c r="M482" s="9">
        <f t="shared" si="63"/>
        <v>14</v>
      </c>
      <c r="N482" s="4" t="str">
        <f t="shared" si="65"/>
        <v>] 10 ; 15 ]</v>
      </c>
      <c r="O482" s="5" t="s">
        <v>3785</v>
      </c>
      <c r="P482" s="5" t="s">
        <v>3785</v>
      </c>
      <c r="Q482" s="5">
        <v>2</v>
      </c>
      <c r="R482" s="5" t="str">
        <f t="shared" si="66"/>
        <v>Specialisation</v>
      </c>
      <c r="S482" s="5" t="s">
        <v>3790</v>
      </c>
      <c r="T482" s="4">
        <v>32110</v>
      </c>
      <c r="U482" s="5">
        <f t="shared" si="67"/>
        <v>1987</v>
      </c>
      <c r="V482" s="5" t="s">
        <v>3793</v>
      </c>
      <c r="W482" s="9">
        <f t="shared" si="64"/>
        <v>37</v>
      </c>
      <c r="X482" s="5" t="str">
        <f t="shared" si="68"/>
        <v>[35 - 39 ans ]</v>
      </c>
      <c r="Y482" s="5" t="str">
        <f t="shared" si="69"/>
        <v xml:space="preserve"> Mellenials </v>
      </c>
      <c r="Z482" s="9">
        <f t="shared" si="70"/>
        <v>23</v>
      </c>
      <c r="AA482" s="5" t="str">
        <f t="shared" si="71"/>
        <v>RAS</v>
      </c>
      <c r="AB482" s="5" t="s">
        <v>3806</v>
      </c>
      <c r="AC482" s="6" t="s">
        <v>3799</v>
      </c>
      <c r="AE482" s="5" t="s">
        <v>3844</v>
      </c>
      <c r="AF482" s="5" t="s">
        <v>4481</v>
      </c>
      <c r="AG482" s="5" t="s">
        <v>4485</v>
      </c>
      <c r="AH482" s="5" t="s">
        <v>4488</v>
      </c>
      <c r="AI482" s="5" t="s">
        <v>4355</v>
      </c>
      <c r="AJ482" s="5" t="s">
        <v>4356</v>
      </c>
      <c r="AK482" s="5">
        <v>12120</v>
      </c>
      <c r="AL482" s="5" t="s">
        <v>3858</v>
      </c>
    </row>
    <row r="483" spans="1:38" x14ac:dyDescent="0.3">
      <c r="A483" s="4">
        <v>45716</v>
      </c>
      <c r="B483" s="5" t="s">
        <v>1764</v>
      </c>
      <c r="C483" s="5" t="s">
        <v>1765</v>
      </c>
      <c r="D483" s="5" t="s">
        <v>1766</v>
      </c>
      <c r="E483" s="5" t="s">
        <v>4494</v>
      </c>
      <c r="G483" s="5" t="s">
        <v>39</v>
      </c>
      <c r="H483" s="5" t="s">
        <v>471</v>
      </c>
      <c r="I483" s="5" t="s">
        <v>1835</v>
      </c>
      <c r="J483" s="5" t="s">
        <v>48</v>
      </c>
      <c r="K483" s="4">
        <v>40575</v>
      </c>
      <c r="L483" s="4">
        <v>38719.041666666664</v>
      </c>
      <c r="M483" s="9">
        <f t="shared" si="63"/>
        <v>19</v>
      </c>
      <c r="N483" s="4" t="str">
        <f t="shared" si="65"/>
        <v>] 15 ; +oo [</v>
      </c>
      <c r="O483" s="5" t="s">
        <v>3786</v>
      </c>
      <c r="P483" s="5" t="s">
        <v>3783</v>
      </c>
      <c r="Q483" s="5">
        <v>1</v>
      </c>
      <c r="R483" s="5" t="str">
        <f t="shared" si="66"/>
        <v>Specialisation</v>
      </c>
      <c r="S483" s="5" t="s">
        <v>3789</v>
      </c>
      <c r="T483" s="4">
        <v>29066</v>
      </c>
      <c r="U483" s="5">
        <f t="shared" si="67"/>
        <v>1979</v>
      </c>
      <c r="V483" s="5" t="s">
        <v>3793</v>
      </c>
      <c r="W483" s="9">
        <f t="shared" si="64"/>
        <v>45</v>
      </c>
      <c r="X483" s="5" t="str">
        <f t="shared" si="68"/>
        <v>[45 - 49 ans]</v>
      </c>
      <c r="Y483" s="5" t="str">
        <f t="shared" si="69"/>
        <v xml:space="preserve"> Generation X </v>
      </c>
      <c r="Z483" s="9">
        <f t="shared" si="70"/>
        <v>15</v>
      </c>
      <c r="AA483" s="5" t="str">
        <f t="shared" si="71"/>
        <v>RAS</v>
      </c>
      <c r="AB483" s="5" t="s">
        <v>3807</v>
      </c>
      <c r="AC483" s="6" t="s">
        <v>3799</v>
      </c>
      <c r="AE483" s="5" t="s">
        <v>3844</v>
      </c>
      <c r="AF483" s="5" t="s">
        <v>4482</v>
      </c>
      <c r="AG483" s="5" t="s">
        <v>4485</v>
      </c>
      <c r="AH483" s="5" t="s">
        <v>4489</v>
      </c>
      <c r="AI483" s="5" t="s">
        <v>4078</v>
      </c>
      <c r="AJ483" s="5" t="s">
        <v>4079</v>
      </c>
      <c r="AK483" s="5" t="s">
        <v>4080</v>
      </c>
      <c r="AL483" s="5" t="s">
        <v>3858</v>
      </c>
    </row>
    <row r="484" spans="1:38" x14ac:dyDescent="0.3">
      <c r="A484" s="4">
        <v>45716</v>
      </c>
      <c r="B484" s="5" t="s">
        <v>1767</v>
      </c>
      <c r="C484" s="5" t="s">
        <v>1768</v>
      </c>
      <c r="D484" s="5" t="s">
        <v>1769</v>
      </c>
      <c r="E484" s="5" t="s">
        <v>4494</v>
      </c>
      <c r="G484" s="5" t="s">
        <v>39</v>
      </c>
      <c r="H484" s="5" t="s">
        <v>1770</v>
      </c>
      <c r="I484" s="5" t="s">
        <v>3274</v>
      </c>
      <c r="J484" s="5" t="s">
        <v>1256</v>
      </c>
      <c r="K484" s="4">
        <v>40575</v>
      </c>
      <c r="L484" s="4">
        <v>39006.041666666664</v>
      </c>
      <c r="M484" s="9">
        <f t="shared" si="63"/>
        <v>18</v>
      </c>
      <c r="N484" s="4" t="str">
        <f t="shared" si="65"/>
        <v>] 15 ; +oo [</v>
      </c>
      <c r="O484" s="5" t="s">
        <v>3785</v>
      </c>
      <c r="P484" s="5" t="s">
        <v>3785</v>
      </c>
      <c r="Q484" s="5">
        <v>2</v>
      </c>
      <c r="R484" s="5" t="str">
        <f t="shared" si="66"/>
        <v>Specialisation</v>
      </c>
      <c r="S484" s="5" t="s">
        <v>3789</v>
      </c>
      <c r="T484" s="4">
        <v>29874</v>
      </c>
      <c r="U484" s="5">
        <f t="shared" si="67"/>
        <v>1981</v>
      </c>
      <c r="V484" s="5" t="s">
        <v>3792</v>
      </c>
      <c r="W484" s="9">
        <f t="shared" si="64"/>
        <v>43</v>
      </c>
      <c r="X484" s="5" t="str">
        <f t="shared" si="68"/>
        <v>[40 - 44 ans]</v>
      </c>
      <c r="Y484" s="5" t="str">
        <f t="shared" si="69"/>
        <v xml:space="preserve"> Mellenials </v>
      </c>
      <c r="Z484" s="9">
        <f t="shared" si="70"/>
        <v>17</v>
      </c>
      <c r="AA484" s="5" t="str">
        <f t="shared" si="71"/>
        <v>RAS</v>
      </c>
      <c r="AB484" s="5" t="s">
        <v>3807</v>
      </c>
      <c r="AC484" s="6" t="s">
        <v>3799</v>
      </c>
      <c r="AE484" s="5" t="s">
        <v>3844</v>
      </c>
      <c r="AF484" s="5" t="s">
        <v>4481</v>
      </c>
      <c r="AG484" s="5" t="s">
        <v>4485</v>
      </c>
      <c r="AH484" s="5" t="s">
        <v>4489</v>
      </c>
      <c r="AI484" s="5" t="s">
        <v>4357</v>
      </c>
      <c r="AJ484" s="5" t="s">
        <v>4358</v>
      </c>
      <c r="AK484" s="5" t="s">
        <v>4280</v>
      </c>
      <c r="AL484" s="5" t="s">
        <v>3858</v>
      </c>
    </row>
    <row r="485" spans="1:38" x14ac:dyDescent="0.3">
      <c r="A485" s="4">
        <v>45716</v>
      </c>
      <c r="B485" s="5" t="s">
        <v>1771</v>
      </c>
      <c r="C485" s="5" t="s">
        <v>1772</v>
      </c>
      <c r="D485" s="5" t="s">
        <v>1773</v>
      </c>
      <c r="E485" s="5" t="s">
        <v>4494</v>
      </c>
      <c r="G485" s="5" t="s">
        <v>39</v>
      </c>
      <c r="H485" s="5" t="s">
        <v>471</v>
      </c>
      <c r="I485" s="5" t="s">
        <v>1835</v>
      </c>
      <c r="J485" s="5" t="s">
        <v>48</v>
      </c>
      <c r="K485" s="4">
        <v>40575</v>
      </c>
      <c r="L485" s="4">
        <v>39230.041666666664</v>
      </c>
      <c r="M485" s="9">
        <f t="shared" si="63"/>
        <v>17</v>
      </c>
      <c r="N485" s="4" t="str">
        <f t="shared" si="65"/>
        <v>] 15 ; +oo [</v>
      </c>
      <c r="O485" s="5" t="s">
        <v>3786</v>
      </c>
      <c r="P485" s="5" t="s">
        <v>3783</v>
      </c>
      <c r="Q485" s="5">
        <v>1</v>
      </c>
      <c r="R485" s="5" t="str">
        <f t="shared" si="66"/>
        <v>Specialisation</v>
      </c>
      <c r="S485" s="5" t="s">
        <v>3789</v>
      </c>
      <c r="T485" s="4">
        <v>30350</v>
      </c>
      <c r="U485" s="5">
        <f t="shared" si="67"/>
        <v>1983</v>
      </c>
      <c r="V485" s="5" t="s">
        <v>3793</v>
      </c>
      <c r="W485" s="9">
        <f t="shared" si="64"/>
        <v>42</v>
      </c>
      <c r="X485" s="5" t="str">
        <f t="shared" si="68"/>
        <v>[40 - 44 ans]</v>
      </c>
      <c r="Y485" s="5" t="str">
        <f t="shared" si="69"/>
        <v xml:space="preserve"> Mellenials </v>
      </c>
      <c r="Z485" s="9">
        <f t="shared" si="70"/>
        <v>18</v>
      </c>
      <c r="AA485" s="5" t="str">
        <f t="shared" si="71"/>
        <v>RAS</v>
      </c>
      <c r="AB485" s="5" t="s">
        <v>3832</v>
      </c>
      <c r="AC485" s="6" t="s">
        <v>3801</v>
      </c>
      <c r="AE485" s="5" t="s">
        <v>3844</v>
      </c>
      <c r="AF485" s="5" t="s">
        <v>4482</v>
      </c>
      <c r="AG485" s="5" t="s">
        <v>4485</v>
      </c>
      <c r="AH485" s="5" t="s">
        <v>4489</v>
      </c>
      <c r="AI485" s="5" t="s">
        <v>4078</v>
      </c>
      <c r="AJ485" s="5" t="s">
        <v>4079</v>
      </c>
      <c r="AK485" s="5" t="s">
        <v>4080</v>
      </c>
      <c r="AL485" s="5" t="s">
        <v>3858</v>
      </c>
    </row>
    <row r="486" spans="1:38" x14ac:dyDescent="0.3">
      <c r="A486" s="4">
        <v>45716</v>
      </c>
      <c r="B486" s="5" t="s">
        <v>1774</v>
      </c>
      <c r="C486" s="5" t="s">
        <v>1775</v>
      </c>
      <c r="D486" s="5" t="s">
        <v>1776</v>
      </c>
      <c r="E486" s="5" t="s">
        <v>4494</v>
      </c>
      <c r="G486" s="5" t="s">
        <v>39</v>
      </c>
      <c r="H486" s="5" t="s">
        <v>471</v>
      </c>
      <c r="I486" s="5" t="s">
        <v>1835</v>
      </c>
      <c r="J486" s="5" t="s">
        <v>48</v>
      </c>
      <c r="K486" s="4">
        <v>40575</v>
      </c>
      <c r="L486" s="4">
        <v>39377</v>
      </c>
      <c r="M486" s="9">
        <f t="shared" si="63"/>
        <v>17</v>
      </c>
      <c r="N486" s="4" t="str">
        <f t="shared" si="65"/>
        <v>] 15 ; +oo [</v>
      </c>
      <c r="O486" s="5" t="s">
        <v>3786</v>
      </c>
      <c r="P486" s="5" t="s">
        <v>3783</v>
      </c>
      <c r="Q486" s="5">
        <v>1</v>
      </c>
      <c r="R486" s="5" t="str">
        <f t="shared" si="66"/>
        <v>Specialisation</v>
      </c>
      <c r="S486" s="5" t="s">
        <v>3789</v>
      </c>
      <c r="T486" s="4">
        <v>29009</v>
      </c>
      <c r="U486" s="5">
        <f t="shared" si="67"/>
        <v>1979</v>
      </c>
      <c r="V486" s="5" t="s">
        <v>3793</v>
      </c>
      <c r="W486" s="9">
        <f t="shared" si="64"/>
        <v>45</v>
      </c>
      <c r="X486" s="5" t="str">
        <f t="shared" si="68"/>
        <v>[45 - 49 ans]</v>
      </c>
      <c r="Y486" s="5" t="str">
        <f t="shared" si="69"/>
        <v xml:space="preserve"> Generation X </v>
      </c>
      <c r="Z486" s="9">
        <f t="shared" si="70"/>
        <v>15</v>
      </c>
      <c r="AA486" s="5" t="str">
        <f t="shared" si="71"/>
        <v>RAS</v>
      </c>
      <c r="AB486" s="5" t="s">
        <v>3807</v>
      </c>
      <c r="AC486" s="6" t="s">
        <v>3799</v>
      </c>
      <c r="AE486" s="5" t="s">
        <v>3844</v>
      </c>
      <c r="AF486" s="5" t="s">
        <v>4482</v>
      </c>
      <c r="AG486" s="5" t="s">
        <v>4485</v>
      </c>
      <c r="AH486" s="5" t="s">
        <v>4489</v>
      </c>
      <c r="AI486" s="5" t="s">
        <v>4078</v>
      </c>
      <c r="AJ486" s="5" t="s">
        <v>4079</v>
      </c>
      <c r="AK486" s="5" t="s">
        <v>4080</v>
      </c>
      <c r="AL486" s="5" t="s">
        <v>3858</v>
      </c>
    </row>
    <row r="487" spans="1:38" x14ac:dyDescent="0.3">
      <c r="A487" s="4">
        <v>45716</v>
      </c>
      <c r="B487" s="5" t="s">
        <v>1777</v>
      </c>
      <c r="C487" s="5" t="s">
        <v>1778</v>
      </c>
      <c r="D487" s="5" t="s">
        <v>1779</v>
      </c>
      <c r="E487" s="5" t="s">
        <v>4494</v>
      </c>
      <c r="G487" s="5" t="s">
        <v>39</v>
      </c>
      <c r="H487" s="5" t="s">
        <v>471</v>
      </c>
      <c r="I487" s="5" t="s">
        <v>1835</v>
      </c>
      <c r="J487" s="5" t="s">
        <v>48</v>
      </c>
      <c r="K487" s="4">
        <v>40575</v>
      </c>
      <c r="L487" s="4">
        <v>39511</v>
      </c>
      <c r="M487" s="9">
        <f t="shared" si="63"/>
        <v>16</v>
      </c>
      <c r="N487" s="4" t="str">
        <f t="shared" si="65"/>
        <v>] 15 ; +oo [</v>
      </c>
      <c r="O487" s="5" t="s">
        <v>3786</v>
      </c>
      <c r="P487" s="5" t="s">
        <v>3783</v>
      </c>
      <c r="Q487" s="5">
        <v>1</v>
      </c>
      <c r="R487" s="5" t="str">
        <f t="shared" si="66"/>
        <v>Specialisation</v>
      </c>
      <c r="S487" s="5" t="s">
        <v>3789</v>
      </c>
      <c r="T487" s="4">
        <v>31119</v>
      </c>
      <c r="U487" s="5">
        <f t="shared" si="67"/>
        <v>1985</v>
      </c>
      <c r="V487" s="5" t="s">
        <v>3793</v>
      </c>
      <c r="W487" s="9">
        <f t="shared" si="64"/>
        <v>39</v>
      </c>
      <c r="X487" s="5" t="str">
        <f t="shared" si="68"/>
        <v>[35 - 39 ans ]</v>
      </c>
      <c r="Y487" s="5" t="str">
        <f t="shared" si="69"/>
        <v xml:space="preserve"> Mellenials </v>
      </c>
      <c r="Z487" s="9">
        <f t="shared" si="70"/>
        <v>21</v>
      </c>
      <c r="AA487" s="5" t="str">
        <f t="shared" si="71"/>
        <v>RAS</v>
      </c>
      <c r="AB487" s="5" t="s">
        <v>3819</v>
      </c>
      <c r="AC487" s="6" t="s">
        <v>3802</v>
      </c>
      <c r="AE487" s="5" t="s">
        <v>3844</v>
      </c>
      <c r="AF487" s="5" t="s">
        <v>4482</v>
      </c>
      <c r="AG487" s="5" t="s">
        <v>4485</v>
      </c>
      <c r="AH487" s="5" t="s">
        <v>4489</v>
      </c>
      <c r="AI487" s="5" t="s">
        <v>4078</v>
      </c>
      <c r="AJ487" s="5" t="s">
        <v>4079</v>
      </c>
      <c r="AK487" s="5" t="s">
        <v>4080</v>
      </c>
      <c r="AL487" s="5" t="s">
        <v>3858</v>
      </c>
    </row>
    <row r="488" spans="1:38" x14ac:dyDescent="0.3">
      <c r="A488" s="4">
        <v>45716</v>
      </c>
      <c r="B488" s="5" t="s">
        <v>1780</v>
      </c>
      <c r="C488" s="5" t="s">
        <v>1781</v>
      </c>
      <c r="D488" s="5" t="s">
        <v>1782</v>
      </c>
      <c r="E488" s="5" t="s">
        <v>4494</v>
      </c>
      <c r="G488" s="5" t="s">
        <v>39</v>
      </c>
      <c r="H488" s="5" t="s">
        <v>471</v>
      </c>
      <c r="I488" s="5" t="s">
        <v>1835</v>
      </c>
      <c r="J488" s="5" t="s">
        <v>48</v>
      </c>
      <c r="K488" s="4">
        <v>40575</v>
      </c>
      <c r="L488" s="4">
        <v>39539</v>
      </c>
      <c r="M488" s="9">
        <f t="shared" si="63"/>
        <v>16</v>
      </c>
      <c r="N488" s="4" t="str">
        <f t="shared" si="65"/>
        <v>] 15 ; +oo [</v>
      </c>
      <c r="O488" s="5" t="s">
        <v>3786</v>
      </c>
      <c r="P488" s="5" t="s">
        <v>3783</v>
      </c>
      <c r="Q488" s="5">
        <v>1</v>
      </c>
      <c r="R488" s="5" t="str">
        <f t="shared" si="66"/>
        <v>Specialisation</v>
      </c>
      <c r="S488" s="5" t="s">
        <v>3789</v>
      </c>
      <c r="T488" s="4">
        <v>30388</v>
      </c>
      <c r="U488" s="5">
        <f t="shared" si="67"/>
        <v>1983</v>
      </c>
      <c r="V488" s="5" t="s">
        <v>3793</v>
      </c>
      <c r="W488" s="9">
        <f t="shared" si="64"/>
        <v>41</v>
      </c>
      <c r="X488" s="5" t="str">
        <f t="shared" si="68"/>
        <v>[40 - 44 ans]</v>
      </c>
      <c r="Y488" s="5" t="str">
        <f t="shared" si="69"/>
        <v xml:space="preserve"> Mellenials </v>
      </c>
      <c r="Z488" s="9">
        <f t="shared" si="70"/>
        <v>19</v>
      </c>
      <c r="AA488" s="5" t="str">
        <f t="shared" si="71"/>
        <v>RAS</v>
      </c>
      <c r="AB488" s="5" t="s">
        <v>3820</v>
      </c>
      <c r="AC488" s="6" t="s">
        <v>3800</v>
      </c>
      <c r="AE488" s="5" t="s">
        <v>3844</v>
      </c>
      <c r="AF488" s="5" t="s">
        <v>4482</v>
      </c>
      <c r="AG488" s="5" t="s">
        <v>4485</v>
      </c>
      <c r="AH488" s="5" t="s">
        <v>4489</v>
      </c>
      <c r="AI488" s="5" t="s">
        <v>4078</v>
      </c>
      <c r="AJ488" s="5" t="s">
        <v>4079</v>
      </c>
      <c r="AK488" s="5" t="s">
        <v>4080</v>
      </c>
      <c r="AL488" s="5" t="s">
        <v>3858</v>
      </c>
    </row>
    <row r="489" spans="1:38" x14ac:dyDescent="0.3">
      <c r="A489" s="4">
        <v>45716</v>
      </c>
      <c r="B489" s="5" t="s">
        <v>1783</v>
      </c>
      <c r="C489" s="5" t="s">
        <v>1784</v>
      </c>
      <c r="D489" s="5" t="s">
        <v>1785</v>
      </c>
      <c r="E489" s="5" t="s">
        <v>4494</v>
      </c>
      <c r="G489" s="5" t="s">
        <v>39</v>
      </c>
      <c r="H489" s="5" t="s">
        <v>471</v>
      </c>
      <c r="I489" s="5" t="s">
        <v>1835</v>
      </c>
      <c r="J489" s="5" t="s">
        <v>48</v>
      </c>
      <c r="K489" s="4">
        <v>40575</v>
      </c>
      <c r="L489" s="4">
        <v>39573.041666666664</v>
      </c>
      <c r="M489" s="9">
        <f t="shared" si="63"/>
        <v>16</v>
      </c>
      <c r="N489" s="4" t="str">
        <f t="shared" si="65"/>
        <v>] 15 ; +oo [</v>
      </c>
      <c r="O489" s="5" t="s">
        <v>3786</v>
      </c>
      <c r="P489" s="5" t="s">
        <v>3783</v>
      </c>
      <c r="Q489" s="5">
        <v>1</v>
      </c>
      <c r="R489" s="5" t="str">
        <f t="shared" si="66"/>
        <v>Specialisation</v>
      </c>
      <c r="S489" s="5" t="s">
        <v>3789</v>
      </c>
      <c r="T489" s="4">
        <v>31797</v>
      </c>
      <c r="U489" s="5">
        <f t="shared" si="67"/>
        <v>1987</v>
      </c>
      <c r="V489" s="5" t="s">
        <v>3792</v>
      </c>
      <c r="W489" s="9">
        <f t="shared" si="64"/>
        <v>38</v>
      </c>
      <c r="X489" s="5" t="str">
        <f t="shared" si="68"/>
        <v>[35 - 39 ans ]</v>
      </c>
      <c r="Y489" s="5" t="str">
        <f t="shared" si="69"/>
        <v xml:space="preserve"> Mellenials </v>
      </c>
      <c r="Z489" s="9">
        <f t="shared" si="70"/>
        <v>22</v>
      </c>
      <c r="AA489" s="5" t="str">
        <f t="shared" si="71"/>
        <v>RAS</v>
      </c>
      <c r="AB489" s="5" t="s">
        <v>3831</v>
      </c>
      <c r="AC489" s="6" t="s">
        <v>3800</v>
      </c>
      <c r="AE489" s="5" t="s">
        <v>3844</v>
      </c>
      <c r="AF489" s="5" t="s">
        <v>4482</v>
      </c>
      <c r="AG489" s="5" t="s">
        <v>4485</v>
      </c>
      <c r="AH489" s="5" t="s">
        <v>4489</v>
      </c>
      <c r="AI489" s="5" t="s">
        <v>4078</v>
      </c>
      <c r="AJ489" s="5" t="s">
        <v>4079</v>
      </c>
      <c r="AK489" s="5" t="s">
        <v>4080</v>
      </c>
      <c r="AL489" s="5" t="s">
        <v>3858</v>
      </c>
    </row>
    <row r="490" spans="1:38" x14ac:dyDescent="0.3">
      <c r="A490" s="4">
        <v>45716</v>
      </c>
      <c r="B490" s="5" t="s">
        <v>1786</v>
      </c>
      <c r="C490" s="5" t="s">
        <v>1787</v>
      </c>
      <c r="D490" s="5" t="s">
        <v>1788</v>
      </c>
      <c r="E490" s="5" t="s">
        <v>4494</v>
      </c>
      <c r="G490" s="5" t="s">
        <v>39</v>
      </c>
      <c r="H490" s="5" t="s">
        <v>1789</v>
      </c>
      <c r="I490" s="5" t="s">
        <v>1698</v>
      </c>
      <c r="J490" s="5" t="s">
        <v>1256</v>
      </c>
      <c r="K490" s="4">
        <v>40575</v>
      </c>
      <c r="L490" s="4">
        <v>39671</v>
      </c>
      <c r="M490" s="9">
        <f t="shared" si="63"/>
        <v>16</v>
      </c>
      <c r="N490" s="4" t="str">
        <f t="shared" si="65"/>
        <v>] 15 ; +oo [</v>
      </c>
      <c r="O490" s="5" t="s">
        <v>3785</v>
      </c>
      <c r="P490" s="5" t="s">
        <v>3785</v>
      </c>
      <c r="Q490" s="5">
        <v>1</v>
      </c>
      <c r="R490" s="5" t="str">
        <f t="shared" si="66"/>
        <v>Specialisation</v>
      </c>
      <c r="S490" s="5" t="s">
        <v>3789</v>
      </c>
      <c r="T490" s="4">
        <v>30983</v>
      </c>
      <c r="U490" s="5">
        <f t="shared" si="67"/>
        <v>1984</v>
      </c>
      <c r="V490" s="5" t="s">
        <v>3793</v>
      </c>
      <c r="W490" s="9">
        <f t="shared" si="64"/>
        <v>40</v>
      </c>
      <c r="X490" s="5" t="str">
        <f t="shared" si="68"/>
        <v>[40 - 44 ans]</v>
      </c>
      <c r="Y490" s="5" t="str">
        <f t="shared" si="69"/>
        <v xml:space="preserve"> Mellenials </v>
      </c>
      <c r="Z490" s="9">
        <f t="shared" si="70"/>
        <v>20</v>
      </c>
      <c r="AA490" s="5" t="str">
        <f t="shared" si="71"/>
        <v>RAS</v>
      </c>
      <c r="AB490" s="5" t="s">
        <v>3832</v>
      </c>
      <c r="AC490" s="6" t="s">
        <v>3801</v>
      </c>
      <c r="AE490" s="5" t="s">
        <v>3844</v>
      </c>
      <c r="AF490" s="5" t="s">
        <v>4481</v>
      </c>
      <c r="AG490" s="5" t="s">
        <v>4485</v>
      </c>
      <c r="AH490" s="5" t="s">
        <v>4489</v>
      </c>
      <c r="AI490" s="5" t="s">
        <v>4231</v>
      </c>
      <c r="AJ490" s="5" t="s">
        <v>4349</v>
      </c>
      <c r="AK490" s="5" t="s">
        <v>4232</v>
      </c>
      <c r="AL490" s="5" t="s">
        <v>3858</v>
      </c>
    </row>
    <row r="491" spans="1:38" x14ac:dyDescent="0.3">
      <c r="A491" s="4">
        <v>45716</v>
      </c>
      <c r="B491" s="5" t="s">
        <v>1790</v>
      </c>
      <c r="C491" s="5" t="s">
        <v>1791</v>
      </c>
      <c r="D491" s="5" t="s">
        <v>1792</v>
      </c>
      <c r="E491" s="5" t="s">
        <v>4494</v>
      </c>
      <c r="G491" s="5" t="s">
        <v>39</v>
      </c>
      <c r="H491" s="5" t="s">
        <v>471</v>
      </c>
      <c r="I491" s="5" t="s">
        <v>1835</v>
      </c>
      <c r="J491" s="5" t="s">
        <v>48</v>
      </c>
      <c r="K491" s="4">
        <v>40575</v>
      </c>
      <c r="L491" s="4">
        <v>39671.041666666664</v>
      </c>
      <c r="M491" s="9">
        <f t="shared" si="63"/>
        <v>16</v>
      </c>
      <c r="N491" s="4" t="str">
        <f t="shared" si="65"/>
        <v>] 15 ; +oo [</v>
      </c>
      <c r="O491" s="5" t="s">
        <v>3786</v>
      </c>
      <c r="P491" s="5" t="s">
        <v>3783</v>
      </c>
      <c r="Q491" s="5">
        <v>1</v>
      </c>
      <c r="R491" s="5" t="str">
        <f t="shared" si="66"/>
        <v>Specialisation</v>
      </c>
      <c r="S491" s="5" t="s">
        <v>3789</v>
      </c>
      <c r="T491" s="4">
        <v>30974</v>
      </c>
      <c r="U491" s="5">
        <f t="shared" si="67"/>
        <v>1984</v>
      </c>
      <c r="V491" s="5" t="s">
        <v>3793</v>
      </c>
      <c r="W491" s="9">
        <f t="shared" si="64"/>
        <v>40</v>
      </c>
      <c r="X491" s="5" t="str">
        <f t="shared" si="68"/>
        <v>[40 - 44 ans]</v>
      </c>
      <c r="Y491" s="5" t="str">
        <f t="shared" si="69"/>
        <v xml:space="preserve"> Mellenials </v>
      </c>
      <c r="Z491" s="9">
        <f t="shared" si="70"/>
        <v>20</v>
      </c>
      <c r="AA491" s="5" t="str">
        <f t="shared" si="71"/>
        <v>RAS</v>
      </c>
      <c r="AB491" s="5" t="s">
        <v>3820</v>
      </c>
      <c r="AC491" s="6" t="s">
        <v>3800</v>
      </c>
      <c r="AE491" s="5" t="s">
        <v>3844</v>
      </c>
      <c r="AF491" s="5" t="s">
        <v>4482</v>
      </c>
      <c r="AG491" s="5" t="s">
        <v>4485</v>
      </c>
      <c r="AH491" s="5" t="s">
        <v>4489</v>
      </c>
      <c r="AI491" s="5" t="s">
        <v>4078</v>
      </c>
      <c r="AJ491" s="5" t="s">
        <v>4079</v>
      </c>
      <c r="AK491" s="5" t="s">
        <v>4080</v>
      </c>
      <c r="AL491" s="5" t="s">
        <v>3858</v>
      </c>
    </row>
    <row r="492" spans="1:38" x14ac:dyDescent="0.3">
      <c r="A492" s="4">
        <v>45716</v>
      </c>
      <c r="B492" s="5" t="s">
        <v>1793</v>
      </c>
      <c r="C492" s="5" t="s">
        <v>1794</v>
      </c>
      <c r="D492" s="5" t="s">
        <v>1795</v>
      </c>
      <c r="E492" s="5" t="s">
        <v>4494</v>
      </c>
      <c r="G492" s="5" t="s">
        <v>39</v>
      </c>
      <c r="H492" s="5" t="s">
        <v>1796</v>
      </c>
      <c r="I492" s="5" t="s">
        <v>52</v>
      </c>
      <c r="J492" s="5" t="s">
        <v>1218</v>
      </c>
      <c r="K492" s="4">
        <v>40575</v>
      </c>
      <c r="L492" s="4">
        <v>39328</v>
      </c>
      <c r="M492" s="9">
        <f t="shared" si="63"/>
        <v>17</v>
      </c>
      <c r="N492" s="4" t="str">
        <f t="shared" si="65"/>
        <v>] 15 ; +oo [</v>
      </c>
      <c r="O492" s="5" t="s">
        <v>3782</v>
      </c>
      <c r="P492" s="5" t="s">
        <v>3784</v>
      </c>
      <c r="Q492" s="5">
        <v>1</v>
      </c>
      <c r="R492" s="5" t="str">
        <f t="shared" si="66"/>
        <v>Management &amp; Expertise</v>
      </c>
      <c r="S492" s="5" t="s">
        <v>3789</v>
      </c>
      <c r="T492" s="4">
        <v>28986</v>
      </c>
      <c r="U492" s="5">
        <f t="shared" si="67"/>
        <v>1979</v>
      </c>
      <c r="V492" s="5" t="s">
        <v>3793</v>
      </c>
      <c r="W492" s="9">
        <f t="shared" si="64"/>
        <v>45</v>
      </c>
      <c r="X492" s="5" t="str">
        <f t="shared" si="68"/>
        <v>[45 - 49 ans]</v>
      </c>
      <c r="Y492" s="5" t="str">
        <f t="shared" si="69"/>
        <v xml:space="preserve"> Generation X </v>
      </c>
      <c r="Z492" s="9">
        <f t="shared" si="70"/>
        <v>15</v>
      </c>
      <c r="AA492" s="5" t="str">
        <f t="shared" si="71"/>
        <v>RAS</v>
      </c>
      <c r="AB492" s="5" t="s">
        <v>3807</v>
      </c>
      <c r="AC492" s="6" t="s">
        <v>3799</v>
      </c>
      <c r="AE492" s="5" t="s">
        <v>3845</v>
      </c>
      <c r="AF492" s="5" t="s">
        <v>4481</v>
      </c>
      <c r="AG492" s="5" t="s">
        <v>4485</v>
      </c>
      <c r="AH492" s="5" t="s">
        <v>4489</v>
      </c>
      <c r="AI492" s="5" t="s">
        <v>4146</v>
      </c>
      <c r="AJ492" s="5" t="s">
        <v>4147</v>
      </c>
      <c r="AK492" s="5" t="s">
        <v>4148</v>
      </c>
      <c r="AL492" s="5" t="s">
        <v>3854</v>
      </c>
    </row>
    <row r="493" spans="1:38" x14ac:dyDescent="0.3">
      <c r="A493" s="4">
        <v>45716</v>
      </c>
      <c r="B493" s="5" t="s">
        <v>1797</v>
      </c>
      <c r="C493" s="5" t="s">
        <v>1798</v>
      </c>
      <c r="D493" s="5" t="s">
        <v>1799</v>
      </c>
      <c r="E493" s="5" t="s">
        <v>4494</v>
      </c>
      <c r="G493" s="5" t="s">
        <v>83</v>
      </c>
      <c r="H493" s="5" t="s">
        <v>1800</v>
      </c>
      <c r="I493" s="5" t="s">
        <v>82</v>
      </c>
      <c r="J493" s="5" t="s">
        <v>2841</v>
      </c>
      <c r="K493" s="4">
        <v>40581</v>
      </c>
      <c r="L493" s="4">
        <v>40581</v>
      </c>
      <c r="M493" s="9">
        <f t="shared" si="63"/>
        <v>14</v>
      </c>
      <c r="N493" s="4" t="str">
        <f t="shared" si="65"/>
        <v>] 10 ; 15 ]</v>
      </c>
      <c r="O493" s="5" t="s">
        <v>3784</v>
      </c>
      <c r="P493" s="5" t="s">
        <v>3784</v>
      </c>
      <c r="Q493" s="5">
        <v>2</v>
      </c>
      <c r="R493" s="5" t="str">
        <f t="shared" si="66"/>
        <v>Management &amp; Expertise</v>
      </c>
      <c r="S493" s="5" t="s">
        <v>3789</v>
      </c>
      <c r="T493" s="4">
        <v>25569</v>
      </c>
      <c r="U493" s="5">
        <f t="shared" si="67"/>
        <v>1970</v>
      </c>
      <c r="V493" s="5" t="s">
        <v>3793</v>
      </c>
      <c r="W493" s="9">
        <f t="shared" si="64"/>
        <v>55</v>
      </c>
      <c r="X493" s="5" t="str">
        <f t="shared" si="68"/>
        <v>[50 ans, +oo [</v>
      </c>
      <c r="Y493" s="5" t="str">
        <f t="shared" si="69"/>
        <v xml:space="preserve"> Generation X </v>
      </c>
      <c r="Z493" s="9">
        <f t="shared" si="70"/>
        <v>5</v>
      </c>
      <c r="AA493" s="5" t="str">
        <f t="shared" si="71"/>
        <v>Départ à la Retraite 5ans</v>
      </c>
      <c r="AB493" s="5" t="s">
        <v>3806</v>
      </c>
      <c r="AC493" s="6" t="s">
        <v>3799</v>
      </c>
      <c r="AE493" s="5" t="s">
        <v>3845</v>
      </c>
      <c r="AF493" s="5" t="s">
        <v>4481</v>
      </c>
      <c r="AG493" s="5" t="s">
        <v>4485</v>
      </c>
      <c r="AH493" s="5" t="s">
        <v>4489</v>
      </c>
      <c r="AI493" s="5" t="s">
        <v>4359</v>
      </c>
      <c r="AJ493" s="5" t="s">
        <v>4360</v>
      </c>
      <c r="AK493" s="5" t="s">
        <v>3993</v>
      </c>
      <c r="AL493" s="5" t="s">
        <v>3854</v>
      </c>
    </row>
    <row r="494" spans="1:38" x14ac:dyDescent="0.3">
      <c r="A494" s="4">
        <v>45716</v>
      </c>
      <c r="B494" s="5" t="s">
        <v>1801</v>
      </c>
      <c r="C494" s="5" t="s">
        <v>1802</v>
      </c>
      <c r="D494" s="5" t="s">
        <v>1803</v>
      </c>
      <c r="E494" s="5" t="s">
        <v>4494</v>
      </c>
      <c r="G494" s="5" t="s">
        <v>88</v>
      </c>
      <c r="H494" s="5" t="s">
        <v>760</v>
      </c>
      <c r="I494" s="5" t="s">
        <v>1291</v>
      </c>
      <c r="J494" s="5" t="s">
        <v>2724</v>
      </c>
      <c r="K494" s="4">
        <v>40581</v>
      </c>
      <c r="L494" s="4">
        <v>39949</v>
      </c>
      <c r="M494" s="9">
        <f t="shared" si="63"/>
        <v>15</v>
      </c>
      <c r="N494" s="4" t="str">
        <f t="shared" si="65"/>
        <v>] 10 ; 15 ]</v>
      </c>
      <c r="O494" s="5" t="s">
        <v>3783</v>
      </c>
      <c r="P494" s="5" t="s">
        <v>3785</v>
      </c>
      <c r="Q494" s="5">
        <v>1</v>
      </c>
      <c r="R494" s="5" t="str">
        <f t="shared" si="66"/>
        <v>Specialisation</v>
      </c>
      <c r="S494" s="5" t="s">
        <v>3789</v>
      </c>
      <c r="T494" s="4">
        <v>30915</v>
      </c>
      <c r="U494" s="5">
        <f t="shared" si="67"/>
        <v>1984</v>
      </c>
      <c r="V494" s="5" t="s">
        <v>3793</v>
      </c>
      <c r="W494" s="9">
        <f t="shared" si="64"/>
        <v>40</v>
      </c>
      <c r="X494" s="5" t="str">
        <f t="shared" si="68"/>
        <v>[40 - 44 ans]</v>
      </c>
      <c r="Y494" s="5" t="str">
        <f t="shared" si="69"/>
        <v xml:space="preserve"> Mellenials </v>
      </c>
      <c r="Z494" s="9">
        <f t="shared" si="70"/>
        <v>20</v>
      </c>
      <c r="AA494" s="5" t="str">
        <f t="shared" si="71"/>
        <v>RAS</v>
      </c>
      <c r="AB494" s="5" t="s">
        <v>3809</v>
      </c>
      <c r="AC494" s="6" t="s">
        <v>3800</v>
      </c>
      <c r="AE494" s="5" t="s">
        <v>3844</v>
      </c>
      <c r="AF494" s="5" t="s">
        <v>4482</v>
      </c>
      <c r="AG494" s="5" t="s">
        <v>4485</v>
      </c>
      <c r="AH494" s="5" t="s">
        <v>4488</v>
      </c>
      <c r="AI494" s="5" t="s">
        <v>4283</v>
      </c>
      <c r="AJ494" s="5" t="s">
        <v>4284</v>
      </c>
      <c r="AK494" s="5" t="s">
        <v>4285</v>
      </c>
      <c r="AL494" s="5" t="s">
        <v>3858</v>
      </c>
    </row>
    <row r="495" spans="1:38" x14ac:dyDescent="0.3">
      <c r="A495" s="4">
        <v>45716</v>
      </c>
      <c r="B495" s="5" t="s">
        <v>1804</v>
      </c>
      <c r="C495" s="5" t="s">
        <v>1805</v>
      </c>
      <c r="D495" s="5" t="s">
        <v>1806</v>
      </c>
      <c r="E495" s="5" t="s">
        <v>4494</v>
      </c>
      <c r="G495" s="5" t="s">
        <v>39</v>
      </c>
      <c r="H495" s="5" t="s">
        <v>1807</v>
      </c>
      <c r="I495" s="5" t="s">
        <v>2821</v>
      </c>
      <c r="J495" s="5" t="s">
        <v>2841</v>
      </c>
      <c r="K495" s="4">
        <v>40588</v>
      </c>
      <c r="L495" s="4">
        <v>40588</v>
      </c>
      <c r="M495" s="9">
        <f t="shared" si="63"/>
        <v>14</v>
      </c>
      <c r="N495" s="4" t="str">
        <f t="shared" si="65"/>
        <v>] 10 ; 15 ]</v>
      </c>
      <c r="O495" s="5" t="s">
        <v>3782</v>
      </c>
      <c r="P495" s="5" t="s">
        <v>3784</v>
      </c>
      <c r="Q495" s="5">
        <v>1</v>
      </c>
      <c r="R495" s="5" t="str">
        <f t="shared" si="66"/>
        <v>Management &amp; Expertise</v>
      </c>
      <c r="S495" s="5" t="s">
        <v>3789</v>
      </c>
      <c r="T495" s="4">
        <v>26234</v>
      </c>
      <c r="U495" s="5">
        <f t="shared" si="67"/>
        <v>1971</v>
      </c>
      <c r="V495" s="5" t="s">
        <v>3793</v>
      </c>
      <c r="W495" s="9">
        <f t="shared" si="64"/>
        <v>53</v>
      </c>
      <c r="X495" s="5" t="str">
        <f t="shared" si="68"/>
        <v>[50 ans, +oo [</v>
      </c>
      <c r="Y495" s="5" t="str">
        <f t="shared" si="69"/>
        <v xml:space="preserve"> Generation X </v>
      </c>
      <c r="Z495" s="9">
        <f t="shared" si="70"/>
        <v>7</v>
      </c>
      <c r="AA495" s="5" t="str">
        <f t="shared" si="71"/>
        <v>RAS</v>
      </c>
      <c r="AB495" s="5" t="s">
        <v>3807</v>
      </c>
      <c r="AC495" s="6" t="s">
        <v>3799</v>
      </c>
      <c r="AE495" s="5" t="s">
        <v>3845</v>
      </c>
      <c r="AF495" s="5" t="s">
        <v>4481</v>
      </c>
      <c r="AG495" s="5" t="s">
        <v>4485</v>
      </c>
      <c r="AH495" s="5" t="s">
        <v>4489</v>
      </c>
      <c r="AI495" s="5" t="s">
        <v>3877</v>
      </c>
      <c r="AJ495" s="5" t="s">
        <v>3878</v>
      </c>
      <c r="AK495" s="5" t="s">
        <v>3879</v>
      </c>
      <c r="AL495" s="5" t="s">
        <v>3854</v>
      </c>
    </row>
    <row r="496" spans="1:38" x14ac:dyDescent="0.3">
      <c r="A496" s="4">
        <v>45716</v>
      </c>
      <c r="B496" s="5" t="s">
        <v>1808</v>
      </c>
      <c r="C496" s="5" t="s">
        <v>1809</v>
      </c>
      <c r="D496" s="5" t="s">
        <v>1810</v>
      </c>
      <c r="E496" s="5" t="s">
        <v>4494</v>
      </c>
      <c r="G496" s="5" t="s">
        <v>178</v>
      </c>
      <c r="H496" s="5" t="s">
        <v>1811</v>
      </c>
      <c r="I496" s="5" t="s">
        <v>435</v>
      </c>
      <c r="J496" s="5" t="s">
        <v>1368</v>
      </c>
      <c r="K496" s="4">
        <v>40588</v>
      </c>
      <c r="L496" s="4">
        <v>40588</v>
      </c>
      <c r="M496" s="9">
        <f t="shared" si="63"/>
        <v>14</v>
      </c>
      <c r="N496" s="4" t="str">
        <f t="shared" si="65"/>
        <v>] 10 ; 15 ]</v>
      </c>
      <c r="O496" s="5" t="s">
        <v>3784</v>
      </c>
      <c r="P496" s="5" t="s">
        <v>3784</v>
      </c>
      <c r="Q496" s="5">
        <v>1</v>
      </c>
      <c r="R496" s="5" t="str">
        <f t="shared" si="66"/>
        <v>Management &amp; Expertise</v>
      </c>
      <c r="S496" s="5" t="s">
        <v>3790</v>
      </c>
      <c r="T496" s="4">
        <v>31764</v>
      </c>
      <c r="U496" s="5">
        <f t="shared" si="67"/>
        <v>1986</v>
      </c>
      <c r="V496" s="5" t="s">
        <v>3793</v>
      </c>
      <c r="W496" s="9">
        <f t="shared" si="64"/>
        <v>38</v>
      </c>
      <c r="X496" s="5" t="str">
        <f t="shared" si="68"/>
        <v>[35 - 39 ans ]</v>
      </c>
      <c r="Y496" s="5" t="str">
        <f t="shared" si="69"/>
        <v xml:space="preserve"> Mellenials </v>
      </c>
      <c r="Z496" s="9">
        <f t="shared" si="70"/>
        <v>22</v>
      </c>
      <c r="AA496" s="5" t="str">
        <f t="shared" si="71"/>
        <v>RAS</v>
      </c>
      <c r="AB496" s="5" t="s">
        <v>3806</v>
      </c>
      <c r="AC496" s="6" t="s">
        <v>3799</v>
      </c>
      <c r="AE496" s="5" t="s">
        <v>3845</v>
      </c>
      <c r="AF496" s="5" t="s">
        <v>4481</v>
      </c>
      <c r="AG496" s="5" t="s">
        <v>4485</v>
      </c>
      <c r="AH496" s="5" t="s">
        <v>4488</v>
      </c>
      <c r="AI496" s="5" t="s">
        <v>4204</v>
      </c>
      <c r="AJ496" s="5" t="s">
        <v>4361</v>
      </c>
      <c r="AK496" s="5" t="s">
        <v>3962</v>
      </c>
      <c r="AL496" s="5" t="s">
        <v>3854</v>
      </c>
    </row>
    <row r="497" spans="1:38" x14ac:dyDescent="0.3">
      <c r="A497" s="4">
        <v>45716</v>
      </c>
      <c r="B497" s="5" t="s">
        <v>1812</v>
      </c>
      <c r="C497" s="5" t="s">
        <v>1813</v>
      </c>
      <c r="D497" s="5" t="s">
        <v>1814</v>
      </c>
      <c r="E497" s="5" t="s">
        <v>4494</v>
      </c>
      <c r="G497" s="5" t="s">
        <v>88</v>
      </c>
      <c r="H497" s="5" t="s">
        <v>653</v>
      </c>
      <c r="I497" s="5" t="s">
        <v>883</v>
      </c>
      <c r="J497" s="5" t="s">
        <v>182</v>
      </c>
      <c r="K497" s="4">
        <v>40588</v>
      </c>
      <c r="L497" s="4">
        <v>39052</v>
      </c>
      <c r="M497" s="9">
        <f t="shared" si="63"/>
        <v>18</v>
      </c>
      <c r="N497" s="4" t="str">
        <f t="shared" si="65"/>
        <v>] 15 ; +oo [</v>
      </c>
      <c r="O497" s="5" t="s">
        <v>3785</v>
      </c>
      <c r="P497" s="5" t="s">
        <v>3785</v>
      </c>
      <c r="Q497" s="5">
        <v>2</v>
      </c>
      <c r="R497" s="5" t="str">
        <f t="shared" si="66"/>
        <v>Specialisation</v>
      </c>
      <c r="S497" s="5" t="s">
        <v>3789</v>
      </c>
      <c r="T497" s="4">
        <v>30502</v>
      </c>
      <c r="U497" s="5">
        <f t="shared" si="67"/>
        <v>1983</v>
      </c>
      <c r="V497" s="5" t="s">
        <v>3793</v>
      </c>
      <c r="W497" s="9">
        <f t="shared" si="64"/>
        <v>41</v>
      </c>
      <c r="X497" s="5" t="str">
        <f t="shared" si="68"/>
        <v>[40 - 44 ans]</v>
      </c>
      <c r="Y497" s="5" t="str">
        <f t="shared" si="69"/>
        <v xml:space="preserve"> Mellenials </v>
      </c>
      <c r="Z497" s="9">
        <f t="shared" si="70"/>
        <v>19</v>
      </c>
      <c r="AA497" s="5" t="str">
        <f t="shared" si="71"/>
        <v>RAS</v>
      </c>
      <c r="AB497" s="5" t="s">
        <v>3813</v>
      </c>
      <c r="AC497" s="6" t="s">
        <v>3799</v>
      </c>
      <c r="AE497" s="5" t="s">
        <v>3845</v>
      </c>
      <c r="AF497" s="5" t="s">
        <v>4481</v>
      </c>
      <c r="AG497" s="5" t="s">
        <v>4485</v>
      </c>
      <c r="AH497" s="5" t="s">
        <v>4488</v>
      </c>
      <c r="AI497" s="5" t="s">
        <v>4188</v>
      </c>
      <c r="AJ497" s="5" t="s">
        <v>4068</v>
      </c>
      <c r="AK497" s="5" t="s">
        <v>4069</v>
      </c>
      <c r="AL497" s="5" t="s">
        <v>3854</v>
      </c>
    </row>
    <row r="498" spans="1:38" x14ac:dyDescent="0.3">
      <c r="A498" s="4">
        <v>45716</v>
      </c>
      <c r="B498" s="5" t="s">
        <v>1815</v>
      </c>
      <c r="C498" s="5" t="s">
        <v>1816</v>
      </c>
      <c r="D498" s="5" t="s">
        <v>1817</v>
      </c>
      <c r="E498" s="5" t="s">
        <v>4494</v>
      </c>
      <c r="G498" s="5" t="s">
        <v>88</v>
      </c>
      <c r="H498" s="5" t="s">
        <v>456</v>
      </c>
      <c r="I498" s="5" t="s">
        <v>1709</v>
      </c>
      <c r="J498" s="5" t="s">
        <v>883</v>
      </c>
      <c r="K498" s="4">
        <v>40588</v>
      </c>
      <c r="L498" s="4">
        <v>40588</v>
      </c>
      <c r="M498" s="9">
        <f t="shared" si="63"/>
        <v>14</v>
      </c>
      <c r="N498" s="4" t="str">
        <f t="shared" si="65"/>
        <v>] 10 ; 15 ]</v>
      </c>
      <c r="O498" s="5" t="s">
        <v>3780</v>
      </c>
      <c r="P498" s="5" t="s">
        <v>3780</v>
      </c>
      <c r="Q498" s="5">
        <v>3</v>
      </c>
      <c r="R498" s="5" t="str">
        <f t="shared" si="66"/>
        <v>Qualification</v>
      </c>
      <c r="S498" s="5" t="s">
        <v>3789</v>
      </c>
      <c r="T498" s="4">
        <v>30574</v>
      </c>
      <c r="U498" s="5">
        <f t="shared" si="67"/>
        <v>1983</v>
      </c>
      <c r="V498" s="5" t="s">
        <v>3792</v>
      </c>
      <c r="W498" s="9">
        <f t="shared" si="64"/>
        <v>41</v>
      </c>
      <c r="X498" s="5" t="str">
        <f t="shared" si="68"/>
        <v>[40 - 44 ans]</v>
      </c>
      <c r="Y498" s="5" t="str">
        <f t="shared" si="69"/>
        <v xml:space="preserve"> Mellenials </v>
      </c>
      <c r="Z498" s="9">
        <f t="shared" si="70"/>
        <v>19</v>
      </c>
      <c r="AA498" s="5" t="str">
        <f t="shared" si="71"/>
        <v>RAS</v>
      </c>
      <c r="AB498" s="5" t="s">
        <v>3835</v>
      </c>
      <c r="AC498" s="6" t="s">
        <v>3800</v>
      </c>
      <c r="AE498" s="5" t="s">
        <v>3844</v>
      </c>
      <c r="AF498" s="5" t="s">
        <v>4482</v>
      </c>
      <c r="AG498" s="5" t="s">
        <v>4485</v>
      </c>
      <c r="AH498" s="5" t="s">
        <v>4488</v>
      </c>
      <c r="AI498" s="5" t="s">
        <v>4350</v>
      </c>
      <c r="AJ498" s="5" t="s">
        <v>4351</v>
      </c>
      <c r="AK498" s="5" t="s">
        <v>4352</v>
      </c>
      <c r="AL498" s="5" t="s">
        <v>3858</v>
      </c>
    </row>
    <row r="499" spans="1:38" x14ac:dyDescent="0.3">
      <c r="A499" s="4">
        <v>45716</v>
      </c>
      <c r="B499" s="5" t="s">
        <v>1818</v>
      </c>
      <c r="C499" s="5" t="s">
        <v>1819</v>
      </c>
      <c r="D499" s="5" t="s">
        <v>1820</v>
      </c>
      <c r="E499" s="5" t="s">
        <v>4494</v>
      </c>
      <c r="G499" s="5" t="s">
        <v>24</v>
      </c>
      <c r="H499" s="5" t="s">
        <v>1138</v>
      </c>
      <c r="I499" s="5" t="s">
        <v>899</v>
      </c>
      <c r="J499" s="5" t="s">
        <v>23</v>
      </c>
      <c r="K499" s="4">
        <v>40588</v>
      </c>
      <c r="L499" s="4">
        <v>39251.041666666664</v>
      </c>
      <c r="M499" s="9">
        <f t="shared" si="63"/>
        <v>17</v>
      </c>
      <c r="N499" s="4" t="str">
        <f t="shared" si="65"/>
        <v>] 15 ; +oo [</v>
      </c>
      <c r="O499" s="5" t="s">
        <v>3785</v>
      </c>
      <c r="P499" s="5" t="s">
        <v>3782</v>
      </c>
      <c r="Q499" s="5">
        <v>1</v>
      </c>
      <c r="R499" s="5" t="str">
        <f t="shared" si="66"/>
        <v>Specialisation</v>
      </c>
      <c r="S499" s="5" t="s">
        <v>3789</v>
      </c>
      <c r="T499" s="4">
        <v>29493</v>
      </c>
      <c r="U499" s="5">
        <f t="shared" si="67"/>
        <v>1980</v>
      </c>
      <c r="V499" s="5" t="s">
        <v>3793</v>
      </c>
      <c r="W499" s="9">
        <f t="shared" si="64"/>
        <v>44</v>
      </c>
      <c r="X499" s="5" t="str">
        <f t="shared" si="68"/>
        <v>[40 - 44 ans]</v>
      </c>
      <c r="Y499" s="5" t="str">
        <f t="shared" si="69"/>
        <v xml:space="preserve"> Generation X </v>
      </c>
      <c r="Z499" s="9">
        <f t="shared" si="70"/>
        <v>16</v>
      </c>
      <c r="AA499" s="5" t="str">
        <f t="shared" si="71"/>
        <v>RAS</v>
      </c>
      <c r="AB499" s="5" t="s">
        <v>3805</v>
      </c>
      <c r="AC499" s="6" t="s">
        <v>3799</v>
      </c>
      <c r="AE499" s="5" t="s">
        <v>3844</v>
      </c>
      <c r="AF499" s="5" t="s">
        <v>4481</v>
      </c>
      <c r="AG499" s="5" t="s">
        <v>4485</v>
      </c>
      <c r="AH499" s="5" t="s">
        <v>4488</v>
      </c>
      <c r="AI499" s="5" t="s">
        <v>4218</v>
      </c>
      <c r="AJ499" s="5" t="s">
        <v>4248</v>
      </c>
      <c r="AK499" s="5" t="s">
        <v>3983</v>
      </c>
      <c r="AL499" s="5" t="s">
        <v>3858</v>
      </c>
    </row>
    <row r="500" spans="1:38" x14ac:dyDescent="0.3">
      <c r="A500" s="4">
        <v>45716</v>
      </c>
      <c r="B500" s="5" t="s">
        <v>1821</v>
      </c>
      <c r="C500" s="5" t="s">
        <v>1822</v>
      </c>
      <c r="D500" s="5" t="s">
        <v>1823</v>
      </c>
      <c r="E500" s="5" t="s">
        <v>4494</v>
      </c>
      <c r="G500" s="5" t="s">
        <v>78</v>
      </c>
      <c r="H500" s="5" t="s">
        <v>1824</v>
      </c>
      <c r="I500" s="5" t="s">
        <v>1357</v>
      </c>
      <c r="J500" s="5" t="s">
        <v>1857</v>
      </c>
      <c r="K500" s="4">
        <v>40595</v>
      </c>
      <c r="L500" s="4">
        <v>40595</v>
      </c>
      <c r="M500" s="9">
        <f t="shared" si="63"/>
        <v>14</v>
      </c>
      <c r="N500" s="4" t="str">
        <f t="shared" si="65"/>
        <v>] 10 ; 15 ]</v>
      </c>
      <c r="O500" s="5" t="s">
        <v>3784</v>
      </c>
      <c r="P500" s="5" t="s">
        <v>3784</v>
      </c>
      <c r="Q500" s="5">
        <v>2</v>
      </c>
      <c r="R500" s="5" t="str">
        <f t="shared" si="66"/>
        <v>Management &amp; Expertise</v>
      </c>
      <c r="S500" s="5" t="s">
        <v>3789</v>
      </c>
      <c r="T500" s="4">
        <v>27709</v>
      </c>
      <c r="U500" s="5">
        <f t="shared" si="67"/>
        <v>1975</v>
      </c>
      <c r="V500" s="5" t="s">
        <v>3793</v>
      </c>
      <c r="W500" s="9">
        <f t="shared" si="64"/>
        <v>49</v>
      </c>
      <c r="X500" s="5" t="str">
        <f t="shared" si="68"/>
        <v>[45 - 49 ans]</v>
      </c>
      <c r="Y500" s="5" t="str">
        <f t="shared" si="69"/>
        <v xml:space="preserve"> Generation X </v>
      </c>
      <c r="Z500" s="9">
        <f t="shared" si="70"/>
        <v>11</v>
      </c>
      <c r="AA500" s="5" t="str">
        <f t="shared" si="71"/>
        <v>RAS</v>
      </c>
      <c r="AB500" s="5" t="s">
        <v>3808</v>
      </c>
      <c r="AC500" s="6" t="s">
        <v>3799</v>
      </c>
      <c r="AE500" s="5" t="s">
        <v>3845</v>
      </c>
      <c r="AF500" s="5" t="s">
        <v>4481</v>
      </c>
      <c r="AG500" s="5" t="s">
        <v>4485</v>
      </c>
      <c r="AH500" s="5" t="s">
        <v>4488</v>
      </c>
      <c r="AI500" s="5" t="s">
        <v>4362</v>
      </c>
      <c r="AJ500" s="5" t="s">
        <v>4363</v>
      </c>
      <c r="AK500" s="5" t="s">
        <v>4364</v>
      </c>
      <c r="AL500" s="5" t="s">
        <v>3854</v>
      </c>
    </row>
    <row r="501" spans="1:38" x14ac:dyDescent="0.3">
      <c r="A501" s="4">
        <v>45716</v>
      </c>
      <c r="B501" s="5" t="s">
        <v>1825</v>
      </c>
      <c r="C501" s="5" t="s">
        <v>1826</v>
      </c>
      <c r="D501" s="5" t="s">
        <v>1827</v>
      </c>
      <c r="E501" s="5" t="s">
        <v>4494</v>
      </c>
      <c r="G501" s="5" t="s">
        <v>39</v>
      </c>
      <c r="H501" s="5" t="s">
        <v>1828</v>
      </c>
      <c r="I501" s="5" t="s">
        <v>3770</v>
      </c>
      <c r="J501" s="5" t="s">
        <v>120</v>
      </c>
      <c r="K501" s="4">
        <v>40603</v>
      </c>
      <c r="L501" s="4">
        <v>38143</v>
      </c>
      <c r="M501" s="9">
        <f t="shared" si="63"/>
        <v>20</v>
      </c>
      <c r="N501" s="4" t="str">
        <f t="shared" si="65"/>
        <v>] 15 ; +oo [</v>
      </c>
      <c r="O501" s="5" t="s">
        <v>3786</v>
      </c>
      <c r="P501" s="5" t="s">
        <v>3783</v>
      </c>
      <c r="Q501" s="5">
        <v>1</v>
      </c>
      <c r="R501" s="5" t="str">
        <f t="shared" si="66"/>
        <v>Specialisation</v>
      </c>
      <c r="S501" s="5" t="s">
        <v>3789</v>
      </c>
      <c r="T501" s="4">
        <v>28206</v>
      </c>
      <c r="U501" s="5">
        <f t="shared" si="67"/>
        <v>1977</v>
      </c>
      <c r="V501" s="5" t="s">
        <v>3793</v>
      </c>
      <c r="W501" s="9">
        <f t="shared" si="64"/>
        <v>47</v>
      </c>
      <c r="X501" s="5" t="str">
        <f t="shared" si="68"/>
        <v>[45 - 49 ans]</v>
      </c>
      <c r="Y501" s="5" t="str">
        <f t="shared" si="69"/>
        <v xml:space="preserve"> Generation X </v>
      </c>
      <c r="Z501" s="9">
        <f t="shared" si="70"/>
        <v>13</v>
      </c>
      <c r="AA501" s="5" t="str">
        <f t="shared" si="71"/>
        <v>RAS</v>
      </c>
      <c r="AB501" s="5" t="s">
        <v>3807</v>
      </c>
      <c r="AC501" s="6" t="s">
        <v>3799</v>
      </c>
      <c r="AE501" s="5" t="s">
        <v>3844</v>
      </c>
      <c r="AF501" s="5" t="s">
        <v>4482</v>
      </c>
      <c r="AG501" s="5" t="s">
        <v>4485</v>
      </c>
      <c r="AH501" s="5" t="s">
        <v>4489</v>
      </c>
      <c r="AI501" s="5" t="s">
        <v>4011</v>
      </c>
      <c r="AJ501" s="5" t="s">
        <v>4012</v>
      </c>
      <c r="AK501" s="5" t="s">
        <v>3959</v>
      </c>
      <c r="AL501" s="5" t="s">
        <v>3858</v>
      </c>
    </row>
    <row r="502" spans="1:38" x14ac:dyDescent="0.3">
      <c r="A502" s="4">
        <v>45716</v>
      </c>
      <c r="B502" s="5" t="s">
        <v>1829</v>
      </c>
      <c r="C502" s="5" t="s">
        <v>1830</v>
      </c>
      <c r="D502" s="5" t="s">
        <v>1831</v>
      </c>
      <c r="E502" s="5" t="s">
        <v>4494</v>
      </c>
      <c r="G502" s="5" t="s">
        <v>39</v>
      </c>
      <c r="H502" s="5" t="s">
        <v>1832</v>
      </c>
      <c r="I502" s="5" t="s">
        <v>1264</v>
      </c>
      <c r="J502" s="5" t="s">
        <v>149</v>
      </c>
      <c r="K502" s="4">
        <v>40603</v>
      </c>
      <c r="L502" s="4">
        <v>38534</v>
      </c>
      <c r="M502" s="9">
        <f t="shared" si="63"/>
        <v>19</v>
      </c>
      <c r="N502" s="4" t="str">
        <f t="shared" si="65"/>
        <v>] 15 ; +oo [</v>
      </c>
      <c r="O502" s="5" t="s">
        <v>3786</v>
      </c>
      <c r="P502" s="5" t="s">
        <v>3783</v>
      </c>
      <c r="Q502" s="5">
        <v>1</v>
      </c>
      <c r="R502" s="5" t="str">
        <f t="shared" si="66"/>
        <v>Specialisation</v>
      </c>
      <c r="S502" s="5" t="s">
        <v>3789</v>
      </c>
      <c r="T502" s="4">
        <v>29025</v>
      </c>
      <c r="U502" s="5">
        <f t="shared" si="67"/>
        <v>1979</v>
      </c>
      <c r="V502" s="5" t="s">
        <v>3793</v>
      </c>
      <c r="W502" s="9">
        <f t="shared" si="64"/>
        <v>45</v>
      </c>
      <c r="X502" s="5" t="str">
        <f t="shared" si="68"/>
        <v>[45 - 49 ans]</v>
      </c>
      <c r="Y502" s="5" t="str">
        <f t="shared" si="69"/>
        <v xml:space="preserve"> Generation X </v>
      </c>
      <c r="Z502" s="9">
        <f t="shared" si="70"/>
        <v>15</v>
      </c>
      <c r="AA502" s="5" t="str">
        <f t="shared" si="71"/>
        <v>RAS</v>
      </c>
      <c r="AB502" s="5" t="s">
        <v>3807</v>
      </c>
      <c r="AC502" s="6" t="s">
        <v>3799</v>
      </c>
      <c r="AE502" s="5" t="s">
        <v>3844</v>
      </c>
      <c r="AF502" s="5" t="s">
        <v>4482</v>
      </c>
      <c r="AG502" s="5" t="s">
        <v>4485</v>
      </c>
      <c r="AH502" s="5" t="s">
        <v>4489</v>
      </c>
      <c r="AI502" s="5" t="s">
        <v>4365</v>
      </c>
      <c r="AJ502" s="5" t="s">
        <v>4366</v>
      </c>
      <c r="AK502" s="5" t="s">
        <v>4280</v>
      </c>
      <c r="AL502" s="5" t="s">
        <v>3858</v>
      </c>
    </row>
    <row r="503" spans="1:38" x14ac:dyDescent="0.3">
      <c r="A503" s="4">
        <v>45716</v>
      </c>
      <c r="B503" s="5" t="s">
        <v>1833</v>
      </c>
      <c r="C503" s="5" t="s">
        <v>1834</v>
      </c>
      <c r="D503" s="5" t="s">
        <v>1835</v>
      </c>
      <c r="E503" s="5" t="s">
        <v>4494</v>
      </c>
      <c r="G503" s="5" t="s">
        <v>39</v>
      </c>
      <c r="H503" s="5" t="s">
        <v>1836</v>
      </c>
      <c r="I503" s="5" t="s">
        <v>48</v>
      </c>
      <c r="J503" s="5" t="s">
        <v>149</v>
      </c>
      <c r="K503" s="4">
        <v>40603</v>
      </c>
      <c r="L503" s="4">
        <v>39264</v>
      </c>
      <c r="M503" s="9">
        <f t="shared" si="63"/>
        <v>17</v>
      </c>
      <c r="N503" s="4" t="str">
        <f t="shared" si="65"/>
        <v>] 15 ; +oo [</v>
      </c>
      <c r="O503" s="5" t="s">
        <v>3782</v>
      </c>
      <c r="P503" s="5" t="s">
        <v>3782</v>
      </c>
      <c r="Q503" s="5">
        <v>1</v>
      </c>
      <c r="R503" s="5" t="str">
        <f t="shared" si="66"/>
        <v>Management &amp; Expertise</v>
      </c>
      <c r="S503" s="5" t="s">
        <v>3789</v>
      </c>
      <c r="T503" s="4">
        <v>29689</v>
      </c>
      <c r="U503" s="5">
        <f t="shared" si="67"/>
        <v>1981</v>
      </c>
      <c r="V503" s="5" t="s">
        <v>3793</v>
      </c>
      <c r="W503" s="9">
        <f t="shared" si="64"/>
        <v>43</v>
      </c>
      <c r="X503" s="5" t="str">
        <f t="shared" si="68"/>
        <v>[40 - 44 ans]</v>
      </c>
      <c r="Y503" s="5" t="str">
        <f t="shared" si="69"/>
        <v xml:space="preserve"> Mellenials </v>
      </c>
      <c r="Z503" s="9">
        <f t="shared" si="70"/>
        <v>17</v>
      </c>
      <c r="AA503" s="5" t="str">
        <f t="shared" si="71"/>
        <v>RAS</v>
      </c>
      <c r="AB503" s="5" t="s">
        <v>3807</v>
      </c>
      <c r="AC503" s="6" t="s">
        <v>3799</v>
      </c>
      <c r="AE503" s="5" t="s">
        <v>3845</v>
      </c>
      <c r="AF503" s="5" t="s">
        <v>4481</v>
      </c>
      <c r="AG503" s="5" t="s">
        <v>4485</v>
      </c>
      <c r="AH503" s="5" t="s">
        <v>4489</v>
      </c>
      <c r="AI503" s="5" t="s">
        <v>4078</v>
      </c>
      <c r="AJ503" s="5" t="s">
        <v>4079</v>
      </c>
      <c r="AK503" s="5" t="s">
        <v>4080</v>
      </c>
      <c r="AL503" s="5" t="s">
        <v>3854</v>
      </c>
    </row>
    <row r="504" spans="1:38" x14ac:dyDescent="0.3">
      <c r="A504" s="4">
        <v>45716</v>
      </c>
      <c r="B504" s="5" t="s">
        <v>1837</v>
      </c>
      <c r="C504" s="5" t="s">
        <v>1838</v>
      </c>
      <c r="D504" s="5" t="s">
        <v>1839</v>
      </c>
      <c r="E504" s="5" t="s">
        <v>4494</v>
      </c>
      <c r="G504" s="5" t="s">
        <v>39</v>
      </c>
      <c r="H504" s="5" t="s">
        <v>829</v>
      </c>
      <c r="I504" s="5" t="s">
        <v>1702</v>
      </c>
      <c r="J504" s="5" t="s">
        <v>120</v>
      </c>
      <c r="K504" s="4">
        <v>40603</v>
      </c>
      <c r="L504" s="4">
        <v>39511</v>
      </c>
      <c r="M504" s="9">
        <f t="shared" si="63"/>
        <v>16</v>
      </c>
      <c r="N504" s="4" t="str">
        <f t="shared" si="65"/>
        <v>] 15 ; +oo [</v>
      </c>
      <c r="O504" s="5" t="s">
        <v>3786</v>
      </c>
      <c r="P504" s="5" t="s">
        <v>3783</v>
      </c>
      <c r="Q504" s="5">
        <v>1</v>
      </c>
      <c r="R504" s="5" t="str">
        <f t="shared" si="66"/>
        <v>Specialisation</v>
      </c>
      <c r="S504" s="5" t="s">
        <v>3789</v>
      </c>
      <c r="T504" s="4">
        <v>30168</v>
      </c>
      <c r="U504" s="5">
        <f t="shared" si="67"/>
        <v>1982</v>
      </c>
      <c r="V504" s="5" t="s">
        <v>3793</v>
      </c>
      <c r="W504" s="9">
        <f t="shared" si="64"/>
        <v>42</v>
      </c>
      <c r="X504" s="5" t="str">
        <f t="shared" si="68"/>
        <v>[40 - 44 ans]</v>
      </c>
      <c r="Y504" s="5" t="str">
        <f t="shared" si="69"/>
        <v xml:space="preserve"> Mellenials </v>
      </c>
      <c r="Z504" s="9">
        <f t="shared" si="70"/>
        <v>18</v>
      </c>
      <c r="AA504" s="5" t="str">
        <f t="shared" si="71"/>
        <v>RAS</v>
      </c>
      <c r="AB504" s="5" t="s">
        <v>3807</v>
      </c>
      <c r="AC504" s="6" t="s">
        <v>3799</v>
      </c>
      <c r="AE504" s="5" t="s">
        <v>3844</v>
      </c>
      <c r="AF504" s="5" t="s">
        <v>4482</v>
      </c>
      <c r="AG504" s="5" t="s">
        <v>4485</v>
      </c>
      <c r="AH504" s="5" t="s">
        <v>4489</v>
      </c>
      <c r="AI504" s="5" t="s">
        <v>4203</v>
      </c>
      <c r="AJ504" s="5" t="s">
        <v>4249</v>
      </c>
      <c r="AK504" s="5" t="s">
        <v>3917</v>
      </c>
      <c r="AL504" s="5" t="s">
        <v>3858</v>
      </c>
    </row>
    <row r="505" spans="1:38" x14ac:dyDescent="0.3">
      <c r="A505" s="4">
        <v>45716</v>
      </c>
      <c r="B505" s="5" t="s">
        <v>1840</v>
      </c>
      <c r="C505" s="5" t="s">
        <v>1841</v>
      </c>
      <c r="D505" s="5" t="s">
        <v>1842</v>
      </c>
      <c r="E505" s="5" t="s">
        <v>4494</v>
      </c>
      <c r="G505" s="5" t="s">
        <v>88</v>
      </c>
      <c r="H505" s="5" t="s">
        <v>456</v>
      </c>
      <c r="I505" s="5" t="s">
        <v>741</v>
      </c>
      <c r="J505" s="5" t="s">
        <v>883</v>
      </c>
      <c r="K505" s="4">
        <v>40609</v>
      </c>
      <c r="L505" s="4">
        <v>39845</v>
      </c>
      <c r="M505" s="9">
        <f t="shared" si="63"/>
        <v>16</v>
      </c>
      <c r="N505" s="4" t="str">
        <f t="shared" si="65"/>
        <v>] 15 ; +oo [</v>
      </c>
      <c r="O505" s="5" t="s">
        <v>3780</v>
      </c>
      <c r="P505" s="5" t="s">
        <v>3786</v>
      </c>
      <c r="Q505" s="5">
        <v>1</v>
      </c>
      <c r="R505" s="5" t="str">
        <f t="shared" si="66"/>
        <v>Qualification</v>
      </c>
      <c r="S505" s="5" t="s">
        <v>3790</v>
      </c>
      <c r="T505" s="4">
        <v>31386</v>
      </c>
      <c r="U505" s="5">
        <f t="shared" si="67"/>
        <v>1985</v>
      </c>
      <c r="V505" s="5" t="s">
        <v>3793</v>
      </c>
      <c r="W505" s="9">
        <f t="shared" si="64"/>
        <v>39</v>
      </c>
      <c r="X505" s="5" t="str">
        <f t="shared" si="68"/>
        <v>[35 - 39 ans ]</v>
      </c>
      <c r="Y505" s="5" t="str">
        <f t="shared" si="69"/>
        <v xml:space="preserve"> Mellenials </v>
      </c>
      <c r="Z505" s="9">
        <f t="shared" si="70"/>
        <v>21</v>
      </c>
      <c r="AA505" s="5" t="str">
        <f t="shared" si="71"/>
        <v>RAS</v>
      </c>
      <c r="AB505" s="5" t="s">
        <v>3825</v>
      </c>
      <c r="AC505" s="6" t="s">
        <v>3799</v>
      </c>
      <c r="AE505" s="5" t="s">
        <v>3844</v>
      </c>
      <c r="AF505" s="5" t="s">
        <v>4482</v>
      </c>
      <c r="AG505" s="5" t="s">
        <v>4485</v>
      </c>
      <c r="AH505" s="5" t="s">
        <v>4488</v>
      </c>
      <c r="AI505" s="5" t="s">
        <v>4179</v>
      </c>
      <c r="AJ505" s="5" t="s">
        <v>4180</v>
      </c>
      <c r="AK505" s="5" t="s">
        <v>4181</v>
      </c>
      <c r="AL505" s="5" t="s">
        <v>3858</v>
      </c>
    </row>
    <row r="506" spans="1:38" x14ac:dyDescent="0.3">
      <c r="A506" s="4">
        <v>45716</v>
      </c>
      <c r="B506" s="5" t="s">
        <v>1843</v>
      </c>
      <c r="C506" s="5" t="s">
        <v>1844</v>
      </c>
      <c r="D506" s="5" t="s">
        <v>1845</v>
      </c>
      <c r="E506" s="5" t="s">
        <v>4494</v>
      </c>
      <c r="G506" s="5" t="s">
        <v>88</v>
      </c>
      <c r="H506" s="5" t="s">
        <v>706</v>
      </c>
      <c r="I506" s="5" t="s">
        <v>2113</v>
      </c>
      <c r="J506" s="5" t="s">
        <v>883</v>
      </c>
      <c r="K506" s="4">
        <v>40616</v>
      </c>
      <c r="L506" s="4">
        <v>39539</v>
      </c>
      <c r="M506" s="9">
        <f t="shared" si="63"/>
        <v>16</v>
      </c>
      <c r="N506" s="4" t="str">
        <f t="shared" si="65"/>
        <v>] 15 ; +oo [</v>
      </c>
      <c r="O506" s="5" t="s">
        <v>3786</v>
      </c>
      <c r="P506" s="5" t="s">
        <v>3783</v>
      </c>
      <c r="Q506" s="5">
        <v>1</v>
      </c>
      <c r="R506" s="5" t="str">
        <f t="shared" si="66"/>
        <v>Specialisation</v>
      </c>
      <c r="S506" s="5" t="s">
        <v>3790</v>
      </c>
      <c r="T506" s="4">
        <v>30791</v>
      </c>
      <c r="U506" s="5">
        <f t="shared" si="67"/>
        <v>1984</v>
      </c>
      <c r="V506" s="5" t="s">
        <v>3793</v>
      </c>
      <c r="W506" s="9">
        <f t="shared" si="64"/>
        <v>40</v>
      </c>
      <c r="X506" s="5" t="str">
        <f t="shared" si="68"/>
        <v>[40 - 44 ans]</v>
      </c>
      <c r="Y506" s="5" t="str">
        <f t="shared" si="69"/>
        <v xml:space="preserve"> Mellenials </v>
      </c>
      <c r="Z506" s="9">
        <f t="shared" si="70"/>
        <v>20</v>
      </c>
      <c r="AA506" s="5" t="str">
        <f t="shared" si="71"/>
        <v>RAS</v>
      </c>
      <c r="AB506" s="5" t="s">
        <v>3820</v>
      </c>
      <c r="AC506" s="6" t="s">
        <v>3800</v>
      </c>
      <c r="AE506" s="5" t="s">
        <v>3844</v>
      </c>
      <c r="AF506" s="5" t="s">
        <v>4482</v>
      </c>
      <c r="AG506" s="5" t="s">
        <v>4485</v>
      </c>
      <c r="AH506" s="5" t="s">
        <v>4488</v>
      </c>
      <c r="AI506" s="5" t="s">
        <v>4158</v>
      </c>
      <c r="AJ506" s="5" t="s">
        <v>4159</v>
      </c>
      <c r="AK506" s="5" t="s">
        <v>4160</v>
      </c>
      <c r="AL506" s="5" t="s">
        <v>3858</v>
      </c>
    </row>
    <row r="507" spans="1:38" x14ac:dyDescent="0.3">
      <c r="A507" s="4">
        <v>45716</v>
      </c>
      <c r="B507" s="5" t="s">
        <v>1846</v>
      </c>
      <c r="C507" s="5" t="s">
        <v>1847</v>
      </c>
      <c r="D507" s="5" t="s">
        <v>1848</v>
      </c>
      <c r="E507" s="5" t="s">
        <v>4494</v>
      </c>
      <c r="G507" s="5" t="s">
        <v>88</v>
      </c>
      <c r="H507" s="5" t="s">
        <v>323</v>
      </c>
      <c r="I507" s="5" t="s">
        <v>678</v>
      </c>
      <c r="J507" s="5" t="s">
        <v>182</v>
      </c>
      <c r="K507" s="4">
        <v>40616</v>
      </c>
      <c r="L507" s="4">
        <v>40616</v>
      </c>
      <c r="M507" s="9">
        <f t="shared" si="63"/>
        <v>13</v>
      </c>
      <c r="N507" s="4" t="str">
        <f t="shared" si="65"/>
        <v>] 10 ; 15 ]</v>
      </c>
      <c r="O507" s="5" t="s">
        <v>3782</v>
      </c>
      <c r="P507" s="5" t="s">
        <v>3784</v>
      </c>
      <c r="Q507" s="5">
        <v>1</v>
      </c>
      <c r="R507" s="5" t="str">
        <f t="shared" si="66"/>
        <v>Management &amp; Expertise</v>
      </c>
      <c r="S507" s="5" t="s">
        <v>3789</v>
      </c>
      <c r="T507" s="4">
        <v>29344</v>
      </c>
      <c r="U507" s="5">
        <f t="shared" si="67"/>
        <v>1980</v>
      </c>
      <c r="V507" s="5" t="s">
        <v>3793</v>
      </c>
      <c r="W507" s="9">
        <f t="shared" si="64"/>
        <v>44</v>
      </c>
      <c r="X507" s="5" t="str">
        <f t="shared" si="68"/>
        <v>[40 - 44 ans]</v>
      </c>
      <c r="Y507" s="5" t="str">
        <f t="shared" si="69"/>
        <v xml:space="preserve"> Generation X </v>
      </c>
      <c r="Z507" s="9">
        <f t="shared" si="70"/>
        <v>16</v>
      </c>
      <c r="AA507" s="5" t="str">
        <f t="shared" si="71"/>
        <v>RAS</v>
      </c>
      <c r="AB507" s="5" t="s">
        <v>3823</v>
      </c>
      <c r="AC507" s="6" t="s">
        <v>3800</v>
      </c>
      <c r="AE507" s="5" t="s">
        <v>3846</v>
      </c>
      <c r="AF507" s="5" t="s">
        <v>4481</v>
      </c>
      <c r="AG507" s="5" t="s">
        <v>4485</v>
      </c>
      <c r="AH507" s="5" t="s">
        <v>4488</v>
      </c>
      <c r="AI507" s="5" t="s">
        <v>4008</v>
      </c>
      <c r="AJ507" s="5" t="s">
        <v>4009</v>
      </c>
      <c r="AK507" s="5" t="s">
        <v>4010</v>
      </c>
      <c r="AL507" s="5" t="s">
        <v>3858</v>
      </c>
    </row>
    <row r="508" spans="1:38" x14ac:dyDescent="0.3">
      <c r="A508" s="4">
        <v>45716</v>
      </c>
      <c r="B508" s="5" t="s">
        <v>1849</v>
      </c>
      <c r="C508" s="5" t="s">
        <v>1850</v>
      </c>
      <c r="D508" s="5" t="s">
        <v>1851</v>
      </c>
      <c r="E508" s="5" t="s">
        <v>4494</v>
      </c>
      <c r="G508" s="5" t="s">
        <v>88</v>
      </c>
      <c r="H508" s="5" t="s">
        <v>456</v>
      </c>
      <c r="I508" s="5" t="s">
        <v>744</v>
      </c>
      <c r="J508" s="5" t="s">
        <v>883</v>
      </c>
      <c r="K508" s="4">
        <v>40623</v>
      </c>
      <c r="L508" s="4">
        <v>39845</v>
      </c>
      <c r="M508" s="9">
        <f t="shared" si="63"/>
        <v>16</v>
      </c>
      <c r="N508" s="4" t="str">
        <f t="shared" si="65"/>
        <v>] 15 ; +oo [</v>
      </c>
      <c r="O508" s="5" t="s">
        <v>3780</v>
      </c>
      <c r="P508" s="5" t="s">
        <v>3786</v>
      </c>
      <c r="Q508" s="5">
        <v>1</v>
      </c>
      <c r="R508" s="5" t="str">
        <f t="shared" si="66"/>
        <v>Qualification</v>
      </c>
      <c r="S508" s="5" t="s">
        <v>3789</v>
      </c>
      <c r="T508" s="4">
        <v>31066</v>
      </c>
      <c r="U508" s="5">
        <f t="shared" si="67"/>
        <v>1985</v>
      </c>
      <c r="V508" s="5" t="s">
        <v>3792</v>
      </c>
      <c r="W508" s="9">
        <f t="shared" si="64"/>
        <v>40</v>
      </c>
      <c r="X508" s="5" t="str">
        <f t="shared" si="68"/>
        <v>[40 - 44 ans]</v>
      </c>
      <c r="Y508" s="5" t="str">
        <f t="shared" si="69"/>
        <v xml:space="preserve"> Mellenials </v>
      </c>
      <c r="Z508" s="9">
        <f t="shared" si="70"/>
        <v>20</v>
      </c>
      <c r="AA508" s="5" t="str">
        <f t="shared" si="71"/>
        <v>RAS</v>
      </c>
      <c r="AB508" s="5" t="s">
        <v>3828</v>
      </c>
      <c r="AC508" s="6" t="s">
        <v>3799</v>
      </c>
      <c r="AE508" s="5" t="s">
        <v>3844</v>
      </c>
      <c r="AF508" s="5" t="s">
        <v>4482</v>
      </c>
      <c r="AG508" s="5" t="s">
        <v>4485</v>
      </c>
      <c r="AH508" s="5" t="s">
        <v>4488</v>
      </c>
      <c r="AI508" s="5" t="s">
        <v>4186</v>
      </c>
      <c r="AJ508" s="5" t="s">
        <v>4187</v>
      </c>
      <c r="AK508" s="5" t="s">
        <v>4183</v>
      </c>
      <c r="AL508" s="5" t="s">
        <v>3858</v>
      </c>
    </row>
    <row r="509" spans="1:38" x14ac:dyDescent="0.3">
      <c r="A509" s="4">
        <v>45716</v>
      </c>
      <c r="B509" s="5" t="s">
        <v>1852</v>
      </c>
      <c r="C509" s="5" t="s">
        <v>1853</v>
      </c>
      <c r="D509" s="5" t="s">
        <v>1854</v>
      </c>
      <c r="E509" s="5" t="s">
        <v>4494</v>
      </c>
      <c r="G509" s="5" t="s">
        <v>88</v>
      </c>
      <c r="H509" s="5" t="s">
        <v>456</v>
      </c>
      <c r="I509" s="5" t="s">
        <v>910</v>
      </c>
      <c r="J509" s="5" t="s">
        <v>883</v>
      </c>
      <c r="K509" s="4">
        <v>40630</v>
      </c>
      <c r="L509" s="4">
        <v>38078</v>
      </c>
      <c r="M509" s="9">
        <f t="shared" si="63"/>
        <v>20</v>
      </c>
      <c r="N509" s="4" t="str">
        <f t="shared" si="65"/>
        <v>] 15 ; +oo [</v>
      </c>
      <c r="O509" s="5" t="s">
        <v>3780</v>
      </c>
      <c r="P509" s="5" t="s">
        <v>3786</v>
      </c>
      <c r="Q509" s="5">
        <v>1</v>
      </c>
      <c r="R509" s="5" t="str">
        <f t="shared" si="66"/>
        <v>Qualification</v>
      </c>
      <c r="S509" s="5" t="s">
        <v>3790</v>
      </c>
      <c r="T509" s="4">
        <v>30195</v>
      </c>
      <c r="U509" s="5">
        <f t="shared" si="67"/>
        <v>1982</v>
      </c>
      <c r="V509" s="5" t="s">
        <v>3793</v>
      </c>
      <c r="W509" s="9">
        <f t="shared" si="64"/>
        <v>42</v>
      </c>
      <c r="X509" s="5" t="str">
        <f t="shared" si="68"/>
        <v>[40 - 44 ans]</v>
      </c>
      <c r="Y509" s="5" t="str">
        <f t="shared" si="69"/>
        <v xml:space="preserve"> Mellenials </v>
      </c>
      <c r="Z509" s="9">
        <f t="shared" si="70"/>
        <v>18</v>
      </c>
      <c r="AA509" s="5" t="str">
        <f t="shared" si="71"/>
        <v>RAS</v>
      </c>
      <c r="AB509" s="5" t="s">
        <v>3821</v>
      </c>
      <c r="AC509" s="6" t="s">
        <v>3799</v>
      </c>
      <c r="AE509" s="5" t="s">
        <v>3844</v>
      </c>
      <c r="AF509" s="5" t="s">
        <v>4482</v>
      </c>
      <c r="AG509" s="5" t="s">
        <v>4485</v>
      </c>
      <c r="AH509" s="5" t="s">
        <v>4488</v>
      </c>
      <c r="AI509" s="5" t="s">
        <v>4163</v>
      </c>
      <c r="AJ509" s="5" t="s">
        <v>4164</v>
      </c>
      <c r="AK509" s="5" t="s">
        <v>4165</v>
      </c>
      <c r="AL509" s="5" t="s">
        <v>3858</v>
      </c>
    </row>
    <row r="510" spans="1:38" x14ac:dyDescent="0.3">
      <c r="A510" s="4">
        <v>45716</v>
      </c>
      <c r="B510" s="5" t="s">
        <v>1855</v>
      </c>
      <c r="C510" s="5" t="s">
        <v>1856</v>
      </c>
      <c r="D510" s="5" t="s">
        <v>1857</v>
      </c>
      <c r="E510" s="5" t="s">
        <v>4494</v>
      </c>
      <c r="G510" s="5" t="s">
        <v>34</v>
      </c>
      <c r="H510" s="5" t="s">
        <v>1858</v>
      </c>
      <c r="I510" s="5" t="s">
        <v>2841</v>
      </c>
      <c r="J510" s="5" t="s">
        <v>2841</v>
      </c>
      <c r="K510" s="4">
        <v>40634</v>
      </c>
      <c r="L510" s="4">
        <v>40634</v>
      </c>
      <c r="M510" s="9">
        <f t="shared" si="63"/>
        <v>13</v>
      </c>
      <c r="N510" s="4" t="str">
        <f t="shared" si="65"/>
        <v>] 10 ; 15 ]</v>
      </c>
      <c r="O510" s="5" t="s">
        <v>3779</v>
      </c>
      <c r="P510" s="5" t="s">
        <v>3779</v>
      </c>
      <c r="Q510" s="5">
        <v>2</v>
      </c>
      <c r="R510" s="5" t="str">
        <f t="shared" si="66"/>
        <v>Management &amp; Expertise</v>
      </c>
      <c r="S510" s="5" t="s">
        <v>3789</v>
      </c>
      <c r="T510" s="4">
        <v>25876</v>
      </c>
      <c r="U510" s="5">
        <f t="shared" si="67"/>
        <v>1970</v>
      </c>
      <c r="V510" s="5" t="s">
        <v>3793</v>
      </c>
      <c r="W510" s="9">
        <f t="shared" si="64"/>
        <v>54</v>
      </c>
      <c r="X510" s="5" t="str">
        <f t="shared" si="68"/>
        <v>[50 ans, +oo [</v>
      </c>
      <c r="Y510" s="5" t="str">
        <f t="shared" si="69"/>
        <v xml:space="preserve"> Generation X </v>
      </c>
      <c r="Z510" s="9">
        <f t="shared" si="70"/>
        <v>6</v>
      </c>
      <c r="AA510" s="5" t="str">
        <f t="shared" si="71"/>
        <v>RAS</v>
      </c>
      <c r="AB510" s="5" t="s">
        <v>3806</v>
      </c>
      <c r="AC510" s="6" t="s">
        <v>3799</v>
      </c>
      <c r="AE510" s="5" t="s">
        <v>3845</v>
      </c>
      <c r="AF510" s="5" t="s">
        <v>4481</v>
      </c>
      <c r="AG510" s="5" t="s">
        <v>4484</v>
      </c>
      <c r="AH510" s="5" t="s">
        <v>4487</v>
      </c>
      <c r="AI510" s="5" t="s">
        <v>4367</v>
      </c>
      <c r="AJ510" s="5" t="s">
        <v>4368</v>
      </c>
      <c r="AK510" s="5" t="s">
        <v>3861</v>
      </c>
      <c r="AL510" s="5" t="s">
        <v>3854</v>
      </c>
    </row>
    <row r="511" spans="1:38" x14ac:dyDescent="0.3">
      <c r="A511" s="4">
        <v>45716</v>
      </c>
      <c r="B511" s="5" t="s">
        <v>1859</v>
      </c>
      <c r="C511" s="5" t="s">
        <v>1860</v>
      </c>
      <c r="D511" s="5" t="s">
        <v>1861</v>
      </c>
      <c r="E511" s="5" t="s">
        <v>4494</v>
      </c>
      <c r="G511" s="5" t="s">
        <v>39</v>
      </c>
      <c r="H511" s="5" t="s">
        <v>621</v>
      </c>
      <c r="I511" s="5" t="s">
        <v>1795</v>
      </c>
      <c r="J511" s="5" t="s">
        <v>52</v>
      </c>
      <c r="K511" s="4">
        <v>40634</v>
      </c>
      <c r="L511" s="4">
        <v>39251.041666666664</v>
      </c>
      <c r="M511" s="9">
        <f t="shared" si="63"/>
        <v>17</v>
      </c>
      <c r="N511" s="4" t="str">
        <f t="shared" si="65"/>
        <v>] 15 ; +oo [</v>
      </c>
      <c r="O511" s="5" t="s">
        <v>3780</v>
      </c>
      <c r="P511" s="5" t="s">
        <v>3780</v>
      </c>
      <c r="Q511" s="5">
        <v>3</v>
      </c>
      <c r="R511" s="5" t="str">
        <f t="shared" si="66"/>
        <v>Qualification</v>
      </c>
      <c r="S511" s="5" t="s">
        <v>3789</v>
      </c>
      <c r="T511" s="4">
        <v>30400</v>
      </c>
      <c r="U511" s="5">
        <f t="shared" si="67"/>
        <v>1983</v>
      </c>
      <c r="V511" s="5" t="s">
        <v>3792</v>
      </c>
      <c r="W511" s="9">
        <f t="shared" si="64"/>
        <v>41</v>
      </c>
      <c r="X511" s="5" t="str">
        <f t="shared" si="68"/>
        <v>[40 - 44 ans]</v>
      </c>
      <c r="Y511" s="5" t="str">
        <f t="shared" si="69"/>
        <v xml:space="preserve"> Mellenials </v>
      </c>
      <c r="Z511" s="9">
        <f t="shared" si="70"/>
        <v>19</v>
      </c>
      <c r="AA511" s="5" t="str">
        <f t="shared" si="71"/>
        <v>RAS</v>
      </c>
      <c r="AB511" s="5" t="s">
        <v>3807</v>
      </c>
      <c r="AC511" s="6" t="s">
        <v>3799</v>
      </c>
      <c r="AE511" s="5" t="s">
        <v>3844</v>
      </c>
      <c r="AF511" s="5" t="s">
        <v>4482</v>
      </c>
      <c r="AG511" s="5" t="s">
        <v>4485</v>
      </c>
      <c r="AH511" s="5" t="s">
        <v>4489</v>
      </c>
      <c r="AI511" s="5" t="s">
        <v>4146</v>
      </c>
      <c r="AJ511" s="5" t="s">
        <v>4147</v>
      </c>
      <c r="AK511" s="5" t="s">
        <v>4148</v>
      </c>
      <c r="AL511" s="5" t="s">
        <v>3858</v>
      </c>
    </row>
    <row r="512" spans="1:38" x14ac:dyDescent="0.3">
      <c r="A512" s="4">
        <v>45716</v>
      </c>
      <c r="B512" s="5" t="s">
        <v>1862</v>
      </c>
      <c r="C512" s="5" t="s">
        <v>1863</v>
      </c>
      <c r="D512" s="5" t="s">
        <v>1864</v>
      </c>
      <c r="E512" s="5" t="s">
        <v>4494</v>
      </c>
      <c r="G512" s="5" t="s">
        <v>88</v>
      </c>
      <c r="H512" s="5" t="s">
        <v>456</v>
      </c>
      <c r="I512" s="5" t="s">
        <v>1002</v>
      </c>
      <c r="J512" s="5" t="s">
        <v>883</v>
      </c>
      <c r="K512" s="4">
        <v>40644</v>
      </c>
      <c r="L512" s="4">
        <v>40220.041666666664</v>
      </c>
      <c r="M512" s="9">
        <f t="shared" si="63"/>
        <v>15</v>
      </c>
      <c r="N512" s="4" t="str">
        <f t="shared" si="65"/>
        <v>] 10 ; 15 ]</v>
      </c>
      <c r="O512" s="5" t="s">
        <v>3780</v>
      </c>
      <c r="P512" s="5" t="s">
        <v>3786</v>
      </c>
      <c r="Q512" s="5">
        <v>1</v>
      </c>
      <c r="R512" s="5" t="str">
        <f t="shared" si="66"/>
        <v>Qualification</v>
      </c>
      <c r="S512" s="5" t="s">
        <v>3790</v>
      </c>
      <c r="T512" s="4">
        <v>27105</v>
      </c>
      <c r="U512" s="5">
        <f t="shared" si="67"/>
        <v>1974</v>
      </c>
      <c r="V512" s="5" t="s">
        <v>3793</v>
      </c>
      <c r="W512" s="9">
        <f t="shared" si="64"/>
        <v>50</v>
      </c>
      <c r="X512" s="5" t="str">
        <f t="shared" si="68"/>
        <v>[50 ans, +oo [</v>
      </c>
      <c r="Y512" s="5" t="str">
        <f t="shared" si="69"/>
        <v xml:space="preserve"> Generation X </v>
      </c>
      <c r="Z512" s="9">
        <f t="shared" si="70"/>
        <v>10</v>
      </c>
      <c r="AA512" s="5" t="str">
        <f t="shared" si="71"/>
        <v>RAS</v>
      </c>
      <c r="AB512" s="5" t="s">
        <v>3818</v>
      </c>
      <c r="AC512" s="6" t="s">
        <v>3799</v>
      </c>
      <c r="AE512" s="5" t="s">
        <v>3844</v>
      </c>
      <c r="AF512" s="5" t="s">
        <v>4482</v>
      </c>
      <c r="AG512" s="5" t="s">
        <v>4485</v>
      </c>
      <c r="AH512" s="5" t="s">
        <v>4488</v>
      </c>
      <c r="AI512" s="5" t="s">
        <v>4149</v>
      </c>
      <c r="AJ512" s="5" t="s">
        <v>4150</v>
      </c>
      <c r="AK512" s="5" t="s">
        <v>4151</v>
      </c>
      <c r="AL512" s="5" t="s">
        <v>3858</v>
      </c>
    </row>
    <row r="513" spans="1:38" x14ac:dyDescent="0.3">
      <c r="A513" s="4">
        <v>45716</v>
      </c>
      <c r="B513" s="5" t="s">
        <v>1865</v>
      </c>
      <c r="C513" s="5" t="s">
        <v>1866</v>
      </c>
      <c r="D513" s="5" t="s">
        <v>1867</v>
      </c>
      <c r="E513" s="5" t="s">
        <v>4494</v>
      </c>
      <c r="G513" s="5" t="s">
        <v>39</v>
      </c>
      <c r="H513" s="5" t="s">
        <v>1868</v>
      </c>
      <c r="I513" s="5" t="s">
        <v>1451</v>
      </c>
      <c r="J513" s="5" t="s">
        <v>1372</v>
      </c>
      <c r="K513" s="4">
        <v>40644</v>
      </c>
      <c r="L513" s="4">
        <v>40644</v>
      </c>
      <c r="M513" s="9">
        <f t="shared" ref="M513:M576" si="72">DATEDIF(L513,A513,"y")</f>
        <v>13</v>
      </c>
      <c r="N513" s="4" t="str">
        <f t="shared" si="65"/>
        <v>] 10 ; 15 ]</v>
      </c>
      <c r="O513" s="5" t="s">
        <v>3785</v>
      </c>
      <c r="P513" s="5" t="s">
        <v>3785</v>
      </c>
      <c r="Q513" s="5">
        <v>2</v>
      </c>
      <c r="R513" s="5" t="str">
        <f t="shared" si="66"/>
        <v>Specialisation</v>
      </c>
      <c r="S513" s="5" t="s">
        <v>3789</v>
      </c>
      <c r="T513" s="4">
        <v>31628</v>
      </c>
      <c r="U513" s="5">
        <f t="shared" si="67"/>
        <v>1986</v>
      </c>
      <c r="V513" s="5" t="s">
        <v>3792</v>
      </c>
      <c r="W513" s="9">
        <f t="shared" ref="W513:W576" si="73">DATEDIF(T513,A513,"y")</f>
        <v>38</v>
      </c>
      <c r="X513" s="5" t="str">
        <f t="shared" si="68"/>
        <v>[35 - 39 ans ]</v>
      </c>
      <c r="Y513" s="5" t="str">
        <f t="shared" si="69"/>
        <v xml:space="preserve"> Mellenials </v>
      </c>
      <c r="Z513" s="9">
        <f t="shared" si="70"/>
        <v>22</v>
      </c>
      <c r="AA513" s="5" t="str">
        <f t="shared" si="71"/>
        <v>RAS</v>
      </c>
      <c r="AB513" s="5" t="s">
        <v>3805</v>
      </c>
      <c r="AC513" s="6" t="s">
        <v>3799</v>
      </c>
      <c r="AE513" s="5" t="s">
        <v>3844</v>
      </c>
      <c r="AF513" s="5" t="s">
        <v>4481</v>
      </c>
      <c r="AG513" s="5" t="s">
        <v>4485</v>
      </c>
      <c r="AH513" s="5" t="s">
        <v>4489</v>
      </c>
      <c r="AI513" s="5" t="s">
        <v>3957</v>
      </c>
      <c r="AJ513" s="5" t="s">
        <v>3958</v>
      </c>
      <c r="AK513" s="5" t="s">
        <v>3959</v>
      </c>
      <c r="AL513" s="5" t="s">
        <v>3858</v>
      </c>
    </row>
    <row r="514" spans="1:38" x14ac:dyDescent="0.3">
      <c r="A514" s="4">
        <v>45716</v>
      </c>
      <c r="B514" s="5" t="s">
        <v>1869</v>
      </c>
      <c r="C514" s="5" t="s">
        <v>1870</v>
      </c>
      <c r="D514" s="5" t="s">
        <v>1871</v>
      </c>
      <c r="E514" s="5" t="s">
        <v>4494</v>
      </c>
      <c r="G514" s="5" t="s">
        <v>88</v>
      </c>
      <c r="H514" s="5" t="s">
        <v>456</v>
      </c>
      <c r="I514" s="5" t="s">
        <v>910</v>
      </c>
      <c r="J514" s="5" t="s">
        <v>883</v>
      </c>
      <c r="K514" s="4">
        <v>40644</v>
      </c>
      <c r="L514" s="4">
        <v>40644</v>
      </c>
      <c r="M514" s="9">
        <f t="shared" si="72"/>
        <v>13</v>
      </c>
      <c r="N514" s="4" t="str">
        <f t="shared" ref="N514:N577" si="74">IF(M514&lt;=2," ] 0 ; 2 ]",IF(AND(M514&gt;2,M514&lt;=5),"] 2 ; 5 ]",IF(AND(M514&gt;5,M514&lt;=8),"] 5 ; 8 ]",IF(AND(M514&gt;8,M514&lt;=10),"] 8 ; 10 ]",IF(AND(M514&gt;10,M514&lt;=15),"] 10 ; 15 ]","] 15 ; +oo [")))))</f>
        <v>] 10 ; 15 ]</v>
      </c>
      <c r="O514" s="5" t="s">
        <v>3780</v>
      </c>
      <c r="P514" s="5" t="s">
        <v>3786</v>
      </c>
      <c r="Q514" s="5">
        <v>1</v>
      </c>
      <c r="R514" s="5" t="str">
        <f t="shared" ref="R514:R577" si="75">IF(OR(O514="A",O514="B",O514="C",O514="D"),"Qualification",IF(OR(O514="E",O514="F",O514="G"),"Specialisation","Management &amp; Expertise"))</f>
        <v>Qualification</v>
      </c>
      <c r="S514" s="5" t="s">
        <v>3790</v>
      </c>
      <c r="T514" s="4">
        <v>30143</v>
      </c>
      <c r="U514" s="5">
        <f t="shared" ref="U514:U577" si="76">YEAR(T514)</f>
        <v>1982</v>
      </c>
      <c r="V514" s="5" t="s">
        <v>3793</v>
      </c>
      <c r="W514" s="9">
        <f t="shared" si="73"/>
        <v>42</v>
      </c>
      <c r="X514" s="5" t="str">
        <f t="shared" ref="X514:X577" si="77">IF(W514&lt;30,"[20 - 29 ans[",IF(AND(W514&gt;=30,W514&lt;35),"[30 - 34 ans]",IF(AND(W514&gt;=35,W514&lt;40),"[35 - 39 ans ]",IF(AND(W514&gt;=40,W514&lt;45),"[40 - 44 ans]",IF(AND(W514&gt;=45,W514&lt;50),"[45 - 49 ans]","[50 ans, +oo [")))))</f>
        <v>[40 - 44 ans]</v>
      </c>
      <c r="Y514" s="5" t="str">
        <f t="shared" ref="Y514:Y577" si="78">IF(AND(U514&gt;1946,U514&lt;=1965)," Baby - Boomers ",IF(AND(U514&gt;1965,U514&lt;=1980)," Generation X ",IF(AND(U514&gt;1980,U514&lt;1996)," Mellenials ",IF(AND(U514&gt;1996,U514&lt;2012)," Gen Z "," Gen Alpha"))))</f>
        <v xml:space="preserve"> Mellenials </v>
      </c>
      <c r="Z514" s="9">
        <f t="shared" ref="Z514:Z577" si="79">60-W514</f>
        <v>18</v>
      </c>
      <c r="AA514" s="5" t="str">
        <f t="shared" ref="AA514:AA577" si="80">IF(Z514&lt;=5,"Départ à la Retraite 5ans","RAS")</f>
        <v>RAS</v>
      </c>
      <c r="AB514" s="5" t="s">
        <v>3821</v>
      </c>
      <c r="AC514" s="6" t="s">
        <v>3799</v>
      </c>
      <c r="AE514" s="5" t="s">
        <v>3844</v>
      </c>
      <c r="AF514" s="5" t="s">
        <v>4482</v>
      </c>
      <c r="AG514" s="5" t="s">
        <v>4485</v>
      </c>
      <c r="AH514" s="5" t="s">
        <v>4488</v>
      </c>
      <c r="AI514" s="5" t="s">
        <v>4163</v>
      </c>
      <c r="AJ514" s="5" t="s">
        <v>4164</v>
      </c>
      <c r="AK514" s="5" t="s">
        <v>4165</v>
      </c>
      <c r="AL514" s="5" t="s">
        <v>3858</v>
      </c>
    </row>
    <row r="515" spans="1:38" x14ac:dyDescent="0.3">
      <c r="A515" s="4">
        <v>45716</v>
      </c>
      <c r="B515" s="5" t="s">
        <v>1872</v>
      </c>
      <c r="C515" s="5" t="s">
        <v>1873</v>
      </c>
      <c r="D515" s="5" t="s">
        <v>1874</v>
      </c>
      <c r="E515" s="5" t="s">
        <v>4494</v>
      </c>
      <c r="G515" s="5" t="s">
        <v>88</v>
      </c>
      <c r="H515" s="5" t="s">
        <v>456</v>
      </c>
      <c r="I515" s="5" t="s">
        <v>652</v>
      </c>
      <c r="J515" s="5" t="s">
        <v>883</v>
      </c>
      <c r="K515" s="4">
        <v>40644</v>
      </c>
      <c r="L515" s="4">
        <v>40644</v>
      </c>
      <c r="M515" s="9">
        <f t="shared" si="72"/>
        <v>13</v>
      </c>
      <c r="N515" s="4" t="str">
        <f t="shared" si="74"/>
        <v>] 10 ; 15 ]</v>
      </c>
      <c r="O515" s="5" t="s">
        <v>3780</v>
      </c>
      <c r="P515" s="5" t="s">
        <v>3786</v>
      </c>
      <c r="Q515" s="5">
        <v>1</v>
      </c>
      <c r="R515" s="5" t="str">
        <f t="shared" si="75"/>
        <v>Qualification</v>
      </c>
      <c r="S515" s="5" t="s">
        <v>3789</v>
      </c>
      <c r="T515" s="4">
        <v>32246</v>
      </c>
      <c r="U515" s="5">
        <f t="shared" si="76"/>
        <v>1988</v>
      </c>
      <c r="V515" s="5" t="s">
        <v>3792</v>
      </c>
      <c r="W515" s="9">
        <f t="shared" si="73"/>
        <v>36</v>
      </c>
      <c r="X515" s="5" t="str">
        <f t="shared" si="77"/>
        <v>[35 - 39 ans ]</v>
      </c>
      <c r="Y515" s="5" t="str">
        <f t="shared" si="78"/>
        <v xml:space="preserve"> Mellenials </v>
      </c>
      <c r="Z515" s="9">
        <f t="shared" si="79"/>
        <v>24</v>
      </c>
      <c r="AA515" s="5" t="str">
        <f t="shared" si="80"/>
        <v>RAS</v>
      </c>
      <c r="AB515" s="5" t="s">
        <v>3822</v>
      </c>
      <c r="AC515" s="6" t="s">
        <v>3802</v>
      </c>
      <c r="AE515" s="5" t="s">
        <v>3844</v>
      </c>
      <c r="AF515" s="5" t="s">
        <v>4482</v>
      </c>
      <c r="AG515" s="5" t="s">
        <v>4485</v>
      </c>
      <c r="AH515" s="5" t="s">
        <v>4488</v>
      </c>
      <c r="AI515" s="5" t="s">
        <v>4166</v>
      </c>
      <c r="AJ515" s="5" t="s">
        <v>4167</v>
      </c>
      <c r="AK515" s="5" t="s">
        <v>4168</v>
      </c>
      <c r="AL515" s="5" t="s">
        <v>3858</v>
      </c>
    </row>
    <row r="516" spans="1:38" x14ac:dyDescent="0.3">
      <c r="A516" s="4">
        <v>45716</v>
      </c>
      <c r="B516" s="5" t="s">
        <v>1875</v>
      </c>
      <c r="C516" s="5" t="s">
        <v>1876</v>
      </c>
      <c r="D516" s="5" t="s">
        <v>1877</v>
      </c>
      <c r="E516" s="5" t="s">
        <v>4494</v>
      </c>
      <c r="G516" s="5" t="s">
        <v>88</v>
      </c>
      <c r="H516" s="5" t="s">
        <v>706</v>
      </c>
      <c r="I516" s="5" t="s">
        <v>652</v>
      </c>
      <c r="J516" s="5" t="s">
        <v>883</v>
      </c>
      <c r="K516" s="4">
        <v>40644</v>
      </c>
      <c r="L516" s="4">
        <v>40644</v>
      </c>
      <c r="M516" s="9">
        <f t="shared" si="72"/>
        <v>13</v>
      </c>
      <c r="N516" s="4" t="str">
        <f t="shared" si="74"/>
        <v>] 10 ; 15 ]</v>
      </c>
      <c r="O516" s="5" t="s">
        <v>3786</v>
      </c>
      <c r="P516" s="5" t="s">
        <v>3786</v>
      </c>
      <c r="Q516" s="5">
        <v>2</v>
      </c>
      <c r="R516" s="5" t="str">
        <f t="shared" si="75"/>
        <v>Specialisation</v>
      </c>
      <c r="S516" s="5" t="s">
        <v>3789</v>
      </c>
      <c r="T516" s="4">
        <v>32053</v>
      </c>
      <c r="U516" s="5">
        <f t="shared" si="76"/>
        <v>1987</v>
      </c>
      <c r="V516" s="5" t="s">
        <v>3793</v>
      </c>
      <c r="W516" s="9">
        <f t="shared" si="73"/>
        <v>37</v>
      </c>
      <c r="X516" s="5" t="str">
        <f t="shared" si="77"/>
        <v>[35 - 39 ans ]</v>
      </c>
      <c r="Y516" s="5" t="str">
        <f t="shared" si="78"/>
        <v xml:space="preserve"> Mellenials </v>
      </c>
      <c r="Z516" s="9">
        <f t="shared" si="79"/>
        <v>23</v>
      </c>
      <c r="AA516" s="5" t="str">
        <f t="shared" si="80"/>
        <v>RAS</v>
      </c>
      <c r="AB516" s="5" t="s">
        <v>3822</v>
      </c>
      <c r="AC516" s="6" t="s">
        <v>3802</v>
      </c>
      <c r="AE516" s="5" t="s">
        <v>3844</v>
      </c>
      <c r="AF516" s="5" t="s">
        <v>4482</v>
      </c>
      <c r="AG516" s="5" t="s">
        <v>4485</v>
      </c>
      <c r="AH516" s="5" t="s">
        <v>4488</v>
      </c>
      <c r="AI516" s="5" t="s">
        <v>4166</v>
      </c>
      <c r="AJ516" s="5" t="s">
        <v>4167</v>
      </c>
      <c r="AK516" s="5" t="s">
        <v>4168</v>
      </c>
      <c r="AL516" s="5" t="s">
        <v>3858</v>
      </c>
    </row>
    <row r="517" spans="1:38" x14ac:dyDescent="0.3">
      <c r="A517" s="4">
        <v>45716</v>
      </c>
      <c r="B517" s="5" t="s">
        <v>1878</v>
      </c>
      <c r="C517" s="5" t="s">
        <v>1879</v>
      </c>
      <c r="D517" s="5" t="s">
        <v>1880</v>
      </c>
      <c r="E517" s="5" t="s">
        <v>4494</v>
      </c>
      <c r="G517" s="5" t="s">
        <v>88</v>
      </c>
      <c r="H517" s="5" t="s">
        <v>1881</v>
      </c>
      <c r="I517" s="5" t="s">
        <v>1389</v>
      </c>
      <c r="J517" s="5" t="s">
        <v>182</v>
      </c>
      <c r="K517" s="4">
        <v>40644</v>
      </c>
      <c r="L517" s="4">
        <v>40644</v>
      </c>
      <c r="M517" s="9">
        <f t="shared" si="72"/>
        <v>13</v>
      </c>
      <c r="N517" s="4" t="str">
        <f t="shared" si="74"/>
        <v>] 10 ; 15 ]</v>
      </c>
      <c r="O517" s="5" t="s">
        <v>3786</v>
      </c>
      <c r="P517" s="5" t="s">
        <v>3786</v>
      </c>
      <c r="Q517" s="5">
        <v>2</v>
      </c>
      <c r="R517" s="5" t="str">
        <f t="shared" si="75"/>
        <v>Specialisation</v>
      </c>
      <c r="S517" s="5" t="s">
        <v>3790</v>
      </c>
      <c r="T517" s="4">
        <v>32351</v>
      </c>
      <c r="U517" s="5">
        <f t="shared" si="76"/>
        <v>1988</v>
      </c>
      <c r="V517" s="5" t="s">
        <v>3792</v>
      </c>
      <c r="W517" s="9">
        <f t="shared" si="73"/>
        <v>36</v>
      </c>
      <c r="X517" s="5" t="str">
        <f t="shared" si="77"/>
        <v>[35 - 39 ans ]</v>
      </c>
      <c r="Y517" s="5" t="str">
        <f t="shared" si="78"/>
        <v xml:space="preserve"> Mellenials </v>
      </c>
      <c r="Z517" s="9">
        <f t="shared" si="79"/>
        <v>24</v>
      </c>
      <c r="AA517" s="5" t="str">
        <f t="shared" si="80"/>
        <v>RAS</v>
      </c>
      <c r="AB517" s="5" t="s">
        <v>3806</v>
      </c>
      <c r="AC517" s="6" t="s">
        <v>3799</v>
      </c>
      <c r="AE517" s="5" t="s">
        <v>3844</v>
      </c>
      <c r="AF517" s="5" t="s">
        <v>4482</v>
      </c>
      <c r="AG517" s="5" t="s">
        <v>4485</v>
      </c>
      <c r="AH517" s="5" t="s">
        <v>4488</v>
      </c>
      <c r="AI517" s="5" t="s">
        <v>4098</v>
      </c>
      <c r="AJ517" s="5" t="s">
        <v>4099</v>
      </c>
      <c r="AK517" s="5" t="s">
        <v>4100</v>
      </c>
      <c r="AL517" s="5" t="s">
        <v>3858</v>
      </c>
    </row>
    <row r="518" spans="1:38" x14ac:dyDescent="0.3">
      <c r="A518" s="4">
        <v>45716</v>
      </c>
      <c r="B518" s="5" t="s">
        <v>1882</v>
      </c>
      <c r="C518" s="5" t="s">
        <v>1883</v>
      </c>
      <c r="D518" s="5" t="s">
        <v>1884</v>
      </c>
      <c r="E518" s="5" t="s">
        <v>4494</v>
      </c>
      <c r="G518" s="5" t="s">
        <v>88</v>
      </c>
      <c r="H518" s="5" t="s">
        <v>1885</v>
      </c>
      <c r="I518" s="5" t="s">
        <v>2229</v>
      </c>
      <c r="J518" s="5" t="s">
        <v>2724</v>
      </c>
      <c r="K518" s="4">
        <v>40651</v>
      </c>
      <c r="L518" s="4">
        <v>40651</v>
      </c>
      <c r="M518" s="9">
        <f t="shared" si="72"/>
        <v>13</v>
      </c>
      <c r="N518" s="4" t="str">
        <f t="shared" si="74"/>
        <v>] 10 ; 15 ]</v>
      </c>
      <c r="O518" s="5" t="s">
        <v>3783</v>
      </c>
      <c r="P518" s="5" t="s">
        <v>3785</v>
      </c>
      <c r="Q518" s="5">
        <v>1</v>
      </c>
      <c r="R518" s="5" t="str">
        <f t="shared" si="75"/>
        <v>Specialisation</v>
      </c>
      <c r="S518" s="5" t="s">
        <v>3789</v>
      </c>
      <c r="T518" s="4">
        <v>31090</v>
      </c>
      <c r="U518" s="5">
        <f t="shared" si="76"/>
        <v>1985</v>
      </c>
      <c r="V518" s="5" t="s">
        <v>3793</v>
      </c>
      <c r="W518" s="9">
        <f t="shared" si="73"/>
        <v>40</v>
      </c>
      <c r="X518" s="5" t="str">
        <f t="shared" si="77"/>
        <v>[40 - 44 ans]</v>
      </c>
      <c r="Y518" s="5" t="str">
        <f t="shared" si="78"/>
        <v xml:space="preserve"> Mellenials </v>
      </c>
      <c r="Z518" s="9">
        <f t="shared" si="79"/>
        <v>20</v>
      </c>
      <c r="AA518" s="5" t="str">
        <f t="shared" si="80"/>
        <v>RAS</v>
      </c>
      <c r="AB518" s="5" t="s">
        <v>3806</v>
      </c>
      <c r="AC518" s="6" t="s">
        <v>3799</v>
      </c>
      <c r="AE518" s="5" t="s">
        <v>3844</v>
      </c>
      <c r="AF518" s="5" t="s">
        <v>4482</v>
      </c>
      <c r="AG518" s="5" t="s">
        <v>4485</v>
      </c>
      <c r="AH518" s="5" t="s">
        <v>4488</v>
      </c>
      <c r="AI518" s="5" t="s">
        <v>4214</v>
      </c>
      <c r="AJ518" s="5" t="s">
        <v>4369</v>
      </c>
      <c r="AK518" s="5" t="s">
        <v>4215</v>
      </c>
      <c r="AL518" s="5" t="s">
        <v>3858</v>
      </c>
    </row>
    <row r="519" spans="1:38" x14ac:dyDescent="0.3">
      <c r="A519" s="4">
        <v>45716</v>
      </c>
      <c r="B519" s="5" t="s">
        <v>1886</v>
      </c>
      <c r="C519" s="5" t="s">
        <v>1887</v>
      </c>
      <c r="D519" s="5" t="s">
        <v>1888</v>
      </c>
      <c r="E519" s="5" t="s">
        <v>4494</v>
      </c>
      <c r="G519" s="5" t="s">
        <v>44</v>
      </c>
      <c r="H519" s="5" t="s">
        <v>1889</v>
      </c>
      <c r="I519" s="5" t="s">
        <v>92</v>
      </c>
      <c r="J519" s="5" t="s">
        <v>2337</v>
      </c>
      <c r="K519" s="4">
        <v>40651</v>
      </c>
      <c r="L519" s="4">
        <v>40658</v>
      </c>
      <c r="M519" s="9">
        <f t="shared" si="72"/>
        <v>13</v>
      </c>
      <c r="N519" s="4" t="str">
        <f t="shared" si="74"/>
        <v>] 10 ; 15 ]</v>
      </c>
      <c r="O519" s="5" t="s">
        <v>3784</v>
      </c>
      <c r="P519" s="5" t="s">
        <v>3784</v>
      </c>
      <c r="Q519" s="5">
        <v>1</v>
      </c>
      <c r="R519" s="5" t="str">
        <f t="shared" si="75"/>
        <v>Management &amp; Expertise</v>
      </c>
      <c r="S519" s="5" t="s">
        <v>3790</v>
      </c>
      <c r="T519" s="4">
        <v>29107</v>
      </c>
      <c r="U519" s="5">
        <f t="shared" si="76"/>
        <v>1979</v>
      </c>
      <c r="V519" s="5" t="s">
        <v>3793</v>
      </c>
      <c r="W519" s="9">
        <f t="shared" si="73"/>
        <v>45</v>
      </c>
      <c r="X519" s="5" t="str">
        <f t="shared" si="77"/>
        <v>[45 - 49 ans]</v>
      </c>
      <c r="Y519" s="5" t="str">
        <f t="shared" si="78"/>
        <v xml:space="preserve"> Generation X </v>
      </c>
      <c r="Z519" s="9">
        <f t="shared" si="79"/>
        <v>15</v>
      </c>
      <c r="AA519" s="5" t="str">
        <f t="shared" si="80"/>
        <v>RAS</v>
      </c>
      <c r="AB519" s="5" t="s">
        <v>3806</v>
      </c>
      <c r="AC519" s="6" t="s">
        <v>3799</v>
      </c>
      <c r="AE519" s="5" t="s">
        <v>3845</v>
      </c>
      <c r="AF519" s="5" t="s">
        <v>4481</v>
      </c>
      <c r="AG519" s="5" t="s">
        <v>4485</v>
      </c>
      <c r="AH519" s="5" t="s">
        <v>4487</v>
      </c>
      <c r="AI519" s="5" t="s">
        <v>4004</v>
      </c>
      <c r="AJ519" s="5" t="s">
        <v>4005</v>
      </c>
      <c r="AK519" s="5" t="s">
        <v>3900</v>
      </c>
      <c r="AL519" s="5" t="s">
        <v>3854</v>
      </c>
    </row>
    <row r="520" spans="1:38" x14ac:dyDescent="0.3">
      <c r="A520" s="4">
        <v>45716</v>
      </c>
      <c r="B520" s="5" t="s">
        <v>1890</v>
      </c>
      <c r="C520" s="5" t="s">
        <v>1891</v>
      </c>
      <c r="D520" s="5" t="s">
        <v>1892</v>
      </c>
      <c r="E520" s="5" t="s">
        <v>4494</v>
      </c>
      <c r="G520" s="5" t="s">
        <v>88</v>
      </c>
      <c r="H520" s="5" t="s">
        <v>896</v>
      </c>
      <c r="I520" s="5" t="s">
        <v>2724</v>
      </c>
      <c r="J520" s="5" t="s">
        <v>182</v>
      </c>
      <c r="K520" s="4">
        <v>40665</v>
      </c>
      <c r="L520" s="4">
        <v>40665</v>
      </c>
      <c r="M520" s="9">
        <f t="shared" si="72"/>
        <v>13</v>
      </c>
      <c r="N520" s="4" t="str">
        <f t="shared" si="74"/>
        <v>] 10 ; 15 ]</v>
      </c>
      <c r="O520" s="5" t="s">
        <v>3782</v>
      </c>
      <c r="P520" s="5" t="s">
        <v>3782</v>
      </c>
      <c r="Q520" s="5">
        <v>1</v>
      </c>
      <c r="R520" s="5" t="str">
        <f t="shared" si="75"/>
        <v>Management &amp; Expertise</v>
      </c>
      <c r="S520" s="5" t="s">
        <v>3789</v>
      </c>
      <c r="T520" s="4">
        <v>28841</v>
      </c>
      <c r="U520" s="5">
        <f t="shared" si="76"/>
        <v>1978</v>
      </c>
      <c r="V520" s="5" t="s">
        <v>3793</v>
      </c>
      <c r="W520" s="9">
        <f t="shared" si="73"/>
        <v>46</v>
      </c>
      <c r="X520" s="5" t="str">
        <f t="shared" si="77"/>
        <v>[45 - 49 ans]</v>
      </c>
      <c r="Y520" s="5" t="str">
        <f t="shared" si="78"/>
        <v xml:space="preserve"> Generation X </v>
      </c>
      <c r="Z520" s="9">
        <f t="shared" si="79"/>
        <v>14</v>
      </c>
      <c r="AA520" s="5" t="str">
        <f t="shared" si="80"/>
        <v>RAS</v>
      </c>
      <c r="AB520" s="5" t="s">
        <v>3806</v>
      </c>
      <c r="AC520" s="6" t="s">
        <v>3799</v>
      </c>
      <c r="AE520" s="5" t="s">
        <v>3846</v>
      </c>
      <c r="AF520" s="5" t="s">
        <v>4481</v>
      </c>
      <c r="AG520" s="5" t="s">
        <v>4485</v>
      </c>
      <c r="AH520" s="5" t="s">
        <v>4488</v>
      </c>
      <c r="AI520" s="5" t="s">
        <v>4216</v>
      </c>
      <c r="AJ520" s="5" t="s">
        <v>4217</v>
      </c>
      <c r="AK520" s="5">
        <v>11100</v>
      </c>
      <c r="AL520" s="5" t="s">
        <v>3858</v>
      </c>
    </row>
    <row r="521" spans="1:38" x14ac:dyDescent="0.3">
      <c r="A521" s="4">
        <v>45716</v>
      </c>
      <c r="B521" s="5" t="s">
        <v>1893</v>
      </c>
      <c r="C521" s="5" t="s">
        <v>1894</v>
      </c>
      <c r="D521" s="5" t="s">
        <v>1895</v>
      </c>
      <c r="E521" s="5" t="s">
        <v>4494</v>
      </c>
      <c r="G521" s="5" t="s">
        <v>29</v>
      </c>
      <c r="H521" s="5" t="s">
        <v>1896</v>
      </c>
      <c r="I521" s="5" t="s">
        <v>69</v>
      </c>
      <c r="J521" s="5" t="s">
        <v>2355</v>
      </c>
      <c r="K521" s="4">
        <v>40665</v>
      </c>
      <c r="L521" s="4">
        <v>38881.041666666664</v>
      </c>
      <c r="M521" s="9">
        <f t="shared" si="72"/>
        <v>18</v>
      </c>
      <c r="N521" s="4" t="str">
        <f t="shared" si="74"/>
        <v>] 15 ; +oo [</v>
      </c>
      <c r="O521" s="5" t="s">
        <v>3781</v>
      </c>
      <c r="P521" s="5" t="s">
        <v>3787</v>
      </c>
      <c r="Q521" s="5">
        <v>1</v>
      </c>
      <c r="R521" s="5" t="str">
        <f t="shared" si="75"/>
        <v>Qualification</v>
      </c>
      <c r="S521" s="5" t="s">
        <v>3789</v>
      </c>
      <c r="T521" s="4">
        <v>24488</v>
      </c>
      <c r="U521" s="5">
        <f t="shared" si="76"/>
        <v>1967</v>
      </c>
      <c r="V521" s="5" t="s">
        <v>3793</v>
      </c>
      <c r="W521" s="9">
        <f t="shared" si="73"/>
        <v>58</v>
      </c>
      <c r="X521" s="5" t="str">
        <f t="shared" si="77"/>
        <v>[50 ans, +oo [</v>
      </c>
      <c r="Y521" s="5" t="str">
        <f t="shared" si="78"/>
        <v xml:space="preserve"> Generation X </v>
      </c>
      <c r="Z521" s="9">
        <f t="shared" si="79"/>
        <v>2</v>
      </c>
      <c r="AA521" s="5" t="str">
        <f t="shared" si="80"/>
        <v>Départ à la Retraite 5ans</v>
      </c>
      <c r="AB521" s="5" t="s">
        <v>3806</v>
      </c>
      <c r="AC521" s="6" t="s">
        <v>3799</v>
      </c>
      <c r="AE521" s="5" t="s">
        <v>3844</v>
      </c>
      <c r="AF521" s="5" t="s">
        <v>4482</v>
      </c>
      <c r="AG521" s="5" t="s">
        <v>4485</v>
      </c>
      <c r="AH521" s="5" t="s">
        <v>4487</v>
      </c>
      <c r="AI521" s="5" t="s">
        <v>3883</v>
      </c>
      <c r="AJ521" s="5" t="s">
        <v>3884</v>
      </c>
      <c r="AK521" s="5" t="s">
        <v>3885</v>
      </c>
      <c r="AL521" s="5" t="s">
        <v>3858</v>
      </c>
    </row>
    <row r="522" spans="1:38" x14ac:dyDescent="0.3">
      <c r="A522" s="4">
        <v>45716</v>
      </c>
      <c r="B522" s="5" t="s">
        <v>1897</v>
      </c>
      <c r="C522" s="5" t="s">
        <v>1898</v>
      </c>
      <c r="D522" s="5" t="s">
        <v>1899</v>
      </c>
      <c r="E522" s="5" t="s">
        <v>4494</v>
      </c>
      <c r="G522" s="5" t="s">
        <v>39</v>
      </c>
      <c r="H522" s="5" t="s">
        <v>1900</v>
      </c>
      <c r="I522" s="5" t="s">
        <v>2821</v>
      </c>
      <c r="J522" s="5" t="s">
        <v>2841</v>
      </c>
      <c r="K522" s="4">
        <v>40665</v>
      </c>
      <c r="L522" s="4">
        <v>40665</v>
      </c>
      <c r="M522" s="9">
        <f t="shared" si="72"/>
        <v>13</v>
      </c>
      <c r="N522" s="4" t="str">
        <f t="shared" si="74"/>
        <v>] 10 ; 15 ]</v>
      </c>
      <c r="O522" s="5" t="s">
        <v>3779</v>
      </c>
      <c r="P522" s="5" t="s">
        <v>3779</v>
      </c>
      <c r="Q522" s="5">
        <v>1</v>
      </c>
      <c r="R522" s="5" t="str">
        <f t="shared" si="75"/>
        <v>Management &amp; Expertise</v>
      </c>
      <c r="S522" s="5" t="s">
        <v>3789</v>
      </c>
      <c r="T522" s="4">
        <v>27299</v>
      </c>
      <c r="U522" s="5">
        <f t="shared" si="76"/>
        <v>1974</v>
      </c>
      <c r="V522" s="5" t="s">
        <v>3793</v>
      </c>
      <c r="W522" s="9">
        <f t="shared" si="73"/>
        <v>50</v>
      </c>
      <c r="X522" s="5" t="str">
        <f t="shared" si="77"/>
        <v>[50 ans, +oo [</v>
      </c>
      <c r="Y522" s="5" t="str">
        <f t="shared" si="78"/>
        <v xml:space="preserve"> Generation X </v>
      </c>
      <c r="Z522" s="9">
        <f t="shared" si="79"/>
        <v>10</v>
      </c>
      <c r="AA522" s="5" t="str">
        <f t="shared" si="80"/>
        <v>RAS</v>
      </c>
      <c r="AB522" s="5" t="s">
        <v>3807</v>
      </c>
      <c r="AC522" s="6" t="s">
        <v>3799</v>
      </c>
      <c r="AE522" s="5" t="s">
        <v>3845</v>
      </c>
      <c r="AF522" s="5" t="s">
        <v>4481</v>
      </c>
      <c r="AG522" s="5" t="s">
        <v>4484</v>
      </c>
      <c r="AH522" s="5" t="s">
        <v>4489</v>
      </c>
      <c r="AI522" s="5" t="s">
        <v>4370</v>
      </c>
      <c r="AJ522" s="5" t="s">
        <v>4371</v>
      </c>
      <c r="AK522" s="5" t="s">
        <v>4372</v>
      </c>
      <c r="AL522" s="5" t="s">
        <v>3854</v>
      </c>
    </row>
    <row r="523" spans="1:38" x14ac:dyDescent="0.3">
      <c r="A523" s="4">
        <v>45716</v>
      </c>
      <c r="B523" s="5" t="s">
        <v>1901</v>
      </c>
      <c r="C523" s="5" t="s">
        <v>1902</v>
      </c>
      <c r="D523" s="5" t="s">
        <v>1903</v>
      </c>
      <c r="E523" s="5" t="s">
        <v>4494</v>
      </c>
      <c r="G523" s="5" t="s">
        <v>83</v>
      </c>
      <c r="H523" s="5" t="s">
        <v>1904</v>
      </c>
      <c r="I523" s="5" t="s">
        <v>82</v>
      </c>
      <c r="J523" s="5" t="s">
        <v>2841</v>
      </c>
      <c r="K523" s="4">
        <v>40673</v>
      </c>
      <c r="L523" s="4">
        <v>40673</v>
      </c>
      <c r="M523" s="9">
        <f t="shared" si="72"/>
        <v>13</v>
      </c>
      <c r="N523" s="4" t="str">
        <f t="shared" si="74"/>
        <v>] 10 ; 15 ]</v>
      </c>
      <c r="O523" s="5" t="s">
        <v>3784</v>
      </c>
      <c r="P523" s="5" t="s">
        <v>3784</v>
      </c>
      <c r="Q523" s="5">
        <v>2</v>
      </c>
      <c r="R523" s="5" t="str">
        <f t="shared" si="75"/>
        <v>Management &amp; Expertise</v>
      </c>
      <c r="S523" s="5" t="s">
        <v>3789</v>
      </c>
      <c r="T523" s="4">
        <v>28342</v>
      </c>
      <c r="U523" s="5">
        <f t="shared" si="76"/>
        <v>1977</v>
      </c>
      <c r="V523" s="5" t="s">
        <v>3793</v>
      </c>
      <c r="W523" s="9">
        <f t="shared" si="73"/>
        <v>47</v>
      </c>
      <c r="X523" s="5" t="str">
        <f t="shared" si="77"/>
        <v>[45 - 49 ans]</v>
      </c>
      <c r="Y523" s="5" t="str">
        <f t="shared" si="78"/>
        <v xml:space="preserve"> Generation X </v>
      </c>
      <c r="Z523" s="9">
        <f t="shared" si="79"/>
        <v>13</v>
      </c>
      <c r="AA523" s="5" t="str">
        <f t="shared" si="80"/>
        <v>RAS</v>
      </c>
      <c r="AB523" s="5" t="s">
        <v>3807</v>
      </c>
      <c r="AC523" s="6" t="s">
        <v>3799</v>
      </c>
      <c r="AE523" s="5" t="s">
        <v>3845</v>
      </c>
      <c r="AF523" s="5" t="s">
        <v>4481</v>
      </c>
      <c r="AG523" s="5" t="s">
        <v>4485</v>
      </c>
      <c r="AH523" s="5" t="s">
        <v>4489</v>
      </c>
      <c r="AI523" s="5" t="s">
        <v>4373</v>
      </c>
      <c r="AJ523" s="5" t="s">
        <v>4374</v>
      </c>
      <c r="AK523" s="5" t="s">
        <v>4033</v>
      </c>
      <c r="AL523" s="5" t="s">
        <v>3854</v>
      </c>
    </row>
    <row r="524" spans="1:38" x14ac:dyDescent="0.3">
      <c r="A524" s="4">
        <v>45716</v>
      </c>
      <c r="B524" s="5" t="s">
        <v>1905</v>
      </c>
      <c r="C524" s="5" t="s">
        <v>1906</v>
      </c>
      <c r="D524" s="5" t="s">
        <v>1907</v>
      </c>
      <c r="E524" s="5" t="s">
        <v>4494</v>
      </c>
      <c r="G524" s="5" t="s">
        <v>29</v>
      </c>
      <c r="H524" s="5" t="s">
        <v>1908</v>
      </c>
      <c r="I524" s="5" t="s">
        <v>157</v>
      </c>
      <c r="J524" s="5" t="s">
        <v>2355</v>
      </c>
      <c r="K524" s="4">
        <v>40714</v>
      </c>
      <c r="L524" s="4">
        <v>40714</v>
      </c>
      <c r="M524" s="9">
        <f t="shared" si="72"/>
        <v>13</v>
      </c>
      <c r="N524" s="4" t="str">
        <f t="shared" si="74"/>
        <v>] 10 ; 15 ]</v>
      </c>
      <c r="O524" s="5" t="s">
        <v>3782</v>
      </c>
      <c r="P524" s="5" t="s">
        <v>3782</v>
      </c>
      <c r="Q524" s="5">
        <v>1</v>
      </c>
      <c r="R524" s="5" t="str">
        <f t="shared" si="75"/>
        <v>Management &amp; Expertise</v>
      </c>
      <c r="S524" s="5" t="s">
        <v>3789</v>
      </c>
      <c r="T524" s="4">
        <v>29065</v>
      </c>
      <c r="U524" s="5">
        <f t="shared" si="76"/>
        <v>1979</v>
      </c>
      <c r="V524" s="5" t="s">
        <v>3793</v>
      </c>
      <c r="W524" s="9">
        <f t="shared" si="73"/>
        <v>45</v>
      </c>
      <c r="X524" s="5" t="str">
        <f t="shared" si="77"/>
        <v>[45 - 49 ans]</v>
      </c>
      <c r="Y524" s="5" t="str">
        <f t="shared" si="78"/>
        <v xml:space="preserve"> Generation X </v>
      </c>
      <c r="Z524" s="9">
        <f t="shared" si="79"/>
        <v>15</v>
      </c>
      <c r="AA524" s="5" t="str">
        <f t="shared" si="80"/>
        <v>RAS</v>
      </c>
      <c r="AB524" s="5" t="s">
        <v>3806</v>
      </c>
      <c r="AC524" s="6" t="s">
        <v>3799</v>
      </c>
      <c r="AE524" s="5" t="s">
        <v>3845</v>
      </c>
      <c r="AF524" s="5" t="s">
        <v>4481</v>
      </c>
      <c r="AG524" s="5" t="s">
        <v>4485</v>
      </c>
      <c r="AH524" s="5" t="s">
        <v>4487</v>
      </c>
      <c r="AI524" s="5" t="s">
        <v>4230</v>
      </c>
      <c r="AJ524" s="5" t="s">
        <v>4375</v>
      </c>
      <c r="AK524" s="5">
        <v>61400</v>
      </c>
      <c r="AL524" s="5" t="s">
        <v>3854</v>
      </c>
    </row>
    <row r="525" spans="1:38" x14ac:dyDescent="0.3">
      <c r="A525" s="4">
        <v>45716</v>
      </c>
      <c r="B525" s="5" t="s">
        <v>1909</v>
      </c>
      <c r="C525" s="5" t="s">
        <v>1910</v>
      </c>
      <c r="D525" s="5" t="s">
        <v>1911</v>
      </c>
      <c r="E525" s="5" t="s">
        <v>4494</v>
      </c>
      <c r="G525" s="5" t="s">
        <v>88</v>
      </c>
      <c r="H525" s="5" t="s">
        <v>456</v>
      </c>
      <c r="I525" s="5" t="s">
        <v>2113</v>
      </c>
      <c r="J525" s="5" t="s">
        <v>883</v>
      </c>
      <c r="K525" s="4">
        <v>40695</v>
      </c>
      <c r="L525" s="4">
        <v>40695</v>
      </c>
      <c r="M525" s="9">
        <f t="shared" si="72"/>
        <v>13</v>
      </c>
      <c r="N525" s="4" t="str">
        <f t="shared" si="74"/>
        <v>] 10 ; 15 ]</v>
      </c>
      <c r="O525" s="5" t="s">
        <v>3780</v>
      </c>
      <c r="P525" s="5" t="s">
        <v>3780</v>
      </c>
      <c r="Q525" s="5">
        <v>3</v>
      </c>
      <c r="R525" s="5" t="str">
        <f t="shared" si="75"/>
        <v>Qualification</v>
      </c>
      <c r="S525" s="5" t="s">
        <v>3790</v>
      </c>
      <c r="T525" s="4">
        <v>31041</v>
      </c>
      <c r="U525" s="5">
        <f t="shared" si="76"/>
        <v>1984</v>
      </c>
      <c r="V525" s="5" t="s">
        <v>3793</v>
      </c>
      <c r="W525" s="9">
        <f t="shared" si="73"/>
        <v>40</v>
      </c>
      <c r="X525" s="5" t="str">
        <f t="shared" si="77"/>
        <v>[40 - 44 ans]</v>
      </c>
      <c r="Y525" s="5" t="str">
        <f t="shared" si="78"/>
        <v xml:space="preserve"> Mellenials </v>
      </c>
      <c r="Z525" s="9">
        <f t="shared" si="79"/>
        <v>20</v>
      </c>
      <c r="AA525" s="5" t="str">
        <f t="shared" si="80"/>
        <v>RAS</v>
      </c>
      <c r="AB525" s="5" t="s">
        <v>3831</v>
      </c>
      <c r="AC525" s="6" t="s">
        <v>3800</v>
      </c>
      <c r="AE525" s="5" t="s">
        <v>3844</v>
      </c>
      <c r="AF525" s="5" t="s">
        <v>4482</v>
      </c>
      <c r="AG525" s="5" t="s">
        <v>4485</v>
      </c>
      <c r="AH525" s="5" t="s">
        <v>4488</v>
      </c>
      <c r="AI525" s="5" t="s">
        <v>4318</v>
      </c>
      <c r="AJ525" s="5" t="s">
        <v>3840</v>
      </c>
      <c r="AK525" s="5" t="s">
        <v>4319</v>
      </c>
      <c r="AL525" s="5" t="s">
        <v>3858</v>
      </c>
    </row>
    <row r="526" spans="1:38" x14ac:dyDescent="0.3">
      <c r="A526" s="4">
        <v>45716</v>
      </c>
      <c r="B526" s="5" t="s">
        <v>1912</v>
      </c>
      <c r="C526" s="5" t="s">
        <v>1913</v>
      </c>
      <c r="D526" s="5" t="s">
        <v>1914</v>
      </c>
      <c r="E526" s="5" t="s">
        <v>4494</v>
      </c>
      <c r="G526" s="5" t="s">
        <v>78</v>
      </c>
      <c r="H526" s="5" t="s">
        <v>1087</v>
      </c>
      <c r="I526" s="5" t="s">
        <v>2069</v>
      </c>
      <c r="J526" s="5" t="s">
        <v>1518</v>
      </c>
      <c r="K526" s="4">
        <v>40695</v>
      </c>
      <c r="L526" s="4">
        <v>40695</v>
      </c>
      <c r="M526" s="9">
        <f t="shared" si="72"/>
        <v>13</v>
      </c>
      <c r="N526" s="4" t="str">
        <f t="shared" si="74"/>
        <v>] 10 ; 15 ]</v>
      </c>
      <c r="O526" s="5" t="s">
        <v>3788</v>
      </c>
      <c r="P526" s="5" t="s">
        <v>3788</v>
      </c>
      <c r="Q526" s="5">
        <v>3</v>
      </c>
      <c r="R526" s="5" t="str">
        <f t="shared" si="75"/>
        <v>Qualification</v>
      </c>
      <c r="S526" s="5" t="s">
        <v>3790</v>
      </c>
      <c r="T526" s="4">
        <v>30757</v>
      </c>
      <c r="U526" s="5">
        <f t="shared" si="76"/>
        <v>1984</v>
      </c>
      <c r="V526" s="5" t="s">
        <v>3793</v>
      </c>
      <c r="W526" s="9">
        <f t="shared" si="73"/>
        <v>40</v>
      </c>
      <c r="X526" s="5" t="str">
        <f t="shared" si="77"/>
        <v>[40 - 44 ans]</v>
      </c>
      <c r="Y526" s="5" t="str">
        <f t="shared" si="78"/>
        <v xml:space="preserve"> Mellenials </v>
      </c>
      <c r="Z526" s="9">
        <f t="shared" si="79"/>
        <v>20</v>
      </c>
      <c r="AA526" s="5" t="str">
        <f t="shared" si="80"/>
        <v>RAS</v>
      </c>
      <c r="AB526" s="5" t="s">
        <v>3808</v>
      </c>
      <c r="AC526" s="6" t="s">
        <v>3799</v>
      </c>
      <c r="AE526" s="5" t="s">
        <v>3844</v>
      </c>
      <c r="AF526" s="5" t="s">
        <v>4482</v>
      </c>
      <c r="AG526" s="5" t="s">
        <v>4485</v>
      </c>
      <c r="AH526" s="5" t="s">
        <v>4488</v>
      </c>
      <c r="AI526" s="5" t="s">
        <v>4263</v>
      </c>
      <c r="AJ526" s="5" t="s">
        <v>4105</v>
      </c>
      <c r="AK526" s="5" t="s">
        <v>4090</v>
      </c>
      <c r="AL526" s="5" t="s">
        <v>3858</v>
      </c>
    </row>
    <row r="527" spans="1:38" x14ac:dyDescent="0.3">
      <c r="A527" s="4">
        <v>45716</v>
      </c>
      <c r="B527" s="5" t="s">
        <v>1915</v>
      </c>
      <c r="C527" s="5" t="s">
        <v>1916</v>
      </c>
      <c r="D527" s="5" t="s">
        <v>1917</v>
      </c>
      <c r="E527" s="5" t="s">
        <v>4494</v>
      </c>
      <c r="G527" s="5" t="s">
        <v>44</v>
      </c>
      <c r="H527" s="5" t="s">
        <v>1918</v>
      </c>
      <c r="I527" s="5" t="s">
        <v>342</v>
      </c>
      <c r="J527" s="5" t="s">
        <v>92</v>
      </c>
      <c r="K527" s="4">
        <v>40695</v>
      </c>
      <c r="L527" s="4">
        <v>40695</v>
      </c>
      <c r="M527" s="9">
        <f t="shared" si="72"/>
        <v>13</v>
      </c>
      <c r="N527" s="4" t="str">
        <f t="shared" si="74"/>
        <v>] 10 ; 15 ]</v>
      </c>
      <c r="O527" s="5" t="s">
        <v>3783</v>
      </c>
      <c r="P527" s="5" t="s">
        <v>3783</v>
      </c>
      <c r="Q527" s="5">
        <v>1</v>
      </c>
      <c r="R527" s="5" t="str">
        <f t="shared" si="75"/>
        <v>Specialisation</v>
      </c>
      <c r="S527" s="5" t="s">
        <v>3790</v>
      </c>
      <c r="T527" s="4">
        <v>31657</v>
      </c>
      <c r="U527" s="5">
        <f t="shared" si="76"/>
        <v>1986</v>
      </c>
      <c r="V527" s="5" t="s">
        <v>3793</v>
      </c>
      <c r="W527" s="9">
        <f t="shared" si="73"/>
        <v>38</v>
      </c>
      <c r="X527" s="5" t="str">
        <f t="shared" si="77"/>
        <v>[35 - 39 ans ]</v>
      </c>
      <c r="Y527" s="5" t="str">
        <f t="shared" si="78"/>
        <v xml:space="preserve"> Mellenials </v>
      </c>
      <c r="Z527" s="9">
        <f t="shared" si="79"/>
        <v>22</v>
      </c>
      <c r="AA527" s="5" t="str">
        <f t="shared" si="80"/>
        <v>RAS</v>
      </c>
      <c r="AB527" s="5" t="s">
        <v>3806</v>
      </c>
      <c r="AC527" s="6" t="s">
        <v>3799</v>
      </c>
      <c r="AE527" s="5" t="s">
        <v>3844</v>
      </c>
      <c r="AF527" s="5" t="s">
        <v>4482</v>
      </c>
      <c r="AG527" s="5" t="s">
        <v>4485</v>
      </c>
      <c r="AH527" s="5" t="s">
        <v>4487</v>
      </c>
      <c r="AI527" s="5" t="s">
        <v>4019</v>
      </c>
      <c r="AJ527" s="5" t="s">
        <v>4020</v>
      </c>
      <c r="AK527" s="5" t="s">
        <v>3900</v>
      </c>
      <c r="AL527" s="5" t="s">
        <v>3858</v>
      </c>
    </row>
    <row r="528" spans="1:38" x14ac:dyDescent="0.3">
      <c r="A528" s="4">
        <v>45716</v>
      </c>
      <c r="B528" s="5" t="s">
        <v>1919</v>
      </c>
      <c r="C528" s="5" t="s">
        <v>1920</v>
      </c>
      <c r="D528" s="5" t="s">
        <v>1921</v>
      </c>
      <c r="E528" s="5" t="s">
        <v>4494</v>
      </c>
      <c r="G528" s="5" t="s">
        <v>44</v>
      </c>
      <c r="H528" s="5" t="s">
        <v>595</v>
      </c>
      <c r="I528" s="5" t="s">
        <v>270</v>
      </c>
      <c r="J528" s="5" t="s">
        <v>92</v>
      </c>
      <c r="K528" s="4">
        <v>40695</v>
      </c>
      <c r="L528" s="4">
        <v>40695</v>
      </c>
      <c r="M528" s="9">
        <f t="shared" si="72"/>
        <v>13</v>
      </c>
      <c r="N528" s="4" t="str">
        <f t="shared" si="74"/>
        <v>] 10 ; 15 ]</v>
      </c>
      <c r="O528" s="5" t="s">
        <v>3786</v>
      </c>
      <c r="P528" s="5" t="s">
        <v>3786</v>
      </c>
      <c r="Q528" s="5">
        <v>2</v>
      </c>
      <c r="R528" s="5" t="str">
        <f t="shared" si="75"/>
        <v>Specialisation</v>
      </c>
      <c r="S528" s="5" t="s">
        <v>3789</v>
      </c>
      <c r="T528" s="4">
        <v>30003</v>
      </c>
      <c r="U528" s="5">
        <f t="shared" si="76"/>
        <v>1982</v>
      </c>
      <c r="V528" s="5" t="s">
        <v>3793</v>
      </c>
      <c r="W528" s="9">
        <f t="shared" si="73"/>
        <v>43</v>
      </c>
      <c r="X528" s="5" t="str">
        <f t="shared" si="77"/>
        <v>[40 - 44 ans]</v>
      </c>
      <c r="Y528" s="5" t="str">
        <f t="shared" si="78"/>
        <v xml:space="preserve"> Mellenials </v>
      </c>
      <c r="Z528" s="9">
        <f t="shared" si="79"/>
        <v>17</v>
      </c>
      <c r="AA528" s="5" t="str">
        <f t="shared" si="80"/>
        <v>RAS</v>
      </c>
      <c r="AB528" s="5" t="s">
        <v>3806</v>
      </c>
      <c r="AC528" s="6" t="s">
        <v>3799</v>
      </c>
      <c r="AE528" s="5" t="s">
        <v>3844</v>
      </c>
      <c r="AF528" s="5" t="s">
        <v>4482</v>
      </c>
      <c r="AG528" s="5" t="s">
        <v>4485</v>
      </c>
      <c r="AH528" s="5" t="s">
        <v>4487</v>
      </c>
      <c r="AI528" s="5" t="s">
        <v>3989</v>
      </c>
      <c r="AJ528" s="5" t="s">
        <v>3990</v>
      </c>
      <c r="AK528" s="5">
        <v>31200</v>
      </c>
      <c r="AL528" s="5" t="s">
        <v>3858</v>
      </c>
    </row>
    <row r="529" spans="1:38" x14ac:dyDescent="0.3">
      <c r="A529" s="4">
        <v>45716</v>
      </c>
      <c r="B529" s="5" t="s">
        <v>1922</v>
      </c>
      <c r="C529" s="5" t="s">
        <v>1923</v>
      </c>
      <c r="D529" s="5" t="s">
        <v>1924</v>
      </c>
      <c r="E529" s="5" t="s">
        <v>4494</v>
      </c>
      <c r="G529" s="5" t="s">
        <v>78</v>
      </c>
      <c r="H529" s="5" t="s">
        <v>543</v>
      </c>
      <c r="I529" s="5" t="s">
        <v>1069</v>
      </c>
      <c r="J529" s="5" t="s">
        <v>298</v>
      </c>
      <c r="K529" s="4">
        <v>40695</v>
      </c>
      <c r="L529" s="4">
        <v>40695</v>
      </c>
      <c r="M529" s="9">
        <f t="shared" si="72"/>
        <v>13</v>
      </c>
      <c r="N529" s="4" t="str">
        <f t="shared" si="74"/>
        <v>] 10 ; 15 ]</v>
      </c>
      <c r="O529" s="5" t="s">
        <v>3788</v>
      </c>
      <c r="P529" s="5" t="s">
        <v>3780</v>
      </c>
      <c r="Q529" s="5">
        <v>1</v>
      </c>
      <c r="R529" s="5" t="str">
        <f t="shared" si="75"/>
        <v>Qualification</v>
      </c>
      <c r="S529" s="5" t="s">
        <v>3789</v>
      </c>
      <c r="T529" s="4">
        <v>29600</v>
      </c>
      <c r="U529" s="5">
        <f t="shared" si="76"/>
        <v>1981</v>
      </c>
      <c r="V529" s="5" t="s">
        <v>3793</v>
      </c>
      <c r="W529" s="9">
        <f t="shared" si="73"/>
        <v>44</v>
      </c>
      <c r="X529" s="5" t="str">
        <f t="shared" si="77"/>
        <v>[40 - 44 ans]</v>
      </c>
      <c r="Y529" s="5" t="str">
        <f t="shared" si="78"/>
        <v xml:space="preserve"> Mellenials </v>
      </c>
      <c r="Z529" s="9">
        <f t="shared" si="79"/>
        <v>16</v>
      </c>
      <c r="AA529" s="5" t="str">
        <f t="shared" si="80"/>
        <v>RAS</v>
      </c>
      <c r="AB529" s="5" t="s">
        <v>3808</v>
      </c>
      <c r="AC529" s="6" t="s">
        <v>3799</v>
      </c>
      <c r="AE529" s="5" t="s">
        <v>3844</v>
      </c>
      <c r="AF529" s="5" t="s">
        <v>4482</v>
      </c>
      <c r="AG529" s="5" t="s">
        <v>4485</v>
      </c>
      <c r="AH529" s="5" t="s">
        <v>4488</v>
      </c>
      <c r="AI529" s="5" t="s">
        <v>4240</v>
      </c>
      <c r="AJ529" s="5" t="s">
        <v>4264</v>
      </c>
      <c r="AK529" s="5" t="s">
        <v>4090</v>
      </c>
      <c r="AL529" s="5" t="s">
        <v>3858</v>
      </c>
    </row>
    <row r="530" spans="1:38" x14ac:dyDescent="0.3">
      <c r="A530" s="4">
        <v>45716</v>
      </c>
      <c r="B530" s="5" t="s">
        <v>1925</v>
      </c>
      <c r="C530" s="5" t="s">
        <v>1926</v>
      </c>
      <c r="D530" s="5" t="s">
        <v>1927</v>
      </c>
      <c r="E530" s="5" t="s">
        <v>4494</v>
      </c>
      <c r="G530" s="5" t="s">
        <v>78</v>
      </c>
      <c r="H530" s="5" t="s">
        <v>1928</v>
      </c>
      <c r="I530" s="5" t="s">
        <v>590</v>
      </c>
      <c r="J530" s="5" t="s">
        <v>169</v>
      </c>
      <c r="K530" s="4">
        <v>40695</v>
      </c>
      <c r="L530" s="4">
        <v>40695</v>
      </c>
      <c r="M530" s="9">
        <f t="shared" si="72"/>
        <v>13</v>
      </c>
      <c r="N530" s="4" t="str">
        <f t="shared" si="74"/>
        <v>] 10 ; 15 ]</v>
      </c>
      <c r="O530" s="5" t="s">
        <v>3786</v>
      </c>
      <c r="P530" s="5" t="s">
        <v>3786</v>
      </c>
      <c r="Q530" s="5">
        <v>1</v>
      </c>
      <c r="R530" s="5" t="str">
        <f t="shared" si="75"/>
        <v>Specialisation</v>
      </c>
      <c r="S530" s="5" t="s">
        <v>3790</v>
      </c>
      <c r="T530" s="4">
        <v>30922</v>
      </c>
      <c r="U530" s="5">
        <f t="shared" si="76"/>
        <v>1984</v>
      </c>
      <c r="V530" s="5" t="s">
        <v>3793</v>
      </c>
      <c r="W530" s="9">
        <f t="shared" si="73"/>
        <v>40</v>
      </c>
      <c r="X530" s="5" t="str">
        <f t="shared" si="77"/>
        <v>[40 - 44 ans]</v>
      </c>
      <c r="Y530" s="5" t="str">
        <f t="shared" si="78"/>
        <v xml:space="preserve"> Mellenials </v>
      </c>
      <c r="Z530" s="9">
        <f t="shared" si="79"/>
        <v>20</v>
      </c>
      <c r="AA530" s="5" t="str">
        <f t="shared" si="80"/>
        <v>RAS</v>
      </c>
      <c r="AB530" s="5" t="s">
        <v>3808</v>
      </c>
      <c r="AC530" s="6" t="s">
        <v>3799</v>
      </c>
      <c r="AE530" s="5" t="s">
        <v>3844</v>
      </c>
      <c r="AF530" s="5" t="s">
        <v>4482</v>
      </c>
      <c r="AG530" s="5" t="s">
        <v>4485</v>
      </c>
      <c r="AH530" s="5" t="s">
        <v>4488</v>
      </c>
      <c r="AI530" s="5" t="s">
        <v>4138</v>
      </c>
      <c r="AJ530" s="5" t="s">
        <v>4139</v>
      </c>
      <c r="AK530" s="5" t="s">
        <v>4090</v>
      </c>
      <c r="AL530" s="5" t="s">
        <v>3858</v>
      </c>
    </row>
    <row r="531" spans="1:38" x14ac:dyDescent="0.3">
      <c r="A531" s="4">
        <v>45716</v>
      </c>
      <c r="B531" s="5" t="s">
        <v>1929</v>
      </c>
      <c r="C531" s="5" t="s">
        <v>1930</v>
      </c>
      <c r="D531" s="5" t="s">
        <v>1931</v>
      </c>
      <c r="E531" s="5" t="s">
        <v>4494</v>
      </c>
      <c r="G531" s="5" t="s">
        <v>243</v>
      </c>
      <c r="H531" s="5" t="s">
        <v>1932</v>
      </c>
      <c r="I531" s="5" t="s">
        <v>1502</v>
      </c>
      <c r="J531" s="5" t="s">
        <v>1272</v>
      </c>
      <c r="K531" s="4">
        <v>40695</v>
      </c>
      <c r="L531" s="4">
        <v>40695</v>
      </c>
      <c r="M531" s="9">
        <f t="shared" si="72"/>
        <v>13</v>
      </c>
      <c r="N531" s="4" t="str">
        <f t="shared" si="74"/>
        <v>] 10 ; 15 ]</v>
      </c>
      <c r="O531" s="5" t="s">
        <v>3786</v>
      </c>
      <c r="P531" s="5" t="s">
        <v>3786</v>
      </c>
      <c r="Q531" s="5">
        <v>2</v>
      </c>
      <c r="R531" s="5" t="str">
        <f t="shared" si="75"/>
        <v>Specialisation</v>
      </c>
      <c r="S531" s="5" t="s">
        <v>3790</v>
      </c>
      <c r="T531" s="4">
        <v>30954</v>
      </c>
      <c r="U531" s="5">
        <f t="shared" si="76"/>
        <v>1984</v>
      </c>
      <c r="V531" s="5" t="s">
        <v>3792</v>
      </c>
      <c r="W531" s="9">
        <f t="shared" si="73"/>
        <v>40</v>
      </c>
      <c r="X531" s="5" t="str">
        <f t="shared" si="77"/>
        <v>[40 - 44 ans]</v>
      </c>
      <c r="Y531" s="5" t="str">
        <f t="shared" si="78"/>
        <v xml:space="preserve"> Mellenials </v>
      </c>
      <c r="Z531" s="9">
        <f t="shared" si="79"/>
        <v>20</v>
      </c>
      <c r="AA531" s="5" t="str">
        <f t="shared" si="80"/>
        <v>RAS</v>
      </c>
      <c r="AB531" s="5" t="s">
        <v>3806</v>
      </c>
      <c r="AC531" s="6" t="s">
        <v>3799</v>
      </c>
      <c r="AE531" s="5" t="s">
        <v>3844</v>
      </c>
      <c r="AF531" s="5" t="s">
        <v>4482</v>
      </c>
      <c r="AG531" s="5" t="s">
        <v>4485</v>
      </c>
      <c r="AH531" s="5" t="s">
        <v>4487</v>
      </c>
      <c r="AI531" s="5" t="s">
        <v>4320</v>
      </c>
      <c r="AJ531" s="5" t="s">
        <v>4321</v>
      </c>
      <c r="AK531" s="5" t="s">
        <v>3977</v>
      </c>
      <c r="AL531" s="5" t="s">
        <v>3858</v>
      </c>
    </row>
    <row r="532" spans="1:38" x14ac:dyDescent="0.3">
      <c r="A532" s="4">
        <v>45716</v>
      </c>
      <c r="B532" s="5" t="s">
        <v>1933</v>
      </c>
      <c r="C532" s="5" t="s">
        <v>1934</v>
      </c>
      <c r="D532" s="5" t="s">
        <v>1935</v>
      </c>
      <c r="E532" s="5" t="s">
        <v>4494</v>
      </c>
      <c r="G532" s="5" t="s">
        <v>78</v>
      </c>
      <c r="H532" s="5" t="s">
        <v>1205</v>
      </c>
      <c r="I532" s="5" t="s">
        <v>1069</v>
      </c>
      <c r="J532" s="5" t="s">
        <v>298</v>
      </c>
      <c r="K532" s="4">
        <v>40695</v>
      </c>
      <c r="L532" s="4">
        <v>40695</v>
      </c>
      <c r="M532" s="9">
        <f t="shared" si="72"/>
        <v>13</v>
      </c>
      <c r="N532" s="4" t="str">
        <f t="shared" si="74"/>
        <v>] 10 ; 15 ]</v>
      </c>
      <c r="O532" s="5" t="s">
        <v>3788</v>
      </c>
      <c r="P532" s="5" t="s">
        <v>3788</v>
      </c>
      <c r="Q532" s="5">
        <v>2</v>
      </c>
      <c r="R532" s="5" t="str">
        <f t="shared" si="75"/>
        <v>Qualification</v>
      </c>
      <c r="S532" s="5" t="s">
        <v>3789</v>
      </c>
      <c r="T532" s="4">
        <v>30545</v>
      </c>
      <c r="U532" s="5">
        <f t="shared" si="76"/>
        <v>1983</v>
      </c>
      <c r="V532" s="5" t="s">
        <v>3793</v>
      </c>
      <c r="W532" s="9">
        <f t="shared" si="73"/>
        <v>41</v>
      </c>
      <c r="X532" s="5" t="str">
        <f t="shared" si="77"/>
        <v>[40 - 44 ans]</v>
      </c>
      <c r="Y532" s="5" t="str">
        <f t="shared" si="78"/>
        <v xml:space="preserve"> Mellenials </v>
      </c>
      <c r="Z532" s="9">
        <f t="shared" si="79"/>
        <v>19</v>
      </c>
      <c r="AA532" s="5" t="str">
        <f t="shared" si="80"/>
        <v>RAS</v>
      </c>
      <c r="AB532" s="5" t="s">
        <v>3808</v>
      </c>
      <c r="AC532" s="6" t="s">
        <v>3799</v>
      </c>
      <c r="AE532" s="5" t="s">
        <v>3844</v>
      </c>
      <c r="AF532" s="5" t="s">
        <v>4482</v>
      </c>
      <c r="AG532" s="5" t="s">
        <v>4485</v>
      </c>
      <c r="AH532" s="5" t="s">
        <v>4488</v>
      </c>
      <c r="AI532" s="5" t="s">
        <v>4240</v>
      </c>
      <c r="AJ532" s="5" t="s">
        <v>4264</v>
      </c>
      <c r="AK532" s="5" t="s">
        <v>4090</v>
      </c>
      <c r="AL532" s="5" t="s">
        <v>3858</v>
      </c>
    </row>
    <row r="533" spans="1:38" x14ac:dyDescent="0.3">
      <c r="A533" s="4">
        <v>45716</v>
      </c>
      <c r="B533" s="5" t="s">
        <v>1936</v>
      </c>
      <c r="C533" s="5" t="s">
        <v>1937</v>
      </c>
      <c r="D533" s="5" t="s">
        <v>1938</v>
      </c>
      <c r="E533" s="5" t="s">
        <v>4494</v>
      </c>
      <c r="G533" s="5" t="s">
        <v>88</v>
      </c>
      <c r="H533" s="5" t="s">
        <v>101</v>
      </c>
      <c r="I533" s="5" t="s">
        <v>1727</v>
      </c>
      <c r="J533" s="5" t="s">
        <v>879</v>
      </c>
      <c r="K533" s="4">
        <v>40737</v>
      </c>
      <c r="L533" s="4">
        <v>40737</v>
      </c>
      <c r="M533" s="9">
        <f t="shared" si="72"/>
        <v>13</v>
      </c>
      <c r="N533" s="4" t="str">
        <f t="shared" si="74"/>
        <v>] 10 ; 15 ]</v>
      </c>
      <c r="O533" s="5" t="s">
        <v>3783</v>
      </c>
      <c r="P533" s="5" t="s">
        <v>3783</v>
      </c>
      <c r="Q533" s="5">
        <v>2</v>
      </c>
      <c r="R533" s="5" t="str">
        <f t="shared" si="75"/>
        <v>Specialisation</v>
      </c>
      <c r="S533" s="5" t="s">
        <v>3789</v>
      </c>
      <c r="T533" s="4">
        <v>30803</v>
      </c>
      <c r="U533" s="5">
        <f t="shared" si="76"/>
        <v>1984</v>
      </c>
      <c r="V533" s="5" t="s">
        <v>3792</v>
      </c>
      <c r="W533" s="9">
        <f t="shared" si="73"/>
        <v>40</v>
      </c>
      <c r="X533" s="5" t="str">
        <f t="shared" si="77"/>
        <v>[40 - 44 ans]</v>
      </c>
      <c r="Y533" s="5" t="str">
        <f t="shared" si="78"/>
        <v xml:space="preserve"> Mellenials </v>
      </c>
      <c r="Z533" s="9">
        <f t="shared" si="79"/>
        <v>20</v>
      </c>
      <c r="AA533" s="5" t="str">
        <f t="shared" si="80"/>
        <v>RAS</v>
      </c>
      <c r="AB533" s="5" t="s">
        <v>3829</v>
      </c>
      <c r="AC533" s="6" t="s">
        <v>3802</v>
      </c>
      <c r="AE533" s="5" t="s">
        <v>3844</v>
      </c>
      <c r="AF533" s="5" t="s">
        <v>4482</v>
      </c>
      <c r="AG533" s="5" t="s">
        <v>4485</v>
      </c>
      <c r="AH533" s="5" t="s">
        <v>4488</v>
      </c>
      <c r="AI533" s="5" t="s">
        <v>4353</v>
      </c>
      <c r="AJ533" s="5" t="s">
        <v>4376</v>
      </c>
      <c r="AK533" s="5" t="s">
        <v>4377</v>
      </c>
      <c r="AL533" s="5" t="s">
        <v>3858</v>
      </c>
    </row>
    <row r="534" spans="1:38" x14ac:dyDescent="0.3">
      <c r="A534" s="4">
        <v>45716</v>
      </c>
      <c r="B534" s="5" t="s">
        <v>1939</v>
      </c>
      <c r="C534" s="5" t="s">
        <v>1940</v>
      </c>
      <c r="D534" s="5" t="s">
        <v>1941</v>
      </c>
      <c r="E534" s="5" t="s">
        <v>4494</v>
      </c>
      <c r="G534" s="5" t="s">
        <v>88</v>
      </c>
      <c r="H534" s="5" t="s">
        <v>456</v>
      </c>
      <c r="I534" s="5" t="s">
        <v>770</v>
      </c>
      <c r="J534" s="5" t="s">
        <v>883</v>
      </c>
      <c r="K534" s="4">
        <v>40737</v>
      </c>
      <c r="L534" s="4">
        <v>40737</v>
      </c>
      <c r="M534" s="9">
        <f t="shared" si="72"/>
        <v>13</v>
      </c>
      <c r="N534" s="4" t="str">
        <f t="shared" si="74"/>
        <v>] 10 ; 15 ]</v>
      </c>
      <c r="O534" s="5" t="s">
        <v>3780</v>
      </c>
      <c r="P534" s="5" t="s">
        <v>3786</v>
      </c>
      <c r="Q534" s="5">
        <v>1</v>
      </c>
      <c r="R534" s="5" t="str">
        <f t="shared" si="75"/>
        <v>Qualification</v>
      </c>
      <c r="S534" s="5" t="s">
        <v>3790</v>
      </c>
      <c r="T534" s="4">
        <v>29124</v>
      </c>
      <c r="U534" s="5">
        <f t="shared" si="76"/>
        <v>1979</v>
      </c>
      <c r="V534" s="5" t="s">
        <v>3793</v>
      </c>
      <c r="W534" s="9">
        <f t="shared" si="73"/>
        <v>45</v>
      </c>
      <c r="X534" s="5" t="str">
        <f t="shared" si="77"/>
        <v>[45 - 49 ans]</v>
      </c>
      <c r="Y534" s="5" t="str">
        <f t="shared" si="78"/>
        <v xml:space="preserve"> Generation X </v>
      </c>
      <c r="Z534" s="9">
        <f t="shared" si="79"/>
        <v>15</v>
      </c>
      <c r="AA534" s="5" t="str">
        <f t="shared" si="80"/>
        <v>RAS</v>
      </c>
      <c r="AB534" s="5" t="s">
        <v>3814</v>
      </c>
      <c r="AC534" s="6" t="s">
        <v>3799</v>
      </c>
      <c r="AE534" s="5" t="s">
        <v>3844</v>
      </c>
      <c r="AF534" s="5" t="s">
        <v>4482</v>
      </c>
      <c r="AG534" s="5" t="s">
        <v>4485</v>
      </c>
      <c r="AH534" s="5" t="s">
        <v>4488</v>
      </c>
      <c r="AI534" s="5" t="s">
        <v>4075</v>
      </c>
      <c r="AJ534" s="5" t="s">
        <v>4076</v>
      </c>
      <c r="AK534" s="5" t="s">
        <v>4077</v>
      </c>
      <c r="AL534" s="5" t="s">
        <v>3858</v>
      </c>
    </row>
    <row r="535" spans="1:38" x14ac:dyDescent="0.3">
      <c r="A535" s="4">
        <v>45716</v>
      </c>
      <c r="B535" s="5" t="s">
        <v>1942</v>
      </c>
      <c r="C535" s="5" t="s">
        <v>1943</v>
      </c>
      <c r="D535" s="5" t="s">
        <v>1944</v>
      </c>
      <c r="E535" s="5" t="s">
        <v>4494</v>
      </c>
      <c r="G535" s="5" t="s">
        <v>88</v>
      </c>
      <c r="H535" s="5" t="s">
        <v>456</v>
      </c>
      <c r="I535" s="5" t="s">
        <v>1957</v>
      </c>
      <c r="J535" s="5" t="s">
        <v>883</v>
      </c>
      <c r="K535" s="4">
        <v>40737</v>
      </c>
      <c r="L535" s="4">
        <v>40737</v>
      </c>
      <c r="M535" s="9">
        <f t="shared" si="72"/>
        <v>13</v>
      </c>
      <c r="N535" s="4" t="str">
        <f t="shared" si="74"/>
        <v>] 10 ; 15 ]</v>
      </c>
      <c r="O535" s="5" t="s">
        <v>3780</v>
      </c>
      <c r="P535" s="5" t="s">
        <v>3786</v>
      </c>
      <c r="Q535" s="5">
        <v>1</v>
      </c>
      <c r="R535" s="5" t="str">
        <f t="shared" si="75"/>
        <v>Qualification</v>
      </c>
      <c r="S535" s="5" t="s">
        <v>3790</v>
      </c>
      <c r="T535" s="4">
        <v>32125</v>
      </c>
      <c r="U535" s="5">
        <f t="shared" si="76"/>
        <v>1987</v>
      </c>
      <c r="V535" s="5" t="s">
        <v>3792</v>
      </c>
      <c r="W535" s="9">
        <f t="shared" si="73"/>
        <v>37</v>
      </c>
      <c r="X535" s="5" t="str">
        <f t="shared" si="77"/>
        <v>[35 - 39 ans ]</v>
      </c>
      <c r="Y535" s="5" t="str">
        <f t="shared" si="78"/>
        <v xml:space="preserve"> Mellenials </v>
      </c>
      <c r="Z535" s="9">
        <f t="shared" si="79"/>
        <v>23</v>
      </c>
      <c r="AA535" s="5" t="str">
        <f t="shared" si="80"/>
        <v>RAS</v>
      </c>
      <c r="AB535" s="5" t="s">
        <v>3829</v>
      </c>
      <c r="AC535" s="6" t="s">
        <v>3802</v>
      </c>
      <c r="AE535" s="5" t="s">
        <v>3844</v>
      </c>
      <c r="AF535" s="5" t="s">
        <v>4482</v>
      </c>
      <c r="AG535" s="5" t="s">
        <v>4485</v>
      </c>
      <c r="AH535" s="5" t="s">
        <v>4488</v>
      </c>
      <c r="AI535" s="5" t="s">
        <v>4220</v>
      </c>
      <c r="AJ535" s="5" t="s">
        <v>4221</v>
      </c>
      <c r="AK535" s="5" t="s">
        <v>4222</v>
      </c>
      <c r="AL535" s="5" t="s">
        <v>3858</v>
      </c>
    </row>
    <row r="536" spans="1:38" x14ac:dyDescent="0.3">
      <c r="A536" s="4">
        <v>45716</v>
      </c>
      <c r="B536" s="5" t="s">
        <v>1945</v>
      </c>
      <c r="C536" s="5" t="s">
        <v>1946</v>
      </c>
      <c r="D536" s="5" t="s">
        <v>1947</v>
      </c>
      <c r="E536" s="5" t="s">
        <v>4494</v>
      </c>
      <c r="G536" s="5" t="s">
        <v>88</v>
      </c>
      <c r="H536" s="5" t="s">
        <v>456</v>
      </c>
      <c r="I536" s="5" t="s">
        <v>1957</v>
      </c>
      <c r="J536" s="5" t="s">
        <v>883</v>
      </c>
      <c r="K536" s="4">
        <v>40737</v>
      </c>
      <c r="L536" s="4">
        <v>40737</v>
      </c>
      <c r="M536" s="9">
        <f t="shared" si="72"/>
        <v>13</v>
      </c>
      <c r="N536" s="4" t="str">
        <f t="shared" si="74"/>
        <v>] 10 ; 15 ]</v>
      </c>
      <c r="O536" s="5" t="s">
        <v>3780</v>
      </c>
      <c r="P536" s="5" t="s">
        <v>3780</v>
      </c>
      <c r="Q536" s="5">
        <v>3</v>
      </c>
      <c r="R536" s="5" t="str">
        <f t="shared" si="75"/>
        <v>Qualification</v>
      </c>
      <c r="S536" s="5" t="s">
        <v>3790</v>
      </c>
      <c r="T536" s="4">
        <v>31204</v>
      </c>
      <c r="U536" s="5">
        <f t="shared" si="76"/>
        <v>1985</v>
      </c>
      <c r="V536" s="5" t="s">
        <v>3793</v>
      </c>
      <c r="W536" s="9">
        <f t="shared" si="73"/>
        <v>39</v>
      </c>
      <c r="X536" s="5" t="str">
        <f t="shared" si="77"/>
        <v>[35 - 39 ans ]</v>
      </c>
      <c r="Y536" s="5" t="str">
        <f t="shared" si="78"/>
        <v xml:space="preserve"> Mellenials </v>
      </c>
      <c r="Z536" s="9">
        <f t="shared" si="79"/>
        <v>21</v>
      </c>
      <c r="AA536" s="5" t="str">
        <f t="shared" si="80"/>
        <v>RAS</v>
      </c>
      <c r="AB536" s="5" t="s">
        <v>3829</v>
      </c>
      <c r="AC536" s="6" t="s">
        <v>3802</v>
      </c>
      <c r="AE536" s="5" t="s">
        <v>3844</v>
      </c>
      <c r="AF536" s="5" t="s">
        <v>4482</v>
      </c>
      <c r="AG536" s="5" t="s">
        <v>4485</v>
      </c>
      <c r="AH536" s="5" t="s">
        <v>4488</v>
      </c>
      <c r="AI536" s="5" t="s">
        <v>4220</v>
      </c>
      <c r="AJ536" s="5" t="s">
        <v>4221</v>
      </c>
      <c r="AK536" s="5" t="s">
        <v>4222</v>
      </c>
      <c r="AL536" s="5" t="s">
        <v>3858</v>
      </c>
    </row>
    <row r="537" spans="1:38" x14ac:dyDescent="0.3">
      <c r="A537" s="4">
        <v>45716</v>
      </c>
      <c r="B537" s="5" t="s">
        <v>1948</v>
      </c>
      <c r="C537" s="5" t="s">
        <v>1949</v>
      </c>
      <c r="D537" s="5" t="s">
        <v>1950</v>
      </c>
      <c r="E537" s="5" t="s">
        <v>4494</v>
      </c>
      <c r="G537" s="5" t="s">
        <v>88</v>
      </c>
      <c r="H537" s="5" t="s">
        <v>706</v>
      </c>
      <c r="I537" s="5" t="s">
        <v>1957</v>
      </c>
      <c r="J537" s="5" t="s">
        <v>883</v>
      </c>
      <c r="K537" s="4">
        <v>40737</v>
      </c>
      <c r="L537" s="4">
        <v>40737</v>
      </c>
      <c r="M537" s="9">
        <f t="shared" si="72"/>
        <v>13</v>
      </c>
      <c r="N537" s="4" t="str">
        <f t="shared" si="74"/>
        <v>] 10 ; 15 ]</v>
      </c>
      <c r="O537" s="5" t="s">
        <v>3786</v>
      </c>
      <c r="P537" s="5" t="s">
        <v>3786</v>
      </c>
      <c r="Q537" s="5">
        <v>2</v>
      </c>
      <c r="R537" s="5" t="str">
        <f t="shared" si="75"/>
        <v>Specialisation</v>
      </c>
      <c r="S537" s="5" t="s">
        <v>3790</v>
      </c>
      <c r="T537" s="4">
        <v>31368</v>
      </c>
      <c r="U537" s="5">
        <f t="shared" si="76"/>
        <v>1985</v>
      </c>
      <c r="V537" s="5" t="s">
        <v>3792</v>
      </c>
      <c r="W537" s="9">
        <f t="shared" si="73"/>
        <v>39</v>
      </c>
      <c r="X537" s="5" t="str">
        <f t="shared" si="77"/>
        <v>[35 - 39 ans ]</v>
      </c>
      <c r="Y537" s="5" t="str">
        <f t="shared" si="78"/>
        <v xml:space="preserve"> Mellenials </v>
      </c>
      <c r="Z537" s="9">
        <f t="shared" si="79"/>
        <v>21</v>
      </c>
      <c r="AA537" s="5" t="str">
        <f t="shared" si="80"/>
        <v>RAS</v>
      </c>
      <c r="AB537" s="5" t="s">
        <v>3829</v>
      </c>
      <c r="AC537" s="6" t="s">
        <v>3802</v>
      </c>
      <c r="AE537" s="5" t="s">
        <v>3844</v>
      </c>
      <c r="AF537" s="5" t="s">
        <v>4482</v>
      </c>
      <c r="AG537" s="5" t="s">
        <v>4485</v>
      </c>
      <c r="AH537" s="5" t="s">
        <v>4488</v>
      </c>
      <c r="AI537" s="5" t="s">
        <v>4220</v>
      </c>
      <c r="AJ537" s="5" t="s">
        <v>4221</v>
      </c>
      <c r="AK537" s="5" t="s">
        <v>4222</v>
      </c>
      <c r="AL537" s="5" t="s">
        <v>3858</v>
      </c>
    </row>
    <row r="538" spans="1:38" x14ac:dyDescent="0.3">
      <c r="A538" s="4">
        <v>45716</v>
      </c>
      <c r="B538" s="5" t="s">
        <v>1951</v>
      </c>
      <c r="C538" s="5" t="s">
        <v>1952</v>
      </c>
      <c r="D538" s="5" t="s">
        <v>1953</v>
      </c>
      <c r="E538" s="5" t="s">
        <v>4494</v>
      </c>
      <c r="G538" s="5" t="s">
        <v>39</v>
      </c>
      <c r="H538" s="5" t="s">
        <v>1954</v>
      </c>
      <c r="I538" s="5" t="s">
        <v>120</v>
      </c>
      <c r="J538" s="5" t="s">
        <v>2821</v>
      </c>
      <c r="K538" s="4">
        <v>40737</v>
      </c>
      <c r="L538" s="4">
        <v>40737</v>
      </c>
      <c r="M538" s="9">
        <f t="shared" si="72"/>
        <v>13</v>
      </c>
      <c r="N538" s="4" t="str">
        <f t="shared" si="74"/>
        <v>] 10 ; 15 ]</v>
      </c>
      <c r="O538" s="5" t="s">
        <v>3783</v>
      </c>
      <c r="P538" s="5" t="s">
        <v>3783</v>
      </c>
      <c r="Q538" s="5">
        <v>1</v>
      </c>
      <c r="R538" s="5" t="str">
        <f t="shared" si="75"/>
        <v>Specialisation</v>
      </c>
      <c r="S538" s="5" t="s">
        <v>3789</v>
      </c>
      <c r="T538" s="4">
        <v>31794</v>
      </c>
      <c r="U538" s="5">
        <f t="shared" si="76"/>
        <v>1987</v>
      </c>
      <c r="V538" s="5" t="s">
        <v>3792</v>
      </c>
      <c r="W538" s="9">
        <f t="shared" si="73"/>
        <v>38</v>
      </c>
      <c r="X538" s="5" t="str">
        <f t="shared" si="77"/>
        <v>[35 - 39 ans ]</v>
      </c>
      <c r="Y538" s="5" t="str">
        <f t="shared" si="78"/>
        <v xml:space="preserve"> Mellenials </v>
      </c>
      <c r="Z538" s="9">
        <f t="shared" si="79"/>
        <v>22</v>
      </c>
      <c r="AA538" s="5" t="str">
        <f t="shared" si="80"/>
        <v>RAS</v>
      </c>
      <c r="AB538" s="5" t="s">
        <v>3807</v>
      </c>
      <c r="AC538" s="6" t="s">
        <v>3799</v>
      </c>
      <c r="AE538" s="5" t="s">
        <v>3844</v>
      </c>
      <c r="AF538" s="5" t="s">
        <v>4482</v>
      </c>
      <c r="AG538" s="5" t="s">
        <v>4485</v>
      </c>
      <c r="AH538" s="5" t="s">
        <v>4489</v>
      </c>
      <c r="AI538" s="5" t="s">
        <v>3912</v>
      </c>
      <c r="AJ538" s="5" t="s">
        <v>3913</v>
      </c>
      <c r="AK538" s="5" t="s">
        <v>3914</v>
      </c>
      <c r="AL538" s="5" t="s">
        <v>3858</v>
      </c>
    </row>
    <row r="539" spans="1:38" x14ac:dyDescent="0.3">
      <c r="A539" s="4">
        <v>45716</v>
      </c>
      <c r="B539" s="5" t="s">
        <v>1955</v>
      </c>
      <c r="C539" s="5" t="s">
        <v>1956</v>
      </c>
      <c r="D539" s="5" t="s">
        <v>1957</v>
      </c>
      <c r="E539" s="5" t="s">
        <v>4494</v>
      </c>
      <c r="G539" s="5" t="s">
        <v>88</v>
      </c>
      <c r="H539" s="5" t="s">
        <v>653</v>
      </c>
      <c r="I539" s="5" t="s">
        <v>883</v>
      </c>
      <c r="J539" s="5" t="s">
        <v>182</v>
      </c>
      <c r="K539" s="4">
        <v>40737</v>
      </c>
      <c r="L539" s="4">
        <v>40737</v>
      </c>
      <c r="M539" s="9">
        <f t="shared" si="72"/>
        <v>13</v>
      </c>
      <c r="N539" s="4" t="str">
        <f t="shared" si="74"/>
        <v>] 10 ; 15 ]</v>
      </c>
      <c r="O539" s="5" t="s">
        <v>3785</v>
      </c>
      <c r="P539" s="5" t="s">
        <v>3785</v>
      </c>
      <c r="Q539" s="5">
        <v>2</v>
      </c>
      <c r="R539" s="5" t="str">
        <f t="shared" si="75"/>
        <v>Specialisation</v>
      </c>
      <c r="S539" s="5" t="s">
        <v>3789</v>
      </c>
      <c r="T539" s="4">
        <v>30792</v>
      </c>
      <c r="U539" s="5">
        <f t="shared" si="76"/>
        <v>1984</v>
      </c>
      <c r="V539" s="5" t="s">
        <v>3793</v>
      </c>
      <c r="W539" s="9">
        <f t="shared" si="73"/>
        <v>40</v>
      </c>
      <c r="X539" s="5" t="str">
        <f t="shared" si="77"/>
        <v>[40 - 44 ans]</v>
      </c>
      <c r="Y539" s="5" t="str">
        <f t="shared" si="78"/>
        <v xml:space="preserve"> Mellenials </v>
      </c>
      <c r="Z539" s="9">
        <f t="shared" si="79"/>
        <v>20</v>
      </c>
      <c r="AA539" s="5" t="str">
        <f t="shared" si="80"/>
        <v>RAS</v>
      </c>
      <c r="AB539" s="5" t="s">
        <v>3829</v>
      </c>
      <c r="AC539" s="6" t="s">
        <v>3802</v>
      </c>
      <c r="AE539" s="5" t="s">
        <v>3845</v>
      </c>
      <c r="AF539" s="5" t="s">
        <v>4481</v>
      </c>
      <c r="AG539" s="5" t="s">
        <v>4485</v>
      </c>
      <c r="AH539" s="5" t="s">
        <v>4488</v>
      </c>
      <c r="AI539" s="5" t="s">
        <v>4220</v>
      </c>
      <c r="AJ539" s="5" t="s">
        <v>4221</v>
      </c>
      <c r="AK539" s="5" t="s">
        <v>4222</v>
      </c>
      <c r="AL539" s="5" t="s">
        <v>3854</v>
      </c>
    </row>
    <row r="540" spans="1:38" x14ac:dyDescent="0.3">
      <c r="A540" s="4">
        <v>45716</v>
      </c>
      <c r="B540" s="5" t="s">
        <v>1958</v>
      </c>
      <c r="C540" s="5" t="s">
        <v>1959</v>
      </c>
      <c r="D540" s="5" t="s">
        <v>1960</v>
      </c>
      <c r="E540" s="5" t="s">
        <v>4494</v>
      </c>
      <c r="G540" s="5" t="s">
        <v>178</v>
      </c>
      <c r="H540" s="5" t="s">
        <v>1961</v>
      </c>
      <c r="I540" s="5" t="s">
        <v>3778</v>
      </c>
      <c r="J540" s="5" t="s">
        <v>1368</v>
      </c>
      <c r="K540" s="4">
        <v>40739</v>
      </c>
      <c r="L540" s="4">
        <v>40739</v>
      </c>
      <c r="M540" s="9">
        <f t="shared" si="72"/>
        <v>13</v>
      </c>
      <c r="N540" s="4" t="str">
        <f t="shared" si="74"/>
        <v>] 10 ; 15 ]</v>
      </c>
      <c r="O540" s="5" t="s">
        <v>3782</v>
      </c>
      <c r="P540" s="5" t="s">
        <v>3784</v>
      </c>
      <c r="Q540" s="5">
        <v>1</v>
      </c>
      <c r="R540" s="5" t="str">
        <f t="shared" si="75"/>
        <v>Management &amp; Expertise</v>
      </c>
      <c r="S540" s="5" t="s">
        <v>3789</v>
      </c>
      <c r="T540" s="4">
        <v>28332</v>
      </c>
      <c r="U540" s="5">
        <f t="shared" si="76"/>
        <v>1977</v>
      </c>
      <c r="V540" s="5" t="s">
        <v>3793</v>
      </c>
      <c r="W540" s="9">
        <f t="shared" si="73"/>
        <v>47</v>
      </c>
      <c r="X540" s="5" t="str">
        <f t="shared" si="77"/>
        <v>[45 - 49 ans]</v>
      </c>
      <c r="Y540" s="5" t="str">
        <f t="shared" si="78"/>
        <v xml:space="preserve"> Generation X </v>
      </c>
      <c r="Z540" s="9">
        <f t="shared" si="79"/>
        <v>13</v>
      </c>
      <c r="AA540" s="5" t="str">
        <f t="shared" si="80"/>
        <v>RAS</v>
      </c>
      <c r="AB540" s="5" t="s">
        <v>3806</v>
      </c>
      <c r="AC540" s="6" t="s">
        <v>3799</v>
      </c>
      <c r="AE540" s="5" t="s">
        <v>3844</v>
      </c>
      <c r="AF540" s="5" t="s">
        <v>4481</v>
      </c>
      <c r="AG540" s="5" t="s">
        <v>4485</v>
      </c>
      <c r="AH540" s="5" t="s">
        <v>4488</v>
      </c>
      <c r="AI540" s="5" t="s">
        <v>4378</v>
      </c>
      <c r="AJ540" s="5" t="s">
        <v>4379</v>
      </c>
      <c r="AK540" s="5" t="s">
        <v>4380</v>
      </c>
      <c r="AL540" s="5" t="s">
        <v>3858</v>
      </c>
    </row>
    <row r="541" spans="1:38" x14ac:dyDescent="0.3">
      <c r="A541" s="4">
        <v>45716</v>
      </c>
      <c r="B541" s="5" t="s">
        <v>1962</v>
      </c>
      <c r="C541" s="5" t="s">
        <v>1963</v>
      </c>
      <c r="D541" s="5" t="s">
        <v>1964</v>
      </c>
      <c r="E541" s="5" t="s">
        <v>4494</v>
      </c>
      <c r="G541" s="5" t="s">
        <v>88</v>
      </c>
      <c r="H541" s="5" t="s">
        <v>760</v>
      </c>
      <c r="I541" s="5" t="s">
        <v>1986</v>
      </c>
      <c r="J541" s="5" t="s">
        <v>2724</v>
      </c>
      <c r="K541" s="4">
        <v>40742</v>
      </c>
      <c r="L541" s="4">
        <v>40742</v>
      </c>
      <c r="M541" s="9">
        <f t="shared" si="72"/>
        <v>13</v>
      </c>
      <c r="N541" s="4" t="str">
        <f t="shared" si="74"/>
        <v>] 10 ; 15 ]</v>
      </c>
      <c r="O541" s="5" t="s">
        <v>3783</v>
      </c>
      <c r="P541" s="5" t="s">
        <v>3783</v>
      </c>
      <c r="Q541" s="5">
        <v>2</v>
      </c>
      <c r="R541" s="5" t="str">
        <f t="shared" si="75"/>
        <v>Specialisation</v>
      </c>
      <c r="S541" s="5" t="s">
        <v>3789</v>
      </c>
      <c r="T541" s="4">
        <v>30839</v>
      </c>
      <c r="U541" s="5">
        <f t="shared" si="76"/>
        <v>1984</v>
      </c>
      <c r="V541" s="5" t="s">
        <v>3792</v>
      </c>
      <c r="W541" s="9">
        <f t="shared" si="73"/>
        <v>40</v>
      </c>
      <c r="X541" s="5" t="str">
        <f t="shared" si="77"/>
        <v>[40 - 44 ans]</v>
      </c>
      <c r="Y541" s="5" t="str">
        <f t="shared" si="78"/>
        <v xml:space="preserve"> Mellenials </v>
      </c>
      <c r="Z541" s="9">
        <f t="shared" si="79"/>
        <v>20</v>
      </c>
      <c r="AA541" s="5" t="str">
        <f t="shared" si="80"/>
        <v>RAS</v>
      </c>
      <c r="AB541" s="5" t="s">
        <v>3806</v>
      </c>
      <c r="AC541" s="6" t="s">
        <v>3799</v>
      </c>
      <c r="AE541" s="5" t="s">
        <v>3844</v>
      </c>
      <c r="AF541" s="5" t="s">
        <v>4482</v>
      </c>
      <c r="AG541" s="5" t="s">
        <v>4485</v>
      </c>
      <c r="AH541" s="5" t="s">
        <v>4488</v>
      </c>
      <c r="AI541" s="5" t="s">
        <v>4189</v>
      </c>
      <c r="AJ541" s="5" t="s">
        <v>4190</v>
      </c>
      <c r="AK541" s="5">
        <v>11100</v>
      </c>
      <c r="AL541" s="5" t="s">
        <v>3858</v>
      </c>
    </row>
    <row r="542" spans="1:38" x14ac:dyDescent="0.3">
      <c r="A542" s="4">
        <v>45716</v>
      </c>
      <c r="B542" s="5" t="s">
        <v>1965</v>
      </c>
      <c r="C542" s="5" t="s">
        <v>1966</v>
      </c>
      <c r="D542" s="5" t="s">
        <v>1967</v>
      </c>
      <c r="E542" s="5" t="s">
        <v>4494</v>
      </c>
      <c r="G542" s="5" t="s">
        <v>88</v>
      </c>
      <c r="H542" s="5" t="s">
        <v>456</v>
      </c>
      <c r="I542" s="5" t="s">
        <v>910</v>
      </c>
      <c r="J542" s="5" t="s">
        <v>883</v>
      </c>
      <c r="K542" s="4">
        <v>40742</v>
      </c>
      <c r="L542" s="4">
        <v>40742</v>
      </c>
      <c r="M542" s="9">
        <f t="shared" si="72"/>
        <v>13</v>
      </c>
      <c r="N542" s="4" t="str">
        <f t="shared" si="74"/>
        <v>] 10 ; 15 ]</v>
      </c>
      <c r="O542" s="5" t="s">
        <v>3780</v>
      </c>
      <c r="P542" s="5" t="s">
        <v>3780</v>
      </c>
      <c r="Q542" s="5">
        <v>3</v>
      </c>
      <c r="R542" s="5" t="str">
        <f t="shared" si="75"/>
        <v>Qualification</v>
      </c>
      <c r="S542" s="5" t="s">
        <v>3789</v>
      </c>
      <c r="T542" s="4">
        <v>30513</v>
      </c>
      <c r="U542" s="5">
        <f t="shared" si="76"/>
        <v>1983</v>
      </c>
      <c r="V542" s="5" t="s">
        <v>3792</v>
      </c>
      <c r="W542" s="9">
        <f t="shared" si="73"/>
        <v>41</v>
      </c>
      <c r="X542" s="5" t="str">
        <f t="shared" si="77"/>
        <v>[40 - 44 ans]</v>
      </c>
      <c r="Y542" s="5" t="str">
        <f t="shared" si="78"/>
        <v xml:space="preserve"> Mellenials </v>
      </c>
      <c r="Z542" s="9">
        <f t="shared" si="79"/>
        <v>19</v>
      </c>
      <c r="AA542" s="5" t="str">
        <f t="shared" si="80"/>
        <v>RAS</v>
      </c>
      <c r="AB542" s="5" t="s">
        <v>3815</v>
      </c>
      <c r="AC542" s="6" t="s">
        <v>3799</v>
      </c>
      <c r="AE542" s="5" t="s">
        <v>3844</v>
      </c>
      <c r="AF542" s="5" t="s">
        <v>4482</v>
      </c>
      <c r="AG542" s="5" t="s">
        <v>4485</v>
      </c>
      <c r="AH542" s="5" t="s">
        <v>4488</v>
      </c>
      <c r="AI542" s="5" t="s">
        <v>4152</v>
      </c>
      <c r="AJ542" s="5" t="s">
        <v>4153</v>
      </c>
      <c r="AK542" s="5" t="s">
        <v>4154</v>
      </c>
      <c r="AL542" s="5" t="s">
        <v>3858</v>
      </c>
    </row>
    <row r="543" spans="1:38" x14ac:dyDescent="0.3">
      <c r="A543" s="4">
        <v>45716</v>
      </c>
      <c r="B543" s="5" t="s">
        <v>1968</v>
      </c>
      <c r="C543" s="5" t="s">
        <v>1969</v>
      </c>
      <c r="D543" s="5" t="s">
        <v>1970</v>
      </c>
      <c r="E543" s="5" t="s">
        <v>4494</v>
      </c>
      <c r="G543" s="5" t="s">
        <v>88</v>
      </c>
      <c r="H543" s="5" t="s">
        <v>706</v>
      </c>
      <c r="I543" s="5" t="s">
        <v>910</v>
      </c>
      <c r="J543" s="5" t="s">
        <v>883</v>
      </c>
      <c r="K543" s="4">
        <v>40742</v>
      </c>
      <c r="L543" s="4">
        <v>40742</v>
      </c>
      <c r="M543" s="9">
        <f t="shared" si="72"/>
        <v>13</v>
      </c>
      <c r="N543" s="4" t="str">
        <f t="shared" si="74"/>
        <v>] 10 ; 15 ]</v>
      </c>
      <c r="O543" s="5" t="s">
        <v>3786</v>
      </c>
      <c r="P543" s="5" t="s">
        <v>3786</v>
      </c>
      <c r="Q543" s="5">
        <v>2</v>
      </c>
      <c r="R543" s="5" t="str">
        <f t="shared" si="75"/>
        <v>Specialisation</v>
      </c>
      <c r="S543" s="5" t="s">
        <v>3789</v>
      </c>
      <c r="T543" s="4">
        <v>29667</v>
      </c>
      <c r="U543" s="5">
        <f t="shared" si="76"/>
        <v>1981</v>
      </c>
      <c r="V543" s="5" t="s">
        <v>3793</v>
      </c>
      <c r="W543" s="9">
        <f t="shared" si="73"/>
        <v>43</v>
      </c>
      <c r="X543" s="5" t="str">
        <f t="shared" si="77"/>
        <v>[40 - 44 ans]</v>
      </c>
      <c r="Y543" s="5" t="str">
        <f t="shared" si="78"/>
        <v xml:space="preserve"> Mellenials </v>
      </c>
      <c r="Z543" s="9">
        <f t="shared" si="79"/>
        <v>17</v>
      </c>
      <c r="AA543" s="5" t="str">
        <f t="shared" si="80"/>
        <v>RAS</v>
      </c>
      <c r="AB543" s="5" t="s">
        <v>3815</v>
      </c>
      <c r="AC543" s="6" t="s">
        <v>3799</v>
      </c>
      <c r="AE543" s="5" t="s">
        <v>3844</v>
      </c>
      <c r="AF543" s="5" t="s">
        <v>4482</v>
      </c>
      <c r="AG543" s="5" t="s">
        <v>4485</v>
      </c>
      <c r="AH543" s="5" t="s">
        <v>4488</v>
      </c>
      <c r="AI543" s="5" t="s">
        <v>4152</v>
      </c>
      <c r="AJ543" s="5" t="s">
        <v>4153</v>
      </c>
      <c r="AK543" s="5" t="s">
        <v>4154</v>
      </c>
      <c r="AL543" s="5" t="s">
        <v>3858</v>
      </c>
    </row>
    <row r="544" spans="1:38" x14ac:dyDescent="0.3">
      <c r="A544" s="4">
        <v>45716</v>
      </c>
      <c r="B544" s="5" t="s">
        <v>1971</v>
      </c>
      <c r="C544" s="5" t="s">
        <v>1972</v>
      </c>
      <c r="D544" s="5" t="s">
        <v>1973</v>
      </c>
      <c r="E544" s="5" t="s">
        <v>4494</v>
      </c>
      <c r="G544" s="5" t="s">
        <v>88</v>
      </c>
      <c r="H544" s="5" t="s">
        <v>456</v>
      </c>
      <c r="I544" s="5" t="s">
        <v>731</v>
      </c>
      <c r="J544" s="5" t="s">
        <v>883</v>
      </c>
      <c r="K544" s="4">
        <v>40742</v>
      </c>
      <c r="L544" s="4">
        <v>40742</v>
      </c>
      <c r="M544" s="9">
        <f t="shared" si="72"/>
        <v>13</v>
      </c>
      <c r="N544" s="4" t="str">
        <f t="shared" si="74"/>
        <v>] 10 ; 15 ]</v>
      </c>
      <c r="O544" s="5" t="s">
        <v>3780</v>
      </c>
      <c r="P544" s="5" t="s">
        <v>3786</v>
      </c>
      <c r="Q544" s="5">
        <v>1</v>
      </c>
      <c r="R544" s="5" t="str">
        <f t="shared" si="75"/>
        <v>Qualification</v>
      </c>
      <c r="S544" s="5" t="s">
        <v>3790</v>
      </c>
      <c r="T544" s="4">
        <v>31000</v>
      </c>
      <c r="U544" s="5">
        <f t="shared" si="76"/>
        <v>1984</v>
      </c>
      <c r="V544" s="5" t="s">
        <v>3793</v>
      </c>
      <c r="W544" s="9">
        <f t="shared" si="73"/>
        <v>40</v>
      </c>
      <c r="X544" s="5" t="str">
        <f t="shared" si="77"/>
        <v>[40 - 44 ans]</v>
      </c>
      <c r="Y544" s="5" t="str">
        <f t="shared" si="78"/>
        <v xml:space="preserve"> Mellenials </v>
      </c>
      <c r="Z544" s="9">
        <f t="shared" si="79"/>
        <v>20</v>
      </c>
      <c r="AA544" s="5" t="str">
        <f t="shared" si="80"/>
        <v>RAS</v>
      </c>
      <c r="AB544" s="5" t="s">
        <v>3826</v>
      </c>
      <c r="AC544" s="6" t="s">
        <v>3799</v>
      </c>
      <c r="AE544" s="5" t="s">
        <v>3844</v>
      </c>
      <c r="AF544" s="5" t="s">
        <v>4482</v>
      </c>
      <c r="AG544" s="5" t="s">
        <v>4485</v>
      </c>
      <c r="AH544" s="5" t="s">
        <v>4488</v>
      </c>
      <c r="AI544" s="5" t="s">
        <v>4182</v>
      </c>
      <c r="AJ544" s="5" t="s">
        <v>3826</v>
      </c>
      <c r="AK544" s="5" t="s">
        <v>4183</v>
      </c>
      <c r="AL544" s="5" t="s">
        <v>3858</v>
      </c>
    </row>
    <row r="545" spans="1:38" x14ac:dyDescent="0.3">
      <c r="A545" s="4">
        <v>45716</v>
      </c>
      <c r="B545" s="5" t="s">
        <v>1974</v>
      </c>
      <c r="C545" s="5" t="s">
        <v>1975</v>
      </c>
      <c r="D545" s="5" t="s">
        <v>1976</v>
      </c>
      <c r="E545" s="5" t="s">
        <v>4494</v>
      </c>
      <c r="G545" s="5" t="s">
        <v>88</v>
      </c>
      <c r="H545" s="5" t="s">
        <v>1579</v>
      </c>
      <c r="I545" s="5" t="s">
        <v>1291</v>
      </c>
      <c r="J545" s="5" t="s">
        <v>2724</v>
      </c>
      <c r="K545" s="4">
        <v>40756</v>
      </c>
      <c r="L545" s="4">
        <v>40756</v>
      </c>
      <c r="M545" s="9">
        <f t="shared" si="72"/>
        <v>13</v>
      </c>
      <c r="N545" s="4" t="str">
        <f t="shared" si="74"/>
        <v>] 10 ; 15 ]</v>
      </c>
      <c r="O545" s="5" t="s">
        <v>3786</v>
      </c>
      <c r="P545" s="5" t="s">
        <v>3786</v>
      </c>
      <c r="Q545" s="5">
        <v>1</v>
      </c>
      <c r="R545" s="5" t="str">
        <f t="shared" si="75"/>
        <v>Specialisation</v>
      </c>
      <c r="S545" s="5" t="s">
        <v>3790</v>
      </c>
      <c r="T545" s="4">
        <v>29404</v>
      </c>
      <c r="U545" s="5">
        <f t="shared" si="76"/>
        <v>1980</v>
      </c>
      <c r="V545" s="5" t="s">
        <v>3792</v>
      </c>
      <c r="W545" s="9">
        <f t="shared" si="73"/>
        <v>44</v>
      </c>
      <c r="X545" s="5" t="str">
        <f t="shared" si="77"/>
        <v>[40 - 44 ans]</v>
      </c>
      <c r="Y545" s="5" t="str">
        <f t="shared" si="78"/>
        <v xml:space="preserve"> Generation X </v>
      </c>
      <c r="Z545" s="9">
        <f t="shared" si="79"/>
        <v>16</v>
      </c>
      <c r="AA545" s="5" t="str">
        <f t="shared" si="80"/>
        <v>RAS</v>
      </c>
      <c r="AB545" s="5" t="s">
        <v>3806</v>
      </c>
      <c r="AC545" s="6" t="s">
        <v>3799</v>
      </c>
      <c r="AE545" s="5" t="s">
        <v>3844</v>
      </c>
      <c r="AF545" s="5" t="s">
        <v>4482</v>
      </c>
      <c r="AG545" s="5" t="s">
        <v>4485</v>
      </c>
      <c r="AH545" s="5" t="s">
        <v>4488</v>
      </c>
      <c r="AI545" s="5" t="s">
        <v>4283</v>
      </c>
      <c r="AJ545" s="5" t="s">
        <v>4284</v>
      </c>
      <c r="AK545" s="5" t="s">
        <v>4285</v>
      </c>
      <c r="AL545" s="5" t="s">
        <v>3858</v>
      </c>
    </row>
    <row r="546" spans="1:38" x14ac:dyDescent="0.3">
      <c r="A546" s="4">
        <v>45716</v>
      </c>
      <c r="B546" s="5" t="s">
        <v>1977</v>
      </c>
      <c r="C546" s="5" t="s">
        <v>1978</v>
      </c>
      <c r="D546" s="5" t="s">
        <v>1979</v>
      </c>
      <c r="E546" s="5" t="s">
        <v>4494</v>
      </c>
      <c r="G546" s="5" t="s">
        <v>78</v>
      </c>
      <c r="H546" s="5" t="s">
        <v>1980</v>
      </c>
      <c r="I546" s="5" t="s">
        <v>2312</v>
      </c>
      <c r="J546" s="5" t="s">
        <v>298</v>
      </c>
      <c r="K546" s="4">
        <v>40756</v>
      </c>
      <c r="L546" s="4">
        <v>40756</v>
      </c>
      <c r="M546" s="9">
        <f t="shared" si="72"/>
        <v>13</v>
      </c>
      <c r="N546" s="4" t="str">
        <f t="shared" si="74"/>
        <v>] 10 ; 15 ]</v>
      </c>
      <c r="O546" s="5" t="s">
        <v>3788</v>
      </c>
      <c r="P546" s="5" t="s">
        <v>3788</v>
      </c>
      <c r="Q546" s="5">
        <v>3</v>
      </c>
      <c r="R546" s="5" t="str">
        <f t="shared" si="75"/>
        <v>Qualification</v>
      </c>
      <c r="S546" s="5" t="s">
        <v>3790</v>
      </c>
      <c r="T546" s="4">
        <v>31798</v>
      </c>
      <c r="U546" s="5">
        <f t="shared" si="76"/>
        <v>1987</v>
      </c>
      <c r="V546" s="5" t="s">
        <v>3792</v>
      </c>
      <c r="W546" s="9">
        <f t="shared" si="73"/>
        <v>38</v>
      </c>
      <c r="X546" s="5" t="str">
        <f t="shared" si="77"/>
        <v>[35 - 39 ans ]</v>
      </c>
      <c r="Y546" s="5" t="str">
        <f t="shared" si="78"/>
        <v xml:space="preserve"> Mellenials </v>
      </c>
      <c r="Z546" s="9">
        <f t="shared" si="79"/>
        <v>22</v>
      </c>
      <c r="AA546" s="5" t="str">
        <f t="shared" si="80"/>
        <v>RAS</v>
      </c>
      <c r="AB546" s="5" t="s">
        <v>3808</v>
      </c>
      <c r="AC546" s="6" t="s">
        <v>3799</v>
      </c>
      <c r="AE546" s="5" t="s">
        <v>3844</v>
      </c>
      <c r="AF546" s="5" t="s">
        <v>4482</v>
      </c>
      <c r="AG546" s="5" t="s">
        <v>4485</v>
      </c>
      <c r="AH546" s="5" t="s">
        <v>4488</v>
      </c>
      <c r="AI546" s="5" t="s">
        <v>4381</v>
      </c>
      <c r="AJ546" s="5" t="s">
        <v>4382</v>
      </c>
      <c r="AK546" s="5" t="s">
        <v>3946</v>
      </c>
      <c r="AL546" s="5" t="s">
        <v>3858</v>
      </c>
    </row>
    <row r="547" spans="1:38" x14ac:dyDescent="0.3">
      <c r="A547" s="4">
        <v>45716</v>
      </c>
      <c r="B547" s="5" t="s">
        <v>1981</v>
      </c>
      <c r="C547" s="5" t="s">
        <v>1982</v>
      </c>
      <c r="D547" s="5" t="s">
        <v>1983</v>
      </c>
      <c r="E547" s="5" t="s">
        <v>4494</v>
      </c>
      <c r="G547" s="5" t="s">
        <v>88</v>
      </c>
      <c r="H547" s="5" t="s">
        <v>456</v>
      </c>
      <c r="I547" s="5" t="s">
        <v>1814</v>
      </c>
      <c r="J547" s="5" t="s">
        <v>883</v>
      </c>
      <c r="K547" s="4">
        <v>40756</v>
      </c>
      <c r="L547" s="4">
        <v>40756</v>
      </c>
      <c r="M547" s="9">
        <f t="shared" si="72"/>
        <v>13</v>
      </c>
      <c r="N547" s="4" t="str">
        <f t="shared" si="74"/>
        <v>] 10 ; 15 ]</v>
      </c>
      <c r="O547" s="5" t="s">
        <v>3780</v>
      </c>
      <c r="P547" s="5" t="s">
        <v>3780</v>
      </c>
      <c r="Q547" s="5">
        <v>3</v>
      </c>
      <c r="R547" s="5" t="str">
        <f t="shared" si="75"/>
        <v>Qualification</v>
      </c>
      <c r="S547" s="5" t="s">
        <v>3790</v>
      </c>
      <c r="T547" s="4">
        <v>30324</v>
      </c>
      <c r="U547" s="5">
        <f t="shared" si="76"/>
        <v>1983</v>
      </c>
      <c r="V547" s="5" t="s">
        <v>3792</v>
      </c>
      <c r="W547" s="9">
        <f t="shared" si="73"/>
        <v>42</v>
      </c>
      <c r="X547" s="5" t="str">
        <f t="shared" si="77"/>
        <v>[40 - 44 ans]</v>
      </c>
      <c r="Y547" s="5" t="str">
        <f t="shared" si="78"/>
        <v xml:space="preserve"> Mellenials </v>
      </c>
      <c r="Z547" s="9">
        <f t="shared" si="79"/>
        <v>18</v>
      </c>
      <c r="AA547" s="5" t="str">
        <f t="shared" si="80"/>
        <v>RAS</v>
      </c>
      <c r="AB547" s="5" t="s">
        <v>3813</v>
      </c>
      <c r="AC547" s="6" t="s">
        <v>3799</v>
      </c>
      <c r="AE547" s="5" t="s">
        <v>3844</v>
      </c>
      <c r="AF547" s="5" t="s">
        <v>4482</v>
      </c>
      <c r="AG547" s="5" t="s">
        <v>4485</v>
      </c>
      <c r="AH547" s="5" t="s">
        <v>4488</v>
      </c>
      <c r="AI547" s="5" t="s">
        <v>4188</v>
      </c>
      <c r="AJ547" s="5" t="s">
        <v>4068</v>
      </c>
      <c r="AK547" s="5" t="s">
        <v>4069</v>
      </c>
      <c r="AL547" s="5" t="s">
        <v>3858</v>
      </c>
    </row>
    <row r="548" spans="1:38" x14ac:dyDescent="0.3">
      <c r="A548" s="4">
        <v>45716</v>
      </c>
      <c r="B548" s="5" t="s">
        <v>1984</v>
      </c>
      <c r="C548" s="5" t="s">
        <v>1985</v>
      </c>
      <c r="D548" s="5" t="s">
        <v>1986</v>
      </c>
      <c r="E548" s="5" t="s">
        <v>4494</v>
      </c>
      <c r="G548" s="5" t="s">
        <v>88</v>
      </c>
      <c r="H548" s="5" t="s">
        <v>1987</v>
      </c>
      <c r="I548" s="5" t="s">
        <v>2724</v>
      </c>
      <c r="J548" s="5" t="s">
        <v>182</v>
      </c>
      <c r="K548" s="4">
        <v>40763</v>
      </c>
      <c r="L548" s="4">
        <v>40763</v>
      </c>
      <c r="M548" s="9">
        <f t="shared" si="72"/>
        <v>13</v>
      </c>
      <c r="N548" s="4" t="str">
        <f t="shared" si="74"/>
        <v>] 10 ; 15 ]</v>
      </c>
      <c r="O548" s="5" t="s">
        <v>3782</v>
      </c>
      <c r="P548" s="5" t="s">
        <v>3782</v>
      </c>
      <c r="Q548" s="5">
        <v>2</v>
      </c>
      <c r="R548" s="5" t="str">
        <f t="shared" si="75"/>
        <v>Management &amp; Expertise</v>
      </c>
      <c r="S548" s="5" t="s">
        <v>3789</v>
      </c>
      <c r="T548" s="4">
        <v>28763</v>
      </c>
      <c r="U548" s="5">
        <f t="shared" si="76"/>
        <v>1978</v>
      </c>
      <c r="V548" s="5" t="s">
        <v>3793</v>
      </c>
      <c r="W548" s="9">
        <f t="shared" si="73"/>
        <v>46</v>
      </c>
      <c r="X548" s="5" t="str">
        <f t="shared" si="77"/>
        <v>[45 - 49 ans]</v>
      </c>
      <c r="Y548" s="5" t="str">
        <f t="shared" si="78"/>
        <v xml:space="preserve"> Generation X </v>
      </c>
      <c r="Z548" s="9">
        <f t="shared" si="79"/>
        <v>14</v>
      </c>
      <c r="AA548" s="5" t="str">
        <f t="shared" si="80"/>
        <v>RAS</v>
      </c>
      <c r="AB548" s="5" t="s">
        <v>3806</v>
      </c>
      <c r="AC548" s="6" t="s">
        <v>3799</v>
      </c>
      <c r="AE548" s="5" t="s">
        <v>3845</v>
      </c>
      <c r="AF548" s="5" t="s">
        <v>4481</v>
      </c>
      <c r="AG548" s="5" t="s">
        <v>4485</v>
      </c>
      <c r="AH548" s="5" t="s">
        <v>4488</v>
      </c>
      <c r="AI548" s="5" t="s">
        <v>4189</v>
      </c>
      <c r="AJ548" s="5" t="s">
        <v>4190</v>
      </c>
      <c r="AK548" s="5" t="s">
        <v>3943</v>
      </c>
      <c r="AL548" s="5" t="s">
        <v>3854</v>
      </c>
    </row>
    <row r="549" spans="1:38" x14ac:dyDescent="0.3">
      <c r="A549" s="4">
        <v>45716</v>
      </c>
      <c r="B549" s="5" t="s">
        <v>1988</v>
      </c>
      <c r="C549" s="5" t="s">
        <v>1989</v>
      </c>
      <c r="D549" s="5" t="s">
        <v>1990</v>
      </c>
      <c r="E549" s="5" t="s">
        <v>4494</v>
      </c>
      <c r="G549" s="5" t="s">
        <v>44</v>
      </c>
      <c r="H549" s="5" t="s">
        <v>1991</v>
      </c>
      <c r="I549" s="5" t="s">
        <v>2337</v>
      </c>
      <c r="J549" s="5" t="s">
        <v>2841</v>
      </c>
      <c r="K549" s="4">
        <v>40763</v>
      </c>
      <c r="L549" s="4">
        <v>40763</v>
      </c>
      <c r="M549" s="9">
        <f t="shared" si="72"/>
        <v>13</v>
      </c>
      <c r="N549" s="4" t="str">
        <f t="shared" si="74"/>
        <v>] 10 ; 15 ]</v>
      </c>
      <c r="O549" s="5" t="s">
        <v>3785</v>
      </c>
      <c r="P549" s="5" t="s">
        <v>3782</v>
      </c>
      <c r="Q549" s="5">
        <v>1</v>
      </c>
      <c r="R549" s="5" t="str">
        <f t="shared" si="75"/>
        <v>Specialisation</v>
      </c>
      <c r="S549" s="5" t="s">
        <v>3790</v>
      </c>
      <c r="T549" s="4">
        <v>28642</v>
      </c>
      <c r="U549" s="5">
        <f t="shared" si="76"/>
        <v>1978</v>
      </c>
      <c r="V549" s="5" t="s">
        <v>3793</v>
      </c>
      <c r="W549" s="9">
        <f t="shared" si="73"/>
        <v>46</v>
      </c>
      <c r="X549" s="5" t="str">
        <f t="shared" si="77"/>
        <v>[45 - 49 ans]</v>
      </c>
      <c r="Y549" s="5" t="str">
        <f t="shared" si="78"/>
        <v xml:space="preserve"> Generation X </v>
      </c>
      <c r="Z549" s="9">
        <f t="shared" si="79"/>
        <v>14</v>
      </c>
      <c r="AA549" s="5" t="str">
        <f t="shared" si="80"/>
        <v>RAS</v>
      </c>
      <c r="AB549" s="5" t="s">
        <v>3807</v>
      </c>
      <c r="AC549" s="6" t="s">
        <v>3799</v>
      </c>
      <c r="AE549" s="5" t="s">
        <v>3845</v>
      </c>
      <c r="AF549" s="5" t="s">
        <v>4481</v>
      </c>
      <c r="AG549" s="5" t="s">
        <v>4485</v>
      </c>
      <c r="AH549" s="5" t="s">
        <v>4487</v>
      </c>
      <c r="AI549" s="5" t="s">
        <v>3865</v>
      </c>
      <c r="AJ549" s="5" t="s">
        <v>3866</v>
      </c>
      <c r="AK549" s="5" t="s">
        <v>3867</v>
      </c>
      <c r="AL549" s="5" t="s">
        <v>3854</v>
      </c>
    </row>
    <row r="550" spans="1:38" x14ac:dyDescent="0.3">
      <c r="A550" s="4">
        <v>45716</v>
      </c>
      <c r="B550" s="5" t="s">
        <v>1992</v>
      </c>
      <c r="C550" s="5" t="s">
        <v>1993</v>
      </c>
      <c r="D550" s="5" t="s">
        <v>1994</v>
      </c>
      <c r="E550" s="5" t="s">
        <v>4494</v>
      </c>
      <c r="G550" s="5" t="s">
        <v>24</v>
      </c>
      <c r="H550" s="5" t="s">
        <v>256</v>
      </c>
      <c r="I550" s="5" t="s">
        <v>318</v>
      </c>
      <c r="J550" s="5" t="s">
        <v>23</v>
      </c>
      <c r="K550" s="4">
        <v>40770</v>
      </c>
      <c r="L550" s="4">
        <v>40770</v>
      </c>
      <c r="M550" s="9">
        <f t="shared" si="72"/>
        <v>13</v>
      </c>
      <c r="N550" s="4" t="str">
        <f t="shared" si="74"/>
        <v>] 10 ; 15 ]</v>
      </c>
      <c r="O550" s="5" t="s">
        <v>3786</v>
      </c>
      <c r="P550" s="5" t="s">
        <v>3783</v>
      </c>
      <c r="Q550" s="5">
        <v>1</v>
      </c>
      <c r="R550" s="5" t="str">
        <f t="shared" si="75"/>
        <v>Specialisation</v>
      </c>
      <c r="S550" s="5" t="s">
        <v>3790</v>
      </c>
      <c r="T550" s="4">
        <v>31601</v>
      </c>
      <c r="U550" s="5">
        <f t="shared" si="76"/>
        <v>1986</v>
      </c>
      <c r="V550" s="5" t="s">
        <v>3793</v>
      </c>
      <c r="W550" s="9">
        <f t="shared" si="73"/>
        <v>38</v>
      </c>
      <c r="X550" s="5" t="str">
        <f t="shared" si="77"/>
        <v>[35 - 39 ans ]</v>
      </c>
      <c r="Y550" s="5" t="str">
        <f t="shared" si="78"/>
        <v xml:space="preserve"> Mellenials </v>
      </c>
      <c r="Z550" s="9">
        <f t="shared" si="79"/>
        <v>22</v>
      </c>
      <c r="AA550" s="5" t="str">
        <f t="shared" si="80"/>
        <v>RAS</v>
      </c>
      <c r="AB550" s="5" t="s">
        <v>3810</v>
      </c>
      <c r="AC550" s="6" t="s">
        <v>3801</v>
      </c>
      <c r="AE550" s="5" t="s">
        <v>3844</v>
      </c>
      <c r="AF550" s="5" t="s">
        <v>4482</v>
      </c>
      <c r="AG550" s="5" t="s">
        <v>4485</v>
      </c>
      <c r="AH550" s="5" t="s">
        <v>4488</v>
      </c>
      <c r="AI550" s="5" t="s">
        <v>4144</v>
      </c>
      <c r="AJ550" s="5" t="s">
        <v>4145</v>
      </c>
      <c r="AK550" s="5" t="s">
        <v>3983</v>
      </c>
      <c r="AL550" s="5" t="s">
        <v>3858</v>
      </c>
    </row>
    <row r="551" spans="1:38" x14ac:dyDescent="0.3">
      <c r="A551" s="4">
        <v>45716</v>
      </c>
      <c r="B551" s="5" t="s">
        <v>1995</v>
      </c>
      <c r="C551" s="5" t="s">
        <v>1996</v>
      </c>
      <c r="D551" s="5" t="s">
        <v>1997</v>
      </c>
      <c r="E551" s="5" t="s">
        <v>4494</v>
      </c>
      <c r="G551" s="5" t="s">
        <v>78</v>
      </c>
      <c r="H551" s="5" t="s">
        <v>527</v>
      </c>
      <c r="I551" s="5" t="s">
        <v>1633</v>
      </c>
      <c r="J551" s="5" t="s">
        <v>1518</v>
      </c>
      <c r="K551" s="4">
        <v>40770</v>
      </c>
      <c r="L551" s="4">
        <v>40770</v>
      </c>
      <c r="M551" s="9">
        <f t="shared" si="72"/>
        <v>13</v>
      </c>
      <c r="N551" s="4" t="str">
        <f t="shared" si="74"/>
        <v>] 10 ; 15 ]</v>
      </c>
      <c r="O551" s="5" t="s">
        <v>3780</v>
      </c>
      <c r="P551" s="5" t="s">
        <v>3780</v>
      </c>
      <c r="Q551" s="5">
        <v>3</v>
      </c>
      <c r="R551" s="5" t="str">
        <f t="shared" si="75"/>
        <v>Qualification</v>
      </c>
      <c r="S551" s="5" t="s">
        <v>3790</v>
      </c>
      <c r="T551" s="4">
        <v>32023</v>
      </c>
      <c r="U551" s="5">
        <f t="shared" si="76"/>
        <v>1987</v>
      </c>
      <c r="V551" s="5" t="s">
        <v>3793</v>
      </c>
      <c r="W551" s="9">
        <f t="shared" si="73"/>
        <v>37</v>
      </c>
      <c r="X551" s="5" t="str">
        <f t="shared" si="77"/>
        <v>[35 - 39 ans ]</v>
      </c>
      <c r="Y551" s="5" t="str">
        <f t="shared" si="78"/>
        <v xml:space="preserve"> Mellenials </v>
      </c>
      <c r="Z551" s="9">
        <f t="shared" si="79"/>
        <v>23</v>
      </c>
      <c r="AA551" s="5" t="str">
        <f t="shared" si="80"/>
        <v>RAS</v>
      </c>
      <c r="AB551" s="5" t="s">
        <v>3810</v>
      </c>
      <c r="AC551" s="6" t="s">
        <v>3801</v>
      </c>
      <c r="AE551" s="5" t="s">
        <v>3844</v>
      </c>
      <c r="AF551" s="5" t="s">
        <v>4482</v>
      </c>
      <c r="AG551" s="5" t="s">
        <v>4485</v>
      </c>
      <c r="AH551" s="5" t="s">
        <v>4488</v>
      </c>
      <c r="AI551" s="5" t="s">
        <v>4106</v>
      </c>
      <c r="AJ551" s="5" t="s">
        <v>4107</v>
      </c>
      <c r="AK551" s="5">
        <v>81310</v>
      </c>
      <c r="AL551" s="5" t="s">
        <v>3858</v>
      </c>
    </row>
    <row r="552" spans="1:38" x14ac:dyDescent="0.3">
      <c r="A552" s="4">
        <v>45716</v>
      </c>
      <c r="B552" s="5" t="s">
        <v>1998</v>
      </c>
      <c r="C552" s="5" t="s">
        <v>1999</v>
      </c>
      <c r="D552" s="5" t="s">
        <v>2000</v>
      </c>
      <c r="E552" s="5" t="s">
        <v>4494</v>
      </c>
      <c r="G552" s="5" t="s">
        <v>178</v>
      </c>
      <c r="H552" s="5" t="s">
        <v>2001</v>
      </c>
      <c r="I552" s="5" t="s">
        <v>3397</v>
      </c>
      <c r="J552" s="5" t="s">
        <v>435</v>
      </c>
      <c r="K552" s="4">
        <v>40770</v>
      </c>
      <c r="L552" s="4">
        <v>40770</v>
      </c>
      <c r="M552" s="9">
        <f t="shared" si="72"/>
        <v>13</v>
      </c>
      <c r="N552" s="4" t="str">
        <f t="shared" si="74"/>
        <v>] 10 ; 15 ]</v>
      </c>
      <c r="O552" s="5" t="s">
        <v>3783</v>
      </c>
      <c r="P552" s="5" t="s">
        <v>3783</v>
      </c>
      <c r="Q552" s="5">
        <v>1</v>
      </c>
      <c r="R552" s="5" t="str">
        <f t="shared" si="75"/>
        <v>Specialisation</v>
      </c>
      <c r="S552" s="5" t="s">
        <v>3790</v>
      </c>
      <c r="T552" s="4">
        <v>31214</v>
      </c>
      <c r="U552" s="5">
        <f t="shared" si="76"/>
        <v>1985</v>
      </c>
      <c r="V552" s="5" t="s">
        <v>3793</v>
      </c>
      <c r="W552" s="9">
        <f t="shared" si="73"/>
        <v>39</v>
      </c>
      <c r="X552" s="5" t="str">
        <f t="shared" si="77"/>
        <v>[35 - 39 ans ]</v>
      </c>
      <c r="Y552" s="5" t="str">
        <f t="shared" si="78"/>
        <v xml:space="preserve"> Mellenials </v>
      </c>
      <c r="Z552" s="9">
        <f t="shared" si="79"/>
        <v>21</v>
      </c>
      <c r="AA552" s="5" t="str">
        <f t="shared" si="80"/>
        <v>RAS</v>
      </c>
      <c r="AB552" s="5" t="s">
        <v>3806</v>
      </c>
      <c r="AC552" s="6" t="s">
        <v>3799</v>
      </c>
      <c r="AE552" s="5" t="s">
        <v>3844</v>
      </c>
      <c r="AF552" s="5" t="s">
        <v>4482</v>
      </c>
      <c r="AG552" s="5" t="s">
        <v>4485</v>
      </c>
      <c r="AH552" s="5" t="s">
        <v>4488</v>
      </c>
      <c r="AI552" s="5" t="s">
        <v>4034</v>
      </c>
      <c r="AJ552" s="5" t="s">
        <v>4035</v>
      </c>
      <c r="AK552" s="5" t="s">
        <v>3962</v>
      </c>
      <c r="AL552" s="5" t="s">
        <v>3858</v>
      </c>
    </row>
    <row r="553" spans="1:38" x14ac:dyDescent="0.3">
      <c r="A553" s="4">
        <v>45716</v>
      </c>
      <c r="B553" s="5" t="s">
        <v>2002</v>
      </c>
      <c r="C553" s="5" t="s">
        <v>2003</v>
      </c>
      <c r="D553" s="5" t="s">
        <v>2004</v>
      </c>
      <c r="E553" s="5" t="s">
        <v>4494</v>
      </c>
      <c r="G553" s="5" t="s">
        <v>88</v>
      </c>
      <c r="H553" s="5" t="s">
        <v>706</v>
      </c>
      <c r="I553" s="5" t="s">
        <v>2020</v>
      </c>
      <c r="J553" s="5" t="s">
        <v>883</v>
      </c>
      <c r="K553" s="4">
        <v>40770</v>
      </c>
      <c r="L553" s="4">
        <v>40770</v>
      </c>
      <c r="M553" s="9">
        <f t="shared" si="72"/>
        <v>13</v>
      </c>
      <c r="N553" s="4" t="str">
        <f t="shared" si="74"/>
        <v>] 10 ; 15 ]</v>
      </c>
      <c r="O553" s="5" t="s">
        <v>3786</v>
      </c>
      <c r="P553" s="5" t="s">
        <v>3783</v>
      </c>
      <c r="Q553" s="5">
        <v>1</v>
      </c>
      <c r="R553" s="5" t="str">
        <f t="shared" si="75"/>
        <v>Specialisation</v>
      </c>
      <c r="S553" s="5" t="s">
        <v>3789</v>
      </c>
      <c r="T553" s="4">
        <v>29483</v>
      </c>
      <c r="U553" s="5">
        <f t="shared" si="76"/>
        <v>1980</v>
      </c>
      <c r="V553" s="5" t="s">
        <v>3793</v>
      </c>
      <c r="W553" s="9">
        <f t="shared" si="73"/>
        <v>44</v>
      </c>
      <c r="X553" s="5" t="str">
        <f t="shared" si="77"/>
        <v>[40 - 44 ans]</v>
      </c>
      <c r="Y553" s="5" t="str">
        <f t="shared" si="78"/>
        <v xml:space="preserve"> Generation X </v>
      </c>
      <c r="Z553" s="9">
        <f t="shared" si="79"/>
        <v>16</v>
      </c>
      <c r="AA553" s="5" t="str">
        <f t="shared" si="80"/>
        <v>RAS</v>
      </c>
      <c r="AB553" s="5" t="s">
        <v>3811</v>
      </c>
      <c r="AC553" s="6" t="s">
        <v>3801</v>
      </c>
      <c r="AE553" s="5" t="s">
        <v>3844</v>
      </c>
      <c r="AF553" s="5" t="s">
        <v>4482</v>
      </c>
      <c r="AG553" s="5" t="s">
        <v>4485</v>
      </c>
      <c r="AH553" s="5" t="s">
        <v>4488</v>
      </c>
      <c r="AI553" s="5" t="s">
        <v>4072</v>
      </c>
      <c r="AJ553" s="5" t="s">
        <v>4073</v>
      </c>
      <c r="AK553" s="5" t="s">
        <v>4074</v>
      </c>
      <c r="AL553" s="5" t="s">
        <v>3858</v>
      </c>
    </row>
    <row r="554" spans="1:38" x14ac:dyDescent="0.3">
      <c r="A554" s="4">
        <v>45716</v>
      </c>
      <c r="B554" s="5" t="s">
        <v>2005</v>
      </c>
      <c r="C554" s="5" t="s">
        <v>2006</v>
      </c>
      <c r="D554" s="5" t="s">
        <v>2007</v>
      </c>
      <c r="E554" s="5" t="s">
        <v>4494</v>
      </c>
      <c r="G554" s="5" t="s">
        <v>24</v>
      </c>
      <c r="H554" s="5" t="s">
        <v>1138</v>
      </c>
      <c r="I554" s="5" t="s">
        <v>318</v>
      </c>
      <c r="J554" s="5" t="s">
        <v>23</v>
      </c>
      <c r="K554" s="4">
        <v>40770</v>
      </c>
      <c r="L554" s="4">
        <v>40770</v>
      </c>
      <c r="M554" s="9">
        <f t="shared" si="72"/>
        <v>13</v>
      </c>
      <c r="N554" s="4" t="str">
        <f t="shared" si="74"/>
        <v>] 10 ; 15 ]</v>
      </c>
      <c r="O554" s="5" t="s">
        <v>3785</v>
      </c>
      <c r="P554" s="5" t="s">
        <v>3785</v>
      </c>
      <c r="Q554" s="5">
        <v>2</v>
      </c>
      <c r="R554" s="5" t="str">
        <f t="shared" si="75"/>
        <v>Specialisation</v>
      </c>
      <c r="S554" s="5" t="s">
        <v>3789</v>
      </c>
      <c r="T554" s="4">
        <v>31440</v>
      </c>
      <c r="U554" s="5">
        <f t="shared" si="76"/>
        <v>1986</v>
      </c>
      <c r="V554" s="5" t="s">
        <v>3793</v>
      </c>
      <c r="W554" s="9">
        <f t="shared" si="73"/>
        <v>39</v>
      </c>
      <c r="X554" s="5" t="str">
        <f t="shared" si="77"/>
        <v>[35 - 39 ans ]</v>
      </c>
      <c r="Y554" s="5" t="str">
        <f t="shared" si="78"/>
        <v xml:space="preserve"> Mellenials </v>
      </c>
      <c r="Z554" s="9">
        <f t="shared" si="79"/>
        <v>21</v>
      </c>
      <c r="AA554" s="5" t="str">
        <f t="shared" si="80"/>
        <v>RAS</v>
      </c>
      <c r="AB554" s="5" t="s">
        <v>3810</v>
      </c>
      <c r="AC554" s="6" t="s">
        <v>3801</v>
      </c>
      <c r="AE554" s="5" t="s">
        <v>3844</v>
      </c>
      <c r="AF554" s="5" t="s">
        <v>4481</v>
      </c>
      <c r="AG554" s="5" t="s">
        <v>4485</v>
      </c>
      <c r="AH554" s="5" t="s">
        <v>4488</v>
      </c>
      <c r="AI554" s="5" t="s">
        <v>4144</v>
      </c>
      <c r="AJ554" s="5" t="s">
        <v>4145</v>
      </c>
      <c r="AK554" s="5" t="s">
        <v>3983</v>
      </c>
      <c r="AL554" s="5" t="s">
        <v>3858</v>
      </c>
    </row>
    <row r="555" spans="1:38" x14ac:dyDescent="0.3">
      <c r="A555" s="4">
        <v>45716</v>
      </c>
      <c r="B555" s="5" t="s">
        <v>2008</v>
      </c>
      <c r="C555" s="5" t="s">
        <v>2009</v>
      </c>
      <c r="D555" s="5" t="s">
        <v>2010</v>
      </c>
      <c r="E555" s="5" t="s">
        <v>4494</v>
      </c>
      <c r="G555" s="5" t="s">
        <v>88</v>
      </c>
      <c r="H555" s="5" t="s">
        <v>101</v>
      </c>
      <c r="I555" s="5" t="s">
        <v>1727</v>
      </c>
      <c r="J555" s="5" t="s">
        <v>879</v>
      </c>
      <c r="K555" s="4">
        <v>40770</v>
      </c>
      <c r="L555" s="4">
        <v>40770</v>
      </c>
      <c r="M555" s="9">
        <f t="shared" si="72"/>
        <v>13</v>
      </c>
      <c r="N555" s="4" t="str">
        <f t="shared" si="74"/>
        <v>] 10 ; 15 ]</v>
      </c>
      <c r="O555" s="5" t="s">
        <v>3783</v>
      </c>
      <c r="P555" s="5" t="s">
        <v>3783</v>
      </c>
      <c r="Q555" s="5">
        <v>1</v>
      </c>
      <c r="R555" s="5" t="str">
        <f t="shared" si="75"/>
        <v>Specialisation</v>
      </c>
      <c r="S555" s="5" t="s">
        <v>3789</v>
      </c>
      <c r="T555" s="4">
        <v>30179</v>
      </c>
      <c r="U555" s="5">
        <f t="shared" si="76"/>
        <v>1982</v>
      </c>
      <c r="V555" s="5" t="s">
        <v>3793</v>
      </c>
      <c r="W555" s="9">
        <f t="shared" si="73"/>
        <v>42</v>
      </c>
      <c r="X555" s="5" t="str">
        <f t="shared" si="77"/>
        <v>[40 - 44 ans]</v>
      </c>
      <c r="Y555" s="5" t="str">
        <f t="shared" si="78"/>
        <v xml:space="preserve"> Mellenials </v>
      </c>
      <c r="Z555" s="9">
        <f t="shared" si="79"/>
        <v>18</v>
      </c>
      <c r="AA555" s="5" t="str">
        <f t="shared" si="80"/>
        <v>RAS</v>
      </c>
      <c r="AB555" s="5" t="s">
        <v>3811</v>
      </c>
      <c r="AC555" s="6" t="s">
        <v>3801</v>
      </c>
      <c r="AE555" s="5" t="s">
        <v>3844</v>
      </c>
      <c r="AF555" s="5" t="s">
        <v>4482</v>
      </c>
      <c r="AG555" s="5" t="s">
        <v>4485</v>
      </c>
      <c r="AH555" s="5" t="s">
        <v>4488</v>
      </c>
      <c r="AI555" s="5" t="s">
        <v>4353</v>
      </c>
      <c r="AJ555" s="5" t="s">
        <v>4376</v>
      </c>
      <c r="AK555" s="5" t="s">
        <v>4377</v>
      </c>
      <c r="AL555" s="5" t="s">
        <v>3858</v>
      </c>
    </row>
    <row r="556" spans="1:38" x14ac:dyDescent="0.3">
      <c r="A556" s="4">
        <v>45716</v>
      </c>
      <c r="B556" s="5" t="s">
        <v>2011</v>
      </c>
      <c r="C556" s="5" t="s">
        <v>2012</v>
      </c>
      <c r="D556" s="5" t="s">
        <v>2013</v>
      </c>
      <c r="E556" s="5" t="s">
        <v>4494</v>
      </c>
      <c r="G556" s="5" t="s">
        <v>88</v>
      </c>
      <c r="H556" s="5" t="s">
        <v>2014</v>
      </c>
      <c r="I556" s="5" t="s">
        <v>678</v>
      </c>
      <c r="J556" s="5" t="s">
        <v>182</v>
      </c>
      <c r="K556" s="4">
        <v>40770</v>
      </c>
      <c r="L556" s="4">
        <v>40770</v>
      </c>
      <c r="M556" s="9">
        <f t="shared" si="72"/>
        <v>13</v>
      </c>
      <c r="N556" s="4" t="str">
        <f t="shared" si="74"/>
        <v>] 10 ; 15 ]</v>
      </c>
      <c r="O556" s="5" t="s">
        <v>3782</v>
      </c>
      <c r="P556" s="5" t="s">
        <v>3782</v>
      </c>
      <c r="Q556" s="5">
        <v>1</v>
      </c>
      <c r="R556" s="5" t="str">
        <f t="shared" si="75"/>
        <v>Management &amp; Expertise</v>
      </c>
      <c r="S556" s="5" t="s">
        <v>3789</v>
      </c>
      <c r="T556" s="4">
        <v>30856</v>
      </c>
      <c r="U556" s="5">
        <f t="shared" si="76"/>
        <v>1984</v>
      </c>
      <c r="V556" s="5" t="s">
        <v>3792</v>
      </c>
      <c r="W556" s="9">
        <f t="shared" si="73"/>
        <v>40</v>
      </c>
      <c r="X556" s="5" t="str">
        <f t="shared" si="77"/>
        <v>[40 - 44 ans]</v>
      </c>
      <c r="Y556" s="5" t="str">
        <f t="shared" si="78"/>
        <v xml:space="preserve"> Mellenials </v>
      </c>
      <c r="Z556" s="9">
        <f t="shared" si="79"/>
        <v>20</v>
      </c>
      <c r="AA556" s="5" t="str">
        <f t="shared" si="80"/>
        <v>RAS</v>
      </c>
      <c r="AB556" s="5" t="s">
        <v>3830</v>
      </c>
      <c r="AC556" s="6" t="s">
        <v>3801</v>
      </c>
      <c r="AE556" s="5" t="s">
        <v>3846</v>
      </c>
      <c r="AF556" s="5" t="s">
        <v>4481</v>
      </c>
      <c r="AG556" s="5" t="s">
        <v>4485</v>
      </c>
      <c r="AH556" s="5" t="s">
        <v>4488</v>
      </c>
      <c r="AI556" s="5" t="s">
        <v>4008</v>
      </c>
      <c r="AJ556" s="5" t="s">
        <v>4009</v>
      </c>
      <c r="AK556" s="5" t="s">
        <v>4010</v>
      </c>
      <c r="AL556" s="5" t="s">
        <v>3858</v>
      </c>
    </row>
    <row r="557" spans="1:38" x14ac:dyDescent="0.3">
      <c r="A557" s="4">
        <v>45716</v>
      </c>
      <c r="B557" s="5" t="s">
        <v>2015</v>
      </c>
      <c r="C557" s="5" t="s">
        <v>2016</v>
      </c>
      <c r="D557" s="5" t="s">
        <v>2017</v>
      </c>
      <c r="E557" s="5" t="s">
        <v>4494</v>
      </c>
      <c r="G557" s="5" t="s">
        <v>24</v>
      </c>
      <c r="H557" s="5" t="s">
        <v>1138</v>
      </c>
      <c r="I557" s="5" t="s">
        <v>899</v>
      </c>
      <c r="J557" s="5" t="s">
        <v>23</v>
      </c>
      <c r="K557" s="4">
        <v>40770</v>
      </c>
      <c r="L557" s="4">
        <v>40770</v>
      </c>
      <c r="M557" s="9">
        <f t="shared" si="72"/>
        <v>13</v>
      </c>
      <c r="N557" s="4" t="str">
        <f t="shared" si="74"/>
        <v>] 10 ; 15 ]</v>
      </c>
      <c r="O557" s="5" t="s">
        <v>3785</v>
      </c>
      <c r="P557" s="5" t="s">
        <v>3785</v>
      </c>
      <c r="Q557" s="5">
        <v>1</v>
      </c>
      <c r="R557" s="5" t="str">
        <f t="shared" si="75"/>
        <v>Specialisation</v>
      </c>
      <c r="S557" s="5" t="s">
        <v>3789</v>
      </c>
      <c r="T557" s="4">
        <v>30688</v>
      </c>
      <c r="U557" s="5">
        <f t="shared" si="76"/>
        <v>1984</v>
      </c>
      <c r="V557" s="5" t="s">
        <v>3793</v>
      </c>
      <c r="W557" s="9">
        <f t="shared" si="73"/>
        <v>41</v>
      </c>
      <c r="X557" s="5" t="str">
        <f t="shared" si="77"/>
        <v>[40 - 44 ans]</v>
      </c>
      <c r="Y557" s="5" t="str">
        <f t="shared" si="78"/>
        <v xml:space="preserve"> Mellenials </v>
      </c>
      <c r="Z557" s="9">
        <f t="shared" si="79"/>
        <v>19</v>
      </c>
      <c r="AA557" s="5" t="str">
        <f t="shared" si="80"/>
        <v>RAS</v>
      </c>
      <c r="AB557" s="5" t="s">
        <v>3834</v>
      </c>
      <c r="AC557" s="6" t="s">
        <v>3801</v>
      </c>
      <c r="AE557" s="5" t="s">
        <v>3844</v>
      </c>
      <c r="AF557" s="5" t="s">
        <v>4481</v>
      </c>
      <c r="AG557" s="5" t="s">
        <v>4485</v>
      </c>
      <c r="AH557" s="5" t="s">
        <v>4488</v>
      </c>
      <c r="AI557" s="5" t="s">
        <v>4218</v>
      </c>
      <c r="AJ557" s="5" t="s">
        <v>4248</v>
      </c>
      <c r="AK557" s="5" t="s">
        <v>3983</v>
      </c>
      <c r="AL557" s="5" t="s">
        <v>3858</v>
      </c>
    </row>
    <row r="558" spans="1:38" x14ac:dyDescent="0.3">
      <c r="A558" s="4">
        <v>45716</v>
      </c>
      <c r="B558" s="5" t="s">
        <v>2018</v>
      </c>
      <c r="C558" s="5" t="s">
        <v>2019</v>
      </c>
      <c r="D558" s="5" t="s">
        <v>2020</v>
      </c>
      <c r="E558" s="5" t="s">
        <v>4494</v>
      </c>
      <c r="G558" s="5" t="s">
        <v>88</v>
      </c>
      <c r="H558" s="5" t="s">
        <v>653</v>
      </c>
      <c r="I558" s="5" t="s">
        <v>883</v>
      </c>
      <c r="J558" s="5" t="s">
        <v>182</v>
      </c>
      <c r="K558" s="4">
        <v>40777</v>
      </c>
      <c r="L558" s="4">
        <v>40777</v>
      </c>
      <c r="M558" s="9">
        <f t="shared" si="72"/>
        <v>13</v>
      </c>
      <c r="N558" s="4" t="str">
        <f t="shared" si="74"/>
        <v>] 10 ; 15 ]</v>
      </c>
      <c r="O558" s="5" t="s">
        <v>3785</v>
      </c>
      <c r="P558" s="5" t="s">
        <v>3782</v>
      </c>
      <c r="Q558" s="5">
        <v>1</v>
      </c>
      <c r="R558" s="5" t="str">
        <f t="shared" si="75"/>
        <v>Specialisation</v>
      </c>
      <c r="S558" s="5" t="s">
        <v>3789</v>
      </c>
      <c r="T558" s="4">
        <v>30120</v>
      </c>
      <c r="U558" s="5">
        <f t="shared" si="76"/>
        <v>1982</v>
      </c>
      <c r="V558" s="5" t="s">
        <v>3793</v>
      </c>
      <c r="W558" s="9">
        <f t="shared" si="73"/>
        <v>42</v>
      </c>
      <c r="X558" s="5" t="str">
        <f t="shared" si="77"/>
        <v>[40 - 44 ans]</v>
      </c>
      <c r="Y558" s="5" t="str">
        <f t="shared" si="78"/>
        <v xml:space="preserve"> Mellenials </v>
      </c>
      <c r="Z558" s="9">
        <f t="shared" si="79"/>
        <v>18</v>
      </c>
      <c r="AA558" s="5" t="str">
        <f t="shared" si="80"/>
        <v>RAS</v>
      </c>
      <c r="AB558" s="5" t="s">
        <v>3811</v>
      </c>
      <c r="AC558" s="6" t="s">
        <v>3801</v>
      </c>
      <c r="AE558" s="5" t="s">
        <v>3845</v>
      </c>
      <c r="AF558" s="5" t="s">
        <v>4481</v>
      </c>
      <c r="AG558" s="5" t="s">
        <v>4485</v>
      </c>
      <c r="AH558" s="5" t="s">
        <v>4488</v>
      </c>
      <c r="AI558" s="5" t="s">
        <v>4072</v>
      </c>
      <c r="AJ558" s="5" t="s">
        <v>4073</v>
      </c>
      <c r="AK558" s="5" t="s">
        <v>4074</v>
      </c>
      <c r="AL558" s="5" t="s">
        <v>3854</v>
      </c>
    </row>
    <row r="559" spans="1:38" x14ac:dyDescent="0.3">
      <c r="A559" s="4">
        <v>45716</v>
      </c>
      <c r="B559" s="5" t="s">
        <v>2021</v>
      </c>
      <c r="C559" s="5" t="s">
        <v>2022</v>
      </c>
      <c r="D559" s="5" t="s">
        <v>2023</v>
      </c>
      <c r="E559" s="5" t="s">
        <v>4494</v>
      </c>
      <c r="G559" s="5" t="s">
        <v>178</v>
      </c>
      <c r="H559" s="5" t="s">
        <v>2024</v>
      </c>
      <c r="I559" s="5" t="s">
        <v>1368</v>
      </c>
      <c r="J559" s="5" t="s">
        <v>1857</v>
      </c>
      <c r="K559" s="4">
        <v>40791</v>
      </c>
      <c r="L559" s="4">
        <v>40791</v>
      </c>
      <c r="M559" s="9">
        <f t="shared" si="72"/>
        <v>13</v>
      </c>
      <c r="N559" s="4" t="str">
        <f t="shared" si="74"/>
        <v>] 10 ; 15 ]</v>
      </c>
      <c r="O559" s="5" t="s">
        <v>3782</v>
      </c>
      <c r="P559" s="5" t="s">
        <v>3782</v>
      </c>
      <c r="Q559" s="5">
        <v>2</v>
      </c>
      <c r="R559" s="5" t="str">
        <f t="shared" si="75"/>
        <v>Management &amp; Expertise</v>
      </c>
      <c r="S559" s="5" t="s">
        <v>3790</v>
      </c>
      <c r="T559" s="4">
        <v>27951</v>
      </c>
      <c r="U559" s="5">
        <f t="shared" si="76"/>
        <v>1976</v>
      </c>
      <c r="V559" s="5" t="s">
        <v>3792</v>
      </c>
      <c r="W559" s="9">
        <f t="shared" si="73"/>
        <v>48</v>
      </c>
      <c r="X559" s="5" t="str">
        <f t="shared" si="77"/>
        <v>[45 - 49 ans]</v>
      </c>
      <c r="Y559" s="5" t="str">
        <f t="shared" si="78"/>
        <v xml:space="preserve"> Generation X </v>
      </c>
      <c r="Z559" s="9">
        <f t="shared" si="79"/>
        <v>12</v>
      </c>
      <c r="AA559" s="5" t="str">
        <f t="shared" si="80"/>
        <v>RAS</v>
      </c>
      <c r="AB559" s="5" t="s">
        <v>3806</v>
      </c>
      <c r="AC559" s="6" t="s">
        <v>3799</v>
      </c>
      <c r="AE559" s="5" t="s">
        <v>3845</v>
      </c>
      <c r="AF559" s="5" t="s">
        <v>4481</v>
      </c>
      <c r="AG559" s="5" t="s">
        <v>4485</v>
      </c>
      <c r="AH559" s="5" t="s">
        <v>4488</v>
      </c>
      <c r="AI559" s="5" t="s">
        <v>4383</v>
      </c>
      <c r="AJ559" s="5" t="s">
        <v>4384</v>
      </c>
      <c r="AK559" s="5" t="s">
        <v>4385</v>
      </c>
      <c r="AL559" s="5" t="s">
        <v>3854</v>
      </c>
    </row>
    <row r="560" spans="1:38" x14ac:dyDescent="0.3">
      <c r="A560" s="4">
        <v>45716</v>
      </c>
      <c r="B560" s="5" t="s">
        <v>2025</v>
      </c>
      <c r="C560" s="5" t="s">
        <v>2026</v>
      </c>
      <c r="D560" s="5" t="s">
        <v>2027</v>
      </c>
      <c r="E560" s="5" t="s">
        <v>4494</v>
      </c>
      <c r="G560" s="5" t="s">
        <v>29</v>
      </c>
      <c r="H560" s="5" t="s">
        <v>2028</v>
      </c>
      <c r="I560" s="5" t="s">
        <v>128</v>
      </c>
      <c r="J560" s="5" t="s">
        <v>2355</v>
      </c>
      <c r="K560" s="4">
        <v>40791</v>
      </c>
      <c r="L560" s="4">
        <v>40791</v>
      </c>
      <c r="M560" s="9">
        <f t="shared" si="72"/>
        <v>13</v>
      </c>
      <c r="N560" s="4" t="str">
        <f t="shared" si="74"/>
        <v>] 10 ; 15 ]</v>
      </c>
      <c r="O560" s="5" t="s">
        <v>3782</v>
      </c>
      <c r="P560" s="5" t="s">
        <v>3782</v>
      </c>
      <c r="Q560" s="5">
        <v>2</v>
      </c>
      <c r="R560" s="5" t="str">
        <f t="shared" si="75"/>
        <v>Management &amp; Expertise</v>
      </c>
      <c r="S560" s="5" t="s">
        <v>3789</v>
      </c>
      <c r="T560" s="4">
        <v>29689</v>
      </c>
      <c r="U560" s="5">
        <f t="shared" si="76"/>
        <v>1981</v>
      </c>
      <c r="V560" s="5" t="s">
        <v>3793</v>
      </c>
      <c r="W560" s="9">
        <f t="shared" si="73"/>
        <v>43</v>
      </c>
      <c r="X560" s="5" t="str">
        <f t="shared" si="77"/>
        <v>[40 - 44 ans]</v>
      </c>
      <c r="Y560" s="5" t="str">
        <f t="shared" si="78"/>
        <v xml:space="preserve"> Mellenials </v>
      </c>
      <c r="Z560" s="9">
        <f t="shared" si="79"/>
        <v>17</v>
      </c>
      <c r="AA560" s="5" t="str">
        <f t="shared" si="80"/>
        <v>RAS</v>
      </c>
      <c r="AB560" s="5" t="s">
        <v>3806</v>
      </c>
      <c r="AC560" s="6" t="s">
        <v>3799</v>
      </c>
      <c r="AE560" s="5" t="s">
        <v>3845</v>
      </c>
      <c r="AF560" s="5" t="s">
        <v>4481</v>
      </c>
      <c r="AG560" s="5" t="s">
        <v>4485</v>
      </c>
      <c r="AH560" s="5" t="s">
        <v>4487</v>
      </c>
      <c r="AI560" s="5" t="s">
        <v>4237</v>
      </c>
      <c r="AJ560" s="5" t="s">
        <v>4336</v>
      </c>
      <c r="AK560" s="5" t="s">
        <v>3888</v>
      </c>
      <c r="AL560" s="5" t="s">
        <v>3854</v>
      </c>
    </row>
    <row r="561" spans="1:38" x14ac:dyDescent="0.3">
      <c r="A561" s="4">
        <v>45716</v>
      </c>
      <c r="B561" s="5" t="s">
        <v>2029</v>
      </c>
      <c r="C561" s="5" t="s">
        <v>2030</v>
      </c>
      <c r="D561" s="5" t="s">
        <v>2031</v>
      </c>
      <c r="E561" s="5" t="s">
        <v>4494</v>
      </c>
      <c r="G561" s="5" t="s">
        <v>88</v>
      </c>
      <c r="H561" s="5" t="s">
        <v>101</v>
      </c>
      <c r="I561" s="5" t="s">
        <v>1727</v>
      </c>
      <c r="J561" s="5" t="s">
        <v>879</v>
      </c>
      <c r="K561" s="4">
        <v>40805</v>
      </c>
      <c r="L561" s="4">
        <v>40805</v>
      </c>
      <c r="M561" s="9">
        <f t="shared" si="72"/>
        <v>13</v>
      </c>
      <c r="N561" s="4" t="str">
        <f t="shared" si="74"/>
        <v>] 10 ; 15 ]</v>
      </c>
      <c r="O561" s="5" t="s">
        <v>3783</v>
      </c>
      <c r="P561" s="5" t="s">
        <v>3783</v>
      </c>
      <c r="Q561" s="5">
        <v>1</v>
      </c>
      <c r="R561" s="5" t="str">
        <f t="shared" si="75"/>
        <v>Specialisation</v>
      </c>
      <c r="S561" s="5" t="s">
        <v>3789</v>
      </c>
      <c r="T561" s="4">
        <v>30664</v>
      </c>
      <c r="U561" s="5">
        <f t="shared" si="76"/>
        <v>1983</v>
      </c>
      <c r="V561" s="5" t="s">
        <v>3793</v>
      </c>
      <c r="W561" s="9">
        <f t="shared" si="73"/>
        <v>41</v>
      </c>
      <c r="X561" s="5" t="str">
        <f t="shared" si="77"/>
        <v>[40 - 44 ans]</v>
      </c>
      <c r="Y561" s="5" t="str">
        <f t="shared" si="78"/>
        <v xml:space="preserve"> Mellenials </v>
      </c>
      <c r="Z561" s="9">
        <f t="shared" si="79"/>
        <v>19</v>
      </c>
      <c r="AA561" s="5" t="str">
        <f t="shared" si="80"/>
        <v>RAS</v>
      </c>
      <c r="AB561" s="5" t="s">
        <v>3833</v>
      </c>
      <c r="AC561" s="6" t="s">
        <v>3801</v>
      </c>
      <c r="AE561" s="5" t="s">
        <v>3844</v>
      </c>
      <c r="AF561" s="5" t="s">
        <v>4482</v>
      </c>
      <c r="AG561" s="5" t="s">
        <v>4485</v>
      </c>
      <c r="AH561" s="5" t="s">
        <v>4488</v>
      </c>
      <c r="AI561" s="5" t="s">
        <v>4353</v>
      </c>
      <c r="AJ561" s="5" t="s">
        <v>4376</v>
      </c>
      <c r="AK561" s="5" t="s">
        <v>4377</v>
      </c>
      <c r="AL561" s="5" t="s">
        <v>3858</v>
      </c>
    </row>
    <row r="562" spans="1:38" x14ac:dyDescent="0.3">
      <c r="A562" s="4">
        <v>45716</v>
      </c>
      <c r="B562" s="5" t="s">
        <v>2032</v>
      </c>
      <c r="C562" s="5" t="s">
        <v>2033</v>
      </c>
      <c r="D562" s="5" t="s">
        <v>2034</v>
      </c>
      <c r="E562" s="5" t="s">
        <v>4494</v>
      </c>
      <c r="G562" s="5" t="s">
        <v>88</v>
      </c>
      <c r="H562" s="5" t="s">
        <v>653</v>
      </c>
      <c r="I562" s="5" t="s">
        <v>883</v>
      </c>
      <c r="J562" s="5" t="s">
        <v>182</v>
      </c>
      <c r="K562" s="4">
        <v>40805</v>
      </c>
      <c r="L562" s="4">
        <v>40805</v>
      </c>
      <c r="M562" s="9">
        <f t="shared" si="72"/>
        <v>13</v>
      </c>
      <c r="N562" s="4" t="str">
        <f t="shared" si="74"/>
        <v>] 10 ; 15 ]</v>
      </c>
      <c r="O562" s="5" t="s">
        <v>3785</v>
      </c>
      <c r="P562" s="5" t="s">
        <v>3785</v>
      </c>
      <c r="Q562" s="5">
        <v>2</v>
      </c>
      <c r="R562" s="5" t="str">
        <f t="shared" si="75"/>
        <v>Specialisation</v>
      </c>
      <c r="S562" s="5" t="s">
        <v>3789</v>
      </c>
      <c r="T562" s="4">
        <v>31129</v>
      </c>
      <c r="U562" s="5">
        <f t="shared" si="76"/>
        <v>1985</v>
      </c>
      <c r="V562" s="5" t="s">
        <v>3792</v>
      </c>
      <c r="W562" s="9">
        <f t="shared" si="73"/>
        <v>39</v>
      </c>
      <c r="X562" s="5" t="str">
        <f t="shared" si="77"/>
        <v>[35 - 39 ans ]</v>
      </c>
      <c r="Y562" s="5" t="str">
        <f t="shared" si="78"/>
        <v xml:space="preserve"> Mellenials </v>
      </c>
      <c r="Z562" s="9">
        <f t="shared" si="79"/>
        <v>21</v>
      </c>
      <c r="AA562" s="5" t="str">
        <f t="shared" si="80"/>
        <v>RAS</v>
      </c>
      <c r="AB562" s="5" t="s">
        <v>3836</v>
      </c>
      <c r="AC562" s="6" t="s">
        <v>3800</v>
      </c>
      <c r="AE562" s="5" t="s">
        <v>3845</v>
      </c>
      <c r="AF562" s="5" t="s">
        <v>4481</v>
      </c>
      <c r="AG562" s="5" t="s">
        <v>4485</v>
      </c>
      <c r="AH562" s="5" t="s">
        <v>4488</v>
      </c>
      <c r="AI562" s="5" t="s">
        <v>4386</v>
      </c>
      <c r="AJ562" s="5" t="s">
        <v>3839</v>
      </c>
      <c r="AK562" s="5" t="s">
        <v>4387</v>
      </c>
      <c r="AL562" s="5" t="s">
        <v>3854</v>
      </c>
    </row>
    <row r="563" spans="1:38" x14ac:dyDescent="0.3">
      <c r="A563" s="4">
        <v>45716</v>
      </c>
      <c r="B563" s="5" t="s">
        <v>2035</v>
      </c>
      <c r="C563" s="5" t="s">
        <v>2036</v>
      </c>
      <c r="D563" s="5" t="s">
        <v>2037</v>
      </c>
      <c r="E563" s="5" t="s">
        <v>4494</v>
      </c>
      <c r="G563" s="5" t="s">
        <v>88</v>
      </c>
      <c r="H563" s="5" t="s">
        <v>456</v>
      </c>
      <c r="I563" s="5" t="s">
        <v>2034</v>
      </c>
      <c r="J563" s="5" t="s">
        <v>883</v>
      </c>
      <c r="K563" s="4">
        <v>40805</v>
      </c>
      <c r="L563" s="4">
        <v>40805</v>
      </c>
      <c r="M563" s="9">
        <f t="shared" si="72"/>
        <v>13</v>
      </c>
      <c r="N563" s="4" t="str">
        <f t="shared" si="74"/>
        <v>] 10 ; 15 ]</v>
      </c>
      <c r="O563" s="5" t="s">
        <v>3780</v>
      </c>
      <c r="P563" s="5" t="s">
        <v>3786</v>
      </c>
      <c r="Q563" s="5">
        <v>1</v>
      </c>
      <c r="R563" s="5" t="str">
        <f t="shared" si="75"/>
        <v>Qualification</v>
      </c>
      <c r="S563" s="5" t="s">
        <v>3790</v>
      </c>
      <c r="T563" s="4">
        <v>32919</v>
      </c>
      <c r="U563" s="5">
        <f t="shared" si="76"/>
        <v>1990</v>
      </c>
      <c r="V563" s="5" t="s">
        <v>3793</v>
      </c>
      <c r="W563" s="9">
        <f t="shared" si="73"/>
        <v>35</v>
      </c>
      <c r="X563" s="5" t="str">
        <f t="shared" si="77"/>
        <v>[35 - 39 ans ]</v>
      </c>
      <c r="Y563" s="5" t="str">
        <f t="shared" si="78"/>
        <v xml:space="preserve"> Mellenials </v>
      </c>
      <c r="Z563" s="9">
        <f t="shared" si="79"/>
        <v>25</v>
      </c>
      <c r="AA563" s="5" t="str">
        <f t="shared" si="80"/>
        <v>RAS</v>
      </c>
      <c r="AB563" s="5" t="s">
        <v>3836</v>
      </c>
      <c r="AC563" s="6" t="s">
        <v>3800</v>
      </c>
      <c r="AE563" s="5" t="s">
        <v>3844</v>
      </c>
      <c r="AF563" s="5" t="s">
        <v>4482</v>
      </c>
      <c r="AG563" s="5" t="s">
        <v>4485</v>
      </c>
      <c r="AH563" s="5" t="s">
        <v>4488</v>
      </c>
      <c r="AI563" s="5" t="s">
        <v>4386</v>
      </c>
      <c r="AJ563" s="5" t="s">
        <v>3839</v>
      </c>
      <c r="AK563" s="5" t="s">
        <v>4387</v>
      </c>
      <c r="AL563" s="5" t="s">
        <v>3858</v>
      </c>
    </row>
    <row r="564" spans="1:38" x14ac:dyDescent="0.3">
      <c r="A564" s="4">
        <v>45716</v>
      </c>
      <c r="B564" s="5" t="s">
        <v>2038</v>
      </c>
      <c r="C564" s="5" t="s">
        <v>2039</v>
      </c>
      <c r="D564" s="5" t="s">
        <v>2040</v>
      </c>
      <c r="E564" s="5" t="s">
        <v>4494</v>
      </c>
      <c r="G564" s="5" t="s">
        <v>88</v>
      </c>
      <c r="H564" s="5" t="s">
        <v>706</v>
      </c>
      <c r="I564" s="5" t="s">
        <v>2034</v>
      </c>
      <c r="J564" s="5" t="s">
        <v>883</v>
      </c>
      <c r="K564" s="4">
        <v>40805</v>
      </c>
      <c r="L564" s="4">
        <v>40805</v>
      </c>
      <c r="M564" s="9">
        <f t="shared" si="72"/>
        <v>13</v>
      </c>
      <c r="N564" s="4" t="str">
        <f t="shared" si="74"/>
        <v>] 10 ; 15 ]</v>
      </c>
      <c r="O564" s="5" t="s">
        <v>3786</v>
      </c>
      <c r="P564" s="5" t="s">
        <v>3786</v>
      </c>
      <c r="Q564" s="5">
        <v>2</v>
      </c>
      <c r="R564" s="5" t="str">
        <f t="shared" si="75"/>
        <v>Specialisation</v>
      </c>
      <c r="S564" s="5" t="s">
        <v>3789</v>
      </c>
      <c r="T564" s="4">
        <v>31812</v>
      </c>
      <c r="U564" s="5">
        <f t="shared" si="76"/>
        <v>1987</v>
      </c>
      <c r="V564" s="5" t="s">
        <v>3793</v>
      </c>
      <c r="W564" s="9">
        <f t="shared" si="73"/>
        <v>38</v>
      </c>
      <c r="X564" s="5" t="str">
        <f t="shared" si="77"/>
        <v>[35 - 39 ans ]</v>
      </c>
      <c r="Y564" s="5" t="str">
        <f t="shared" si="78"/>
        <v xml:space="preserve"> Mellenials </v>
      </c>
      <c r="Z564" s="9">
        <f t="shared" si="79"/>
        <v>22</v>
      </c>
      <c r="AA564" s="5" t="str">
        <f t="shared" si="80"/>
        <v>RAS</v>
      </c>
      <c r="AB564" s="5" t="s">
        <v>3836</v>
      </c>
      <c r="AC564" s="6" t="s">
        <v>3800</v>
      </c>
      <c r="AE564" s="5" t="s">
        <v>3844</v>
      </c>
      <c r="AF564" s="5" t="s">
        <v>4482</v>
      </c>
      <c r="AG564" s="5" t="s">
        <v>4485</v>
      </c>
      <c r="AH564" s="5" t="s">
        <v>4488</v>
      </c>
      <c r="AI564" s="5" t="s">
        <v>4386</v>
      </c>
      <c r="AJ564" s="5" t="s">
        <v>3839</v>
      </c>
      <c r="AK564" s="5" t="s">
        <v>4387</v>
      </c>
      <c r="AL564" s="5" t="s">
        <v>3858</v>
      </c>
    </row>
    <row r="565" spans="1:38" x14ac:dyDescent="0.3">
      <c r="A565" s="4">
        <v>45716</v>
      </c>
      <c r="B565" s="5" t="s">
        <v>2041</v>
      </c>
      <c r="C565" s="5" t="s">
        <v>2042</v>
      </c>
      <c r="D565" s="5" t="s">
        <v>2043</v>
      </c>
      <c r="E565" s="5" t="s">
        <v>4494</v>
      </c>
      <c r="G565" s="5" t="s">
        <v>88</v>
      </c>
      <c r="H565" s="5" t="s">
        <v>456</v>
      </c>
      <c r="I565" s="5" t="s">
        <v>2034</v>
      </c>
      <c r="J565" s="5" t="s">
        <v>883</v>
      </c>
      <c r="K565" s="4">
        <v>40805</v>
      </c>
      <c r="L565" s="4">
        <v>40805</v>
      </c>
      <c r="M565" s="9">
        <f t="shared" si="72"/>
        <v>13</v>
      </c>
      <c r="N565" s="4" t="str">
        <f t="shared" si="74"/>
        <v>] 10 ; 15 ]</v>
      </c>
      <c r="O565" s="5" t="s">
        <v>3780</v>
      </c>
      <c r="P565" s="5" t="s">
        <v>3786</v>
      </c>
      <c r="Q565" s="5">
        <v>1</v>
      </c>
      <c r="R565" s="5" t="str">
        <f t="shared" si="75"/>
        <v>Qualification</v>
      </c>
      <c r="S565" s="5" t="s">
        <v>3789</v>
      </c>
      <c r="T565" s="4">
        <v>30004</v>
      </c>
      <c r="U565" s="5">
        <f t="shared" si="76"/>
        <v>1982</v>
      </c>
      <c r="V565" s="5" t="s">
        <v>3793</v>
      </c>
      <c r="W565" s="9">
        <f t="shared" si="73"/>
        <v>43</v>
      </c>
      <c r="X565" s="5" t="str">
        <f t="shared" si="77"/>
        <v>[40 - 44 ans]</v>
      </c>
      <c r="Y565" s="5" t="str">
        <f t="shared" si="78"/>
        <v xml:space="preserve"> Mellenials </v>
      </c>
      <c r="Z565" s="9">
        <f t="shared" si="79"/>
        <v>17</v>
      </c>
      <c r="AA565" s="5" t="str">
        <f t="shared" si="80"/>
        <v>RAS</v>
      </c>
      <c r="AB565" s="5" t="s">
        <v>3836</v>
      </c>
      <c r="AC565" s="6" t="s">
        <v>3800</v>
      </c>
      <c r="AE565" s="5" t="s">
        <v>3844</v>
      </c>
      <c r="AF565" s="5" t="s">
        <v>4482</v>
      </c>
      <c r="AG565" s="5" t="s">
        <v>4485</v>
      </c>
      <c r="AH565" s="5" t="s">
        <v>4488</v>
      </c>
      <c r="AI565" s="5" t="s">
        <v>4386</v>
      </c>
      <c r="AJ565" s="5" t="s">
        <v>3839</v>
      </c>
      <c r="AK565" s="5" t="s">
        <v>4387</v>
      </c>
      <c r="AL565" s="5" t="s">
        <v>3858</v>
      </c>
    </row>
    <row r="566" spans="1:38" x14ac:dyDescent="0.3">
      <c r="A566" s="4">
        <v>45716</v>
      </c>
      <c r="B566" s="5" t="s">
        <v>2044</v>
      </c>
      <c r="C566" s="5" t="s">
        <v>2045</v>
      </c>
      <c r="D566" s="5" t="s">
        <v>2046</v>
      </c>
      <c r="E566" s="5" t="s">
        <v>4494</v>
      </c>
      <c r="G566" s="5" t="s">
        <v>88</v>
      </c>
      <c r="H566" s="5" t="s">
        <v>456</v>
      </c>
      <c r="I566" s="5" t="s">
        <v>1397</v>
      </c>
      <c r="J566" s="5" t="s">
        <v>883</v>
      </c>
      <c r="K566" s="4">
        <v>40805</v>
      </c>
      <c r="L566" s="4">
        <v>40805</v>
      </c>
      <c r="M566" s="9">
        <f t="shared" si="72"/>
        <v>13</v>
      </c>
      <c r="N566" s="4" t="str">
        <f t="shared" si="74"/>
        <v>] 10 ; 15 ]</v>
      </c>
      <c r="O566" s="5" t="s">
        <v>3780</v>
      </c>
      <c r="P566" s="5" t="s">
        <v>3786</v>
      </c>
      <c r="Q566" s="5">
        <v>1</v>
      </c>
      <c r="R566" s="5" t="str">
        <f t="shared" si="75"/>
        <v>Qualification</v>
      </c>
      <c r="S566" s="5" t="s">
        <v>3789</v>
      </c>
      <c r="T566" s="4">
        <v>30495</v>
      </c>
      <c r="U566" s="5">
        <f t="shared" si="76"/>
        <v>1983</v>
      </c>
      <c r="V566" s="5" t="s">
        <v>3793</v>
      </c>
      <c r="W566" s="9">
        <f t="shared" si="73"/>
        <v>41</v>
      </c>
      <c r="X566" s="5" t="str">
        <f t="shared" si="77"/>
        <v>[40 - 44 ans]</v>
      </c>
      <c r="Y566" s="5" t="str">
        <f t="shared" si="78"/>
        <v xml:space="preserve"> Mellenials </v>
      </c>
      <c r="Z566" s="9">
        <f t="shared" si="79"/>
        <v>19</v>
      </c>
      <c r="AA566" s="5" t="str">
        <f t="shared" si="80"/>
        <v>RAS</v>
      </c>
      <c r="AB566" s="5" t="s">
        <v>3833</v>
      </c>
      <c r="AC566" s="6" t="s">
        <v>3801</v>
      </c>
      <c r="AE566" s="5" t="s">
        <v>3844</v>
      </c>
      <c r="AF566" s="5" t="s">
        <v>4482</v>
      </c>
      <c r="AG566" s="5" t="s">
        <v>4485</v>
      </c>
      <c r="AH566" s="5" t="s">
        <v>4488</v>
      </c>
      <c r="AI566" s="5" t="s">
        <v>4301</v>
      </c>
      <c r="AJ566" s="5" t="s">
        <v>4302</v>
      </c>
      <c r="AK566" s="5" t="s">
        <v>4303</v>
      </c>
      <c r="AL566" s="5" t="s">
        <v>3858</v>
      </c>
    </row>
    <row r="567" spans="1:38" x14ac:dyDescent="0.3">
      <c r="A567" s="4">
        <v>45716</v>
      </c>
      <c r="B567" s="5" t="s">
        <v>2047</v>
      </c>
      <c r="C567" s="5" t="s">
        <v>2048</v>
      </c>
      <c r="D567" s="5" t="s">
        <v>2049</v>
      </c>
      <c r="E567" s="5" t="s">
        <v>4494</v>
      </c>
      <c r="G567" s="5" t="s">
        <v>88</v>
      </c>
      <c r="H567" s="5" t="s">
        <v>101</v>
      </c>
      <c r="I567" s="5" t="s">
        <v>795</v>
      </c>
      <c r="J567" s="5" t="s">
        <v>879</v>
      </c>
      <c r="K567" s="4">
        <v>40805</v>
      </c>
      <c r="L567" s="4">
        <v>40805</v>
      </c>
      <c r="M567" s="9">
        <f t="shared" si="72"/>
        <v>13</v>
      </c>
      <c r="N567" s="4" t="str">
        <f t="shared" si="74"/>
        <v>] 10 ; 15 ]</v>
      </c>
      <c r="O567" s="5" t="s">
        <v>3783</v>
      </c>
      <c r="P567" s="5" t="s">
        <v>3783</v>
      </c>
      <c r="Q567" s="5">
        <v>2</v>
      </c>
      <c r="R567" s="5" t="str">
        <f t="shared" si="75"/>
        <v>Specialisation</v>
      </c>
      <c r="S567" s="5" t="s">
        <v>3789</v>
      </c>
      <c r="T567" s="4">
        <v>30857</v>
      </c>
      <c r="U567" s="5">
        <f t="shared" si="76"/>
        <v>1984</v>
      </c>
      <c r="V567" s="5" t="s">
        <v>3793</v>
      </c>
      <c r="W567" s="9">
        <f t="shared" si="73"/>
        <v>40</v>
      </c>
      <c r="X567" s="5" t="str">
        <f t="shared" si="77"/>
        <v>[40 - 44 ans]</v>
      </c>
      <c r="Y567" s="5" t="str">
        <f t="shared" si="78"/>
        <v xml:space="preserve"> Mellenials </v>
      </c>
      <c r="Z567" s="9">
        <f t="shared" si="79"/>
        <v>20</v>
      </c>
      <c r="AA567" s="5" t="str">
        <f t="shared" si="80"/>
        <v>RAS</v>
      </c>
      <c r="AB567" s="5" t="s">
        <v>3823</v>
      </c>
      <c r="AC567" s="6" t="s">
        <v>3800</v>
      </c>
      <c r="AE567" s="5" t="s">
        <v>3844</v>
      </c>
      <c r="AF567" s="5" t="s">
        <v>4482</v>
      </c>
      <c r="AG567" s="5" t="s">
        <v>4485</v>
      </c>
      <c r="AH567" s="5" t="s">
        <v>4488</v>
      </c>
      <c r="AI567" s="5" t="s">
        <v>4197</v>
      </c>
      <c r="AJ567" s="5" t="s">
        <v>4223</v>
      </c>
      <c r="AK567" s="5" t="s">
        <v>4198</v>
      </c>
      <c r="AL567" s="5" t="s">
        <v>3858</v>
      </c>
    </row>
    <row r="568" spans="1:38" x14ac:dyDescent="0.3">
      <c r="A568" s="4">
        <v>45716</v>
      </c>
      <c r="B568" s="5" t="s">
        <v>2050</v>
      </c>
      <c r="C568" s="5" t="s">
        <v>2051</v>
      </c>
      <c r="D568" s="5" t="s">
        <v>2052</v>
      </c>
      <c r="E568" s="5" t="s">
        <v>4494</v>
      </c>
      <c r="G568" s="5" t="s">
        <v>24</v>
      </c>
      <c r="H568" s="5" t="s">
        <v>579</v>
      </c>
      <c r="I568" s="5" t="s">
        <v>899</v>
      </c>
      <c r="J568" s="5" t="s">
        <v>23</v>
      </c>
      <c r="K568" s="4">
        <v>40813</v>
      </c>
      <c r="L568" s="4">
        <v>40813</v>
      </c>
      <c r="M568" s="9">
        <f t="shared" si="72"/>
        <v>13</v>
      </c>
      <c r="N568" s="4" t="str">
        <f t="shared" si="74"/>
        <v>] 10 ; 15 ]</v>
      </c>
      <c r="O568" s="5" t="s">
        <v>3785</v>
      </c>
      <c r="P568" s="5" t="s">
        <v>3782</v>
      </c>
      <c r="Q568" s="5">
        <v>1</v>
      </c>
      <c r="R568" s="5" t="str">
        <f t="shared" si="75"/>
        <v>Specialisation</v>
      </c>
      <c r="S568" s="5" t="s">
        <v>3789</v>
      </c>
      <c r="T568" s="4">
        <v>30921</v>
      </c>
      <c r="U568" s="5">
        <f t="shared" si="76"/>
        <v>1984</v>
      </c>
      <c r="V568" s="5" t="s">
        <v>3793</v>
      </c>
      <c r="W568" s="9">
        <f t="shared" si="73"/>
        <v>40</v>
      </c>
      <c r="X568" s="5" t="str">
        <f t="shared" si="77"/>
        <v>[40 - 44 ans]</v>
      </c>
      <c r="Y568" s="5" t="str">
        <f t="shared" si="78"/>
        <v xml:space="preserve"> Mellenials </v>
      </c>
      <c r="Z568" s="9">
        <f t="shared" si="79"/>
        <v>20</v>
      </c>
      <c r="AA568" s="5" t="str">
        <f t="shared" si="80"/>
        <v>RAS</v>
      </c>
      <c r="AB568" s="5" t="s">
        <v>3805</v>
      </c>
      <c r="AC568" s="6" t="s">
        <v>3799</v>
      </c>
      <c r="AE568" s="5" t="s">
        <v>3844</v>
      </c>
      <c r="AF568" s="5" t="s">
        <v>4481</v>
      </c>
      <c r="AG568" s="5" t="s">
        <v>4485</v>
      </c>
      <c r="AH568" s="5" t="s">
        <v>4488</v>
      </c>
      <c r="AI568" s="5" t="s">
        <v>4218</v>
      </c>
      <c r="AJ568" s="5" t="s">
        <v>4248</v>
      </c>
      <c r="AK568" s="5" t="s">
        <v>3983</v>
      </c>
      <c r="AL568" s="5" t="s">
        <v>3858</v>
      </c>
    </row>
    <row r="569" spans="1:38" x14ac:dyDescent="0.3">
      <c r="A569" s="4">
        <v>45716</v>
      </c>
      <c r="B569" s="5" t="s">
        <v>2053</v>
      </c>
      <c r="C569" s="5" t="s">
        <v>2054</v>
      </c>
      <c r="D569" s="5" t="s">
        <v>2055</v>
      </c>
      <c r="E569" s="5" t="s">
        <v>4494</v>
      </c>
      <c r="G569" s="5" t="s">
        <v>88</v>
      </c>
      <c r="H569" s="5" t="s">
        <v>456</v>
      </c>
      <c r="I569" s="5" t="s">
        <v>2058</v>
      </c>
      <c r="J569" s="5" t="s">
        <v>883</v>
      </c>
      <c r="K569" s="4">
        <v>40813</v>
      </c>
      <c r="L569" s="4">
        <v>40813</v>
      </c>
      <c r="M569" s="9">
        <f t="shared" si="72"/>
        <v>13</v>
      </c>
      <c r="N569" s="4" t="str">
        <f t="shared" si="74"/>
        <v>] 10 ; 15 ]</v>
      </c>
      <c r="O569" s="5" t="s">
        <v>3780</v>
      </c>
      <c r="P569" s="5" t="s">
        <v>3786</v>
      </c>
      <c r="Q569" s="5">
        <v>1</v>
      </c>
      <c r="R569" s="5" t="str">
        <f t="shared" si="75"/>
        <v>Qualification</v>
      </c>
      <c r="S569" s="5" t="s">
        <v>3790</v>
      </c>
      <c r="T569" s="4">
        <v>30970</v>
      </c>
      <c r="U569" s="5">
        <f t="shared" si="76"/>
        <v>1984</v>
      </c>
      <c r="V569" s="5" t="s">
        <v>3793</v>
      </c>
      <c r="W569" s="9">
        <f t="shared" si="73"/>
        <v>40</v>
      </c>
      <c r="X569" s="5" t="str">
        <f t="shared" si="77"/>
        <v>[40 - 44 ans]</v>
      </c>
      <c r="Y569" s="5" t="str">
        <f t="shared" si="78"/>
        <v xml:space="preserve"> Mellenials </v>
      </c>
      <c r="Z569" s="9">
        <f t="shared" si="79"/>
        <v>20</v>
      </c>
      <c r="AA569" s="5" t="str">
        <f t="shared" si="80"/>
        <v>RAS</v>
      </c>
      <c r="AB569" s="5" t="s">
        <v>3817</v>
      </c>
      <c r="AC569" s="6" t="s">
        <v>3802</v>
      </c>
      <c r="AE569" s="5" t="s">
        <v>3844</v>
      </c>
      <c r="AF569" s="5" t="s">
        <v>4482</v>
      </c>
      <c r="AG569" s="5" t="s">
        <v>4485</v>
      </c>
      <c r="AH569" s="5" t="s">
        <v>4488</v>
      </c>
      <c r="AI569" s="5" t="s">
        <v>4117</v>
      </c>
      <c r="AJ569" s="5" t="s">
        <v>3843</v>
      </c>
      <c r="AK569" s="5" t="s">
        <v>4118</v>
      </c>
      <c r="AL569" s="5" t="s">
        <v>3858</v>
      </c>
    </row>
    <row r="570" spans="1:38" x14ac:dyDescent="0.3">
      <c r="A570" s="4">
        <v>45716</v>
      </c>
      <c r="B570" s="5" t="s">
        <v>2056</v>
      </c>
      <c r="C570" s="5" t="s">
        <v>2057</v>
      </c>
      <c r="D570" s="5" t="s">
        <v>2058</v>
      </c>
      <c r="E570" s="5" t="s">
        <v>4494</v>
      </c>
      <c r="G570" s="5" t="s">
        <v>88</v>
      </c>
      <c r="H570" s="5" t="s">
        <v>653</v>
      </c>
      <c r="I570" s="5" t="s">
        <v>883</v>
      </c>
      <c r="J570" s="5" t="s">
        <v>182</v>
      </c>
      <c r="K570" s="4">
        <v>40813</v>
      </c>
      <c r="L570" s="4">
        <v>40813</v>
      </c>
      <c r="M570" s="9">
        <f t="shared" si="72"/>
        <v>13</v>
      </c>
      <c r="N570" s="4" t="str">
        <f t="shared" si="74"/>
        <v>] 10 ; 15 ]</v>
      </c>
      <c r="O570" s="5" t="s">
        <v>3785</v>
      </c>
      <c r="P570" s="5" t="s">
        <v>3785</v>
      </c>
      <c r="Q570" s="5">
        <v>2</v>
      </c>
      <c r="R570" s="5" t="str">
        <f t="shared" si="75"/>
        <v>Specialisation</v>
      </c>
      <c r="S570" s="5" t="s">
        <v>3789</v>
      </c>
      <c r="T570" s="4">
        <v>31397</v>
      </c>
      <c r="U570" s="5">
        <f t="shared" si="76"/>
        <v>1985</v>
      </c>
      <c r="V570" s="5" t="s">
        <v>3793</v>
      </c>
      <c r="W570" s="9">
        <f t="shared" si="73"/>
        <v>39</v>
      </c>
      <c r="X570" s="5" t="str">
        <f t="shared" si="77"/>
        <v>[35 - 39 ans ]</v>
      </c>
      <c r="Y570" s="5" t="str">
        <f t="shared" si="78"/>
        <v xml:space="preserve"> Mellenials </v>
      </c>
      <c r="Z570" s="9">
        <f t="shared" si="79"/>
        <v>21</v>
      </c>
      <c r="AA570" s="5" t="str">
        <f t="shared" si="80"/>
        <v>RAS</v>
      </c>
      <c r="AB570" s="5" t="s">
        <v>3817</v>
      </c>
      <c r="AC570" s="6" t="s">
        <v>3802</v>
      </c>
      <c r="AE570" s="5" t="s">
        <v>3845</v>
      </c>
      <c r="AF570" s="5" t="s">
        <v>4481</v>
      </c>
      <c r="AG570" s="5" t="s">
        <v>4485</v>
      </c>
      <c r="AH570" s="5" t="s">
        <v>4488</v>
      </c>
      <c r="AI570" s="5" t="s">
        <v>4117</v>
      </c>
      <c r="AJ570" s="5" t="s">
        <v>3843</v>
      </c>
      <c r="AK570" s="5" t="s">
        <v>4118</v>
      </c>
      <c r="AL570" s="5" t="s">
        <v>3854</v>
      </c>
    </row>
    <row r="571" spans="1:38" x14ac:dyDescent="0.3">
      <c r="A571" s="4">
        <v>45716</v>
      </c>
      <c r="B571" s="5" t="s">
        <v>2059</v>
      </c>
      <c r="C571" s="5" t="s">
        <v>2060</v>
      </c>
      <c r="D571" s="5" t="s">
        <v>2061</v>
      </c>
      <c r="E571" s="5" t="s">
        <v>4494</v>
      </c>
      <c r="G571" s="5" t="s">
        <v>44</v>
      </c>
      <c r="H571" s="5" t="s">
        <v>2062</v>
      </c>
      <c r="I571" s="5" t="s">
        <v>1888</v>
      </c>
      <c r="J571" s="5" t="s">
        <v>92</v>
      </c>
      <c r="K571" s="4">
        <v>40817</v>
      </c>
      <c r="L571" s="4">
        <v>40817</v>
      </c>
      <c r="M571" s="9">
        <f t="shared" si="72"/>
        <v>13</v>
      </c>
      <c r="N571" s="4" t="str">
        <f t="shared" si="74"/>
        <v>] 10 ; 15 ]</v>
      </c>
      <c r="O571" s="5" t="s">
        <v>3783</v>
      </c>
      <c r="P571" s="5" t="s">
        <v>3783</v>
      </c>
      <c r="Q571" s="5">
        <v>1</v>
      </c>
      <c r="R571" s="5" t="str">
        <f t="shared" si="75"/>
        <v>Specialisation</v>
      </c>
      <c r="S571" s="5" t="s">
        <v>3790</v>
      </c>
      <c r="T571" s="4">
        <v>31128</v>
      </c>
      <c r="U571" s="5">
        <f t="shared" si="76"/>
        <v>1985</v>
      </c>
      <c r="V571" s="5" t="s">
        <v>3793</v>
      </c>
      <c r="W571" s="9">
        <f t="shared" si="73"/>
        <v>39</v>
      </c>
      <c r="X571" s="5" t="str">
        <f t="shared" si="77"/>
        <v>[35 - 39 ans ]</v>
      </c>
      <c r="Y571" s="5" t="str">
        <f t="shared" si="78"/>
        <v xml:space="preserve"> Mellenials </v>
      </c>
      <c r="Z571" s="9">
        <f t="shared" si="79"/>
        <v>21</v>
      </c>
      <c r="AA571" s="5" t="str">
        <f t="shared" si="80"/>
        <v>RAS</v>
      </c>
      <c r="AB571" s="5" t="s">
        <v>3806</v>
      </c>
      <c r="AC571" s="6" t="s">
        <v>3799</v>
      </c>
      <c r="AE571" s="5" t="s">
        <v>3844</v>
      </c>
      <c r="AF571" s="5" t="s">
        <v>4482</v>
      </c>
      <c r="AG571" s="5" t="s">
        <v>4485</v>
      </c>
      <c r="AH571" s="5" t="s">
        <v>4487</v>
      </c>
      <c r="AI571" s="5" t="s">
        <v>4388</v>
      </c>
      <c r="AJ571" s="5" t="s">
        <v>4389</v>
      </c>
      <c r="AK571" s="5" t="s">
        <v>3900</v>
      </c>
      <c r="AL571" s="5" t="s">
        <v>3858</v>
      </c>
    </row>
    <row r="572" spans="1:38" x14ac:dyDescent="0.3">
      <c r="A572" s="4">
        <v>45716</v>
      </c>
      <c r="B572" s="5" t="s">
        <v>2063</v>
      </c>
      <c r="C572" s="5" t="s">
        <v>2064</v>
      </c>
      <c r="D572" s="5" t="s">
        <v>2065</v>
      </c>
      <c r="E572" s="5" t="s">
        <v>4494</v>
      </c>
      <c r="G572" s="5" t="s">
        <v>78</v>
      </c>
      <c r="H572" s="5" t="s">
        <v>2066</v>
      </c>
      <c r="I572" s="5" t="s">
        <v>3225</v>
      </c>
      <c r="J572" s="5" t="s">
        <v>3762</v>
      </c>
      <c r="K572" s="4">
        <v>40817</v>
      </c>
      <c r="L572" s="4">
        <v>40817</v>
      </c>
      <c r="M572" s="9">
        <f t="shared" si="72"/>
        <v>13</v>
      </c>
      <c r="N572" s="4" t="str">
        <f t="shared" si="74"/>
        <v>] 10 ; 15 ]</v>
      </c>
      <c r="O572" s="5" t="s">
        <v>3788</v>
      </c>
      <c r="P572" s="5" t="s">
        <v>3780</v>
      </c>
      <c r="Q572" s="5">
        <v>1</v>
      </c>
      <c r="R572" s="5" t="str">
        <f t="shared" si="75"/>
        <v>Qualification</v>
      </c>
      <c r="S572" s="5" t="s">
        <v>3790</v>
      </c>
      <c r="T572" s="4">
        <v>30491</v>
      </c>
      <c r="U572" s="5">
        <f t="shared" si="76"/>
        <v>1983</v>
      </c>
      <c r="V572" s="5" t="s">
        <v>3792</v>
      </c>
      <c r="W572" s="9">
        <f t="shared" si="73"/>
        <v>41</v>
      </c>
      <c r="X572" s="5" t="str">
        <f t="shared" si="77"/>
        <v>[40 - 44 ans]</v>
      </c>
      <c r="Y572" s="5" t="str">
        <f t="shared" si="78"/>
        <v xml:space="preserve"> Mellenials </v>
      </c>
      <c r="Z572" s="9">
        <f t="shared" si="79"/>
        <v>19</v>
      </c>
      <c r="AA572" s="5" t="str">
        <f t="shared" si="80"/>
        <v>RAS</v>
      </c>
      <c r="AB572" s="5" t="s">
        <v>3808</v>
      </c>
      <c r="AC572" s="6" t="s">
        <v>3799</v>
      </c>
      <c r="AE572" s="5" t="s">
        <v>3844</v>
      </c>
      <c r="AF572" s="5" t="s">
        <v>4482</v>
      </c>
      <c r="AG572" s="5" t="s">
        <v>4485</v>
      </c>
      <c r="AH572" s="5" t="s">
        <v>4488</v>
      </c>
      <c r="AI572" s="5" t="s">
        <v>4257</v>
      </c>
      <c r="AJ572" s="5" t="s">
        <v>4258</v>
      </c>
      <c r="AK572" s="5" t="s">
        <v>4090</v>
      </c>
      <c r="AL572" s="5" t="s">
        <v>3858</v>
      </c>
    </row>
    <row r="573" spans="1:38" x14ac:dyDescent="0.3">
      <c r="A573" s="4">
        <v>45716</v>
      </c>
      <c r="B573" s="5" t="s">
        <v>2067</v>
      </c>
      <c r="C573" s="5" t="s">
        <v>2068</v>
      </c>
      <c r="D573" s="5" t="s">
        <v>2069</v>
      </c>
      <c r="E573" s="5" t="s">
        <v>4494</v>
      </c>
      <c r="G573" s="5" t="s">
        <v>78</v>
      </c>
      <c r="H573" s="5" t="s">
        <v>2070</v>
      </c>
      <c r="I573" s="5" t="s">
        <v>1518</v>
      </c>
      <c r="J573" s="5" t="s">
        <v>3762</v>
      </c>
      <c r="K573" s="4">
        <v>40817</v>
      </c>
      <c r="L573" s="4">
        <v>40817</v>
      </c>
      <c r="M573" s="9">
        <f t="shared" si="72"/>
        <v>13</v>
      </c>
      <c r="N573" s="4" t="str">
        <f t="shared" si="74"/>
        <v>] 10 ; 15 ]</v>
      </c>
      <c r="O573" s="5" t="s">
        <v>3783</v>
      </c>
      <c r="P573" s="5" t="s">
        <v>3785</v>
      </c>
      <c r="Q573" s="5">
        <v>1</v>
      </c>
      <c r="R573" s="5" t="str">
        <f t="shared" si="75"/>
        <v>Specialisation</v>
      </c>
      <c r="S573" s="5" t="s">
        <v>3790</v>
      </c>
      <c r="T573" s="4">
        <v>30162</v>
      </c>
      <c r="U573" s="5">
        <f t="shared" si="76"/>
        <v>1982</v>
      </c>
      <c r="V573" s="5" t="s">
        <v>3793</v>
      </c>
      <c r="W573" s="9">
        <f t="shared" si="73"/>
        <v>42</v>
      </c>
      <c r="X573" s="5" t="str">
        <f t="shared" si="77"/>
        <v>[40 - 44 ans]</v>
      </c>
      <c r="Y573" s="5" t="str">
        <f t="shared" si="78"/>
        <v xml:space="preserve"> Mellenials </v>
      </c>
      <c r="Z573" s="9">
        <f t="shared" si="79"/>
        <v>18</v>
      </c>
      <c r="AA573" s="5" t="str">
        <f t="shared" si="80"/>
        <v>RAS</v>
      </c>
      <c r="AB573" s="5" t="s">
        <v>3808</v>
      </c>
      <c r="AC573" s="6" t="s">
        <v>3799</v>
      </c>
      <c r="AE573" s="5" t="s">
        <v>3845</v>
      </c>
      <c r="AF573" s="5" t="s">
        <v>4482</v>
      </c>
      <c r="AG573" s="5" t="s">
        <v>4485</v>
      </c>
      <c r="AH573" s="5" t="s">
        <v>4488</v>
      </c>
      <c r="AI573" s="5" t="s">
        <v>4263</v>
      </c>
      <c r="AJ573" s="5" t="s">
        <v>4105</v>
      </c>
      <c r="AK573" s="5" t="s">
        <v>4090</v>
      </c>
      <c r="AL573" s="5" t="s">
        <v>3854</v>
      </c>
    </row>
    <row r="574" spans="1:38" x14ac:dyDescent="0.3">
      <c r="A574" s="4">
        <v>45716</v>
      </c>
      <c r="B574" s="5" t="s">
        <v>2071</v>
      </c>
      <c r="C574" s="5" t="s">
        <v>2072</v>
      </c>
      <c r="D574" s="5" t="s">
        <v>2073</v>
      </c>
      <c r="E574" s="5" t="s">
        <v>4494</v>
      </c>
      <c r="G574" s="5" t="s">
        <v>88</v>
      </c>
      <c r="H574" s="5" t="s">
        <v>456</v>
      </c>
      <c r="I574" s="5" t="s">
        <v>741</v>
      </c>
      <c r="J574" s="5" t="s">
        <v>883</v>
      </c>
      <c r="K574" s="4">
        <v>40817</v>
      </c>
      <c r="L574" s="4">
        <v>40817</v>
      </c>
      <c r="M574" s="9">
        <f t="shared" si="72"/>
        <v>13</v>
      </c>
      <c r="N574" s="4" t="str">
        <f t="shared" si="74"/>
        <v>] 10 ; 15 ]</v>
      </c>
      <c r="O574" s="5" t="s">
        <v>3780</v>
      </c>
      <c r="P574" s="5" t="s">
        <v>3780</v>
      </c>
      <c r="Q574" s="5">
        <v>2</v>
      </c>
      <c r="R574" s="5" t="str">
        <f t="shared" si="75"/>
        <v>Qualification</v>
      </c>
      <c r="S574" s="5" t="s">
        <v>3789</v>
      </c>
      <c r="T574" s="4">
        <v>32203</v>
      </c>
      <c r="U574" s="5">
        <f t="shared" si="76"/>
        <v>1988</v>
      </c>
      <c r="V574" s="5" t="s">
        <v>3793</v>
      </c>
      <c r="W574" s="9">
        <f t="shared" si="73"/>
        <v>36</v>
      </c>
      <c r="X574" s="5" t="str">
        <f t="shared" si="77"/>
        <v>[35 - 39 ans ]</v>
      </c>
      <c r="Y574" s="5" t="str">
        <f t="shared" si="78"/>
        <v xml:space="preserve"> Mellenials </v>
      </c>
      <c r="Z574" s="9">
        <f t="shared" si="79"/>
        <v>24</v>
      </c>
      <c r="AA574" s="5" t="str">
        <f t="shared" si="80"/>
        <v>RAS</v>
      </c>
      <c r="AB574" s="5" t="s">
        <v>3825</v>
      </c>
      <c r="AC574" s="6" t="s">
        <v>3799</v>
      </c>
      <c r="AE574" s="5" t="s">
        <v>3844</v>
      </c>
      <c r="AF574" s="5" t="s">
        <v>4482</v>
      </c>
      <c r="AG574" s="5" t="s">
        <v>4485</v>
      </c>
      <c r="AH574" s="5" t="s">
        <v>4488</v>
      </c>
      <c r="AI574" s="5" t="s">
        <v>4179</v>
      </c>
      <c r="AJ574" s="5" t="s">
        <v>4180</v>
      </c>
      <c r="AK574" s="5" t="s">
        <v>4181</v>
      </c>
      <c r="AL574" s="5" t="s">
        <v>3858</v>
      </c>
    </row>
    <row r="575" spans="1:38" x14ac:dyDescent="0.3">
      <c r="A575" s="4">
        <v>45716</v>
      </c>
      <c r="B575" s="5" t="s">
        <v>2074</v>
      </c>
      <c r="C575" s="5" t="s">
        <v>2075</v>
      </c>
      <c r="D575" s="5" t="s">
        <v>2076</v>
      </c>
      <c r="E575" s="5" t="s">
        <v>4494</v>
      </c>
      <c r="G575" s="5" t="s">
        <v>39</v>
      </c>
      <c r="H575" s="5" t="s">
        <v>4504</v>
      </c>
      <c r="I575" s="5" t="s">
        <v>3203</v>
      </c>
      <c r="J575" s="5" t="s">
        <v>1218</v>
      </c>
      <c r="K575" s="4">
        <v>40826</v>
      </c>
      <c r="L575" s="4">
        <v>40826</v>
      </c>
      <c r="M575" s="9">
        <f t="shared" si="72"/>
        <v>13</v>
      </c>
      <c r="N575" s="4" t="str">
        <f t="shared" si="74"/>
        <v>] 10 ; 15 ]</v>
      </c>
      <c r="O575" s="5" t="s">
        <v>3782</v>
      </c>
      <c r="P575" s="5" t="s">
        <v>3782</v>
      </c>
      <c r="Q575" s="5">
        <v>2</v>
      </c>
      <c r="R575" s="5" t="str">
        <f t="shared" si="75"/>
        <v>Management &amp; Expertise</v>
      </c>
      <c r="S575" s="5" t="s">
        <v>3789</v>
      </c>
      <c r="T575" s="4">
        <v>31543</v>
      </c>
      <c r="U575" s="5">
        <f t="shared" si="76"/>
        <v>1986</v>
      </c>
      <c r="V575" s="5" t="s">
        <v>3793</v>
      </c>
      <c r="W575" s="9">
        <f t="shared" si="73"/>
        <v>38</v>
      </c>
      <c r="X575" s="5" t="str">
        <f t="shared" si="77"/>
        <v>[35 - 39 ans ]</v>
      </c>
      <c r="Y575" s="5" t="str">
        <f t="shared" si="78"/>
        <v xml:space="preserve"> Mellenials </v>
      </c>
      <c r="Z575" s="9">
        <f t="shared" si="79"/>
        <v>22</v>
      </c>
      <c r="AA575" s="5" t="str">
        <f t="shared" si="80"/>
        <v>RAS</v>
      </c>
      <c r="AB575" s="5" t="s">
        <v>3807</v>
      </c>
      <c r="AC575" s="6" t="s">
        <v>3799</v>
      </c>
      <c r="AE575" s="5" t="s">
        <v>3844</v>
      </c>
      <c r="AF575" s="5" t="s">
        <v>4481</v>
      </c>
      <c r="AG575" s="5" t="s">
        <v>4485</v>
      </c>
      <c r="AH575" s="5" t="s">
        <v>4489</v>
      </c>
      <c r="AI575" s="5" t="s">
        <v>4026</v>
      </c>
      <c r="AJ575" s="5" t="s">
        <v>4027</v>
      </c>
      <c r="AK575" s="5">
        <v>14100</v>
      </c>
      <c r="AL575" s="5" t="s">
        <v>3858</v>
      </c>
    </row>
    <row r="576" spans="1:38" x14ac:dyDescent="0.3">
      <c r="A576" s="4">
        <v>45716</v>
      </c>
      <c r="B576" s="5" t="s">
        <v>2077</v>
      </c>
      <c r="C576" s="5" t="s">
        <v>2078</v>
      </c>
      <c r="D576" s="5" t="s">
        <v>2079</v>
      </c>
      <c r="E576" s="5" t="s">
        <v>4494</v>
      </c>
      <c r="G576" s="5" t="s">
        <v>88</v>
      </c>
      <c r="H576" s="5" t="s">
        <v>653</v>
      </c>
      <c r="I576" s="5" t="s">
        <v>883</v>
      </c>
      <c r="J576" s="5" t="s">
        <v>182</v>
      </c>
      <c r="K576" s="4">
        <v>40840</v>
      </c>
      <c r="L576" s="4">
        <v>40840</v>
      </c>
      <c r="M576" s="9">
        <f t="shared" si="72"/>
        <v>13</v>
      </c>
      <c r="N576" s="4" t="str">
        <f t="shared" si="74"/>
        <v>] 10 ; 15 ]</v>
      </c>
      <c r="O576" s="5" t="s">
        <v>3785</v>
      </c>
      <c r="P576" s="5" t="s">
        <v>3782</v>
      </c>
      <c r="Q576" s="5">
        <v>1</v>
      </c>
      <c r="R576" s="5" t="str">
        <f t="shared" si="75"/>
        <v>Specialisation</v>
      </c>
      <c r="S576" s="5" t="s">
        <v>3790</v>
      </c>
      <c r="T576" s="4">
        <v>28636</v>
      </c>
      <c r="U576" s="5">
        <f t="shared" si="76"/>
        <v>1978</v>
      </c>
      <c r="V576" s="5" t="s">
        <v>3793</v>
      </c>
      <c r="W576" s="9">
        <f t="shared" si="73"/>
        <v>46</v>
      </c>
      <c r="X576" s="5" t="str">
        <f t="shared" si="77"/>
        <v>[45 - 49 ans]</v>
      </c>
      <c r="Y576" s="5" t="str">
        <f t="shared" si="78"/>
        <v xml:space="preserve"> Generation X </v>
      </c>
      <c r="Z576" s="9">
        <f t="shared" si="79"/>
        <v>14</v>
      </c>
      <c r="AA576" s="5" t="str">
        <f t="shared" si="80"/>
        <v>RAS</v>
      </c>
      <c r="AB576" s="5" t="s">
        <v>3824</v>
      </c>
      <c r="AC576" s="6" t="s">
        <v>3799</v>
      </c>
      <c r="AE576" s="5" t="s">
        <v>3845</v>
      </c>
      <c r="AF576" s="5" t="s">
        <v>4481</v>
      </c>
      <c r="AG576" s="5" t="s">
        <v>4485</v>
      </c>
      <c r="AH576" s="5" t="s">
        <v>4488</v>
      </c>
      <c r="AI576" s="5" t="s">
        <v>4176</v>
      </c>
      <c r="AJ576" s="5" t="s">
        <v>4177</v>
      </c>
      <c r="AK576" s="5" t="s">
        <v>4178</v>
      </c>
      <c r="AL576" s="5" t="s">
        <v>3854</v>
      </c>
    </row>
    <row r="577" spans="1:38" x14ac:dyDescent="0.3">
      <c r="A577" s="4">
        <v>45716</v>
      </c>
      <c r="B577" s="5" t="s">
        <v>2080</v>
      </c>
      <c r="C577" s="5" t="s">
        <v>2081</v>
      </c>
      <c r="D577" s="5" t="s">
        <v>2082</v>
      </c>
      <c r="E577" s="5" t="s">
        <v>4494</v>
      </c>
      <c r="G577" s="5" t="s">
        <v>137</v>
      </c>
      <c r="H577" s="5" t="s">
        <v>2083</v>
      </c>
      <c r="I577" s="5" t="s">
        <v>290</v>
      </c>
      <c r="J577" s="5" t="s">
        <v>1346</v>
      </c>
      <c r="K577" s="4">
        <v>40875</v>
      </c>
      <c r="L577" s="4">
        <v>40875</v>
      </c>
      <c r="M577" s="9">
        <f t="shared" ref="M577:M640" si="81">DATEDIF(L577,A577,"y")</f>
        <v>13</v>
      </c>
      <c r="N577" s="4" t="str">
        <f t="shared" si="74"/>
        <v>] 10 ; 15 ]</v>
      </c>
      <c r="O577" s="5" t="s">
        <v>3785</v>
      </c>
      <c r="P577" s="5" t="s">
        <v>3785</v>
      </c>
      <c r="Q577" s="5">
        <v>1</v>
      </c>
      <c r="R577" s="5" t="str">
        <f t="shared" si="75"/>
        <v>Specialisation</v>
      </c>
      <c r="S577" s="5" t="s">
        <v>3789</v>
      </c>
      <c r="T577" s="4">
        <v>31356</v>
      </c>
      <c r="U577" s="5">
        <f t="shared" si="76"/>
        <v>1985</v>
      </c>
      <c r="V577" s="5" t="s">
        <v>3793</v>
      </c>
      <c r="W577" s="9">
        <f t="shared" ref="W577:W640" si="82">DATEDIF(T577,A577,"y")</f>
        <v>39</v>
      </c>
      <c r="X577" s="5" t="str">
        <f t="shared" si="77"/>
        <v>[35 - 39 ans ]</v>
      </c>
      <c r="Y577" s="5" t="str">
        <f t="shared" si="78"/>
        <v xml:space="preserve"> Mellenials </v>
      </c>
      <c r="Z577" s="9">
        <f t="shared" si="79"/>
        <v>21</v>
      </c>
      <c r="AA577" s="5" t="str">
        <f t="shared" si="80"/>
        <v>RAS</v>
      </c>
      <c r="AB577" s="5" t="s">
        <v>3806</v>
      </c>
      <c r="AC577" s="6" t="s">
        <v>3799</v>
      </c>
      <c r="AE577" s="5" t="s">
        <v>3844</v>
      </c>
      <c r="AF577" s="5" t="s">
        <v>4481</v>
      </c>
      <c r="AG577" s="5" t="s">
        <v>4485</v>
      </c>
      <c r="AH577" s="5" t="s">
        <v>4487</v>
      </c>
      <c r="AI577" s="5" t="s">
        <v>3999</v>
      </c>
      <c r="AJ577" s="5" t="s">
        <v>4000</v>
      </c>
      <c r="AK577" s="5" t="s">
        <v>4001</v>
      </c>
      <c r="AL577" s="5" t="s">
        <v>3858</v>
      </c>
    </row>
    <row r="578" spans="1:38" x14ac:dyDescent="0.3">
      <c r="A578" s="4">
        <v>45716</v>
      </c>
      <c r="B578" s="5" t="s">
        <v>2084</v>
      </c>
      <c r="C578" s="5" t="s">
        <v>2085</v>
      </c>
      <c r="D578" s="5" t="s">
        <v>2086</v>
      </c>
      <c r="E578" s="5" t="s">
        <v>4494</v>
      </c>
      <c r="G578" s="5" t="s">
        <v>222</v>
      </c>
      <c r="H578" s="5" t="s">
        <v>2087</v>
      </c>
      <c r="I578" s="5" t="s">
        <v>2841</v>
      </c>
      <c r="J578" s="5" t="s">
        <v>2841</v>
      </c>
      <c r="K578" s="4">
        <v>40878</v>
      </c>
      <c r="L578" s="4">
        <v>40878</v>
      </c>
      <c r="M578" s="9">
        <f t="shared" si="81"/>
        <v>13</v>
      </c>
      <c r="N578" s="4" t="str">
        <f t="shared" ref="N578:N641" si="83">IF(M578&lt;=2," ] 0 ; 2 ]",IF(AND(M578&gt;2,M578&lt;=5),"] 2 ; 5 ]",IF(AND(M578&gt;5,M578&lt;=8),"] 5 ; 8 ]",IF(AND(M578&gt;8,M578&lt;=10),"] 8 ; 10 ]",IF(AND(M578&gt;10,M578&lt;=15),"] 10 ; 15 ]","] 15 ; +oo [")))))</f>
        <v>] 10 ; 15 ]</v>
      </c>
      <c r="O578" s="5" t="s">
        <v>3779</v>
      </c>
      <c r="P578" s="5" t="s">
        <v>3779</v>
      </c>
      <c r="Q578" s="5">
        <v>1</v>
      </c>
      <c r="R578" s="5" t="str">
        <f t="shared" ref="R578:R641" si="84">IF(OR(O578="A",O578="B",O578="C",O578="D"),"Qualification",IF(OR(O578="E",O578="F",O578="G"),"Specialisation","Management &amp; Expertise"))</f>
        <v>Management &amp; Expertise</v>
      </c>
      <c r="S578" s="5" t="s">
        <v>3789</v>
      </c>
      <c r="T578" s="4">
        <v>26274</v>
      </c>
      <c r="U578" s="5">
        <f t="shared" ref="U578:U641" si="85">YEAR(T578)</f>
        <v>1971</v>
      </c>
      <c r="V578" s="5" t="s">
        <v>3793</v>
      </c>
      <c r="W578" s="9">
        <f t="shared" si="82"/>
        <v>53</v>
      </c>
      <c r="X578" s="5" t="str">
        <f t="shared" ref="X578:X641" si="86">IF(W578&lt;30,"[20 - 29 ans[",IF(AND(W578&gt;=30,W578&lt;35),"[30 - 34 ans]",IF(AND(W578&gt;=35,W578&lt;40),"[35 - 39 ans ]",IF(AND(W578&gt;=40,W578&lt;45),"[40 - 44 ans]",IF(AND(W578&gt;=45,W578&lt;50),"[45 - 49 ans]","[50 ans, +oo [")))))</f>
        <v>[50 ans, +oo [</v>
      </c>
      <c r="Y578" s="5" t="str">
        <f t="shared" ref="Y578:Y641" si="87">IF(AND(U578&gt;1946,U578&lt;=1965)," Baby - Boomers ",IF(AND(U578&gt;1965,U578&lt;=1980)," Generation X ",IF(AND(U578&gt;1980,U578&lt;1996)," Mellenials ",IF(AND(U578&gt;1996,U578&lt;2012)," Gen Z "," Gen Alpha"))))</f>
        <v xml:space="preserve"> Generation X </v>
      </c>
      <c r="Z578" s="9">
        <f t="shared" ref="Z578:Z641" si="88">60-W578</f>
        <v>7</v>
      </c>
      <c r="AA578" s="5" t="str">
        <f t="shared" ref="AA578:AA641" si="89">IF(Z578&lt;=5,"Départ à la Retraite 5ans","RAS")</f>
        <v>RAS</v>
      </c>
      <c r="AB578" s="5" t="s">
        <v>3806</v>
      </c>
      <c r="AC578" s="6" t="s">
        <v>3799</v>
      </c>
      <c r="AE578" s="5" t="s">
        <v>3845</v>
      </c>
      <c r="AF578" s="5" t="s">
        <v>4481</v>
      </c>
      <c r="AG578" s="5" t="s">
        <v>4484</v>
      </c>
      <c r="AH578" s="5" t="s">
        <v>4487</v>
      </c>
      <c r="AI578" s="5" t="s">
        <v>3965</v>
      </c>
      <c r="AJ578" s="5" t="s">
        <v>3966</v>
      </c>
      <c r="AK578" s="5" t="s">
        <v>4239</v>
      </c>
      <c r="AL578" s="5" t="s">
        <v>3854</v>
      </c>
    </row>
    <row r="579" spans="1:38" x14ac:dyDescent="0.3">
      <c r="A579" s="4">
        <v>45716</v>
      </c>
      <c r="B579" s="5" t="s">
        <v>2088</v>
      </c>
      <c r="C579" s="5" t="s">
        <v>2089</v>
      </c>
      <c r="D579" s="5" t="s">
        <v>2090</v>
      </c>
      <c r="E579" s="5" t="s">
        <v>4494</v>
      </c>
      <c r="G579" s="5" t="s">
        <v>39</v>
      </c>
      <c r="H579" s="5" t="s">
        <v>331</v>
      </c>
      <c r="I579" s="5" t="s">
        <v>1268</v>
      </c>
      <c r="J579" s="5" t="s">
        <v>52</v>
      </c>
      <c r="K579" s="4">
        <v>40875</v>
      </c>
      <c r="L579" s="4">
        <v>40117</v>
      </c>
      <c r="M579" s="9">
        <f t="shared" si="81"/>
        <v>15</v>
      </c>
      <c r="N579" s="4" t="str">
        <f t="shared" si="83"/>
        <v>] 10 ; 15 ]</v>
      </c>
      <c r="O579" s="5" t="s">
        <v>3786</v>
      </c>
      <c r="P579" s="5" t="s">
        <v>3786</v>
      </c>
      <c r="Q579" s="5">
        <v>1</v>
      </c>
      <c r="R579" s="5" t="str">
        <f t="shared" si="84"/>
        <v>Specialisation</v>
      </c>
      <c r="S579" s="5" t="s">
        <v>3789</v>
      </c>
      <c r="T579" s="4">
        <v>31071</v>
      </c>
      <c r="U579" s="5">
        <f t="shared" si="85"/>
        <v>1985</v>
      </c>
      <c r="V579" s="5" t="s">
        <v>3792</v>
      </c>
      <c r="W579" s="9">
        <f t="shared" si="82"/>
        <v>40</v>
      </c>
      <c r="X579" s="5" t="str">
        <f t="shared" si="86"/>
        <v>[40 - 44 ans]</v>
      </c>
      <c r="Y579" s="5" t="str">
        <f t="shared" si="87"/>
        <v xml:space="preserve"> Mellenials </v>
      </c>
      <c r="Z579" s="9">
        <f t="shared" si="88"/>
        <v>20</v>
      </c>
      <c r="AA579" s="5" t="str">
        <f t="shared" si="89"/>
        <v>RAS</v>
      </c>
      <c r="AB579" s="5" t="s">
        <v>3807</v>
      </c>
      <c r="AC579" s="6" t="s">
        <v>3799</v>
      </c>
      <c r="AE579" s="5" t="s">
        <v>3844</v>
      </c>
      <c r="AF579" s="5" t="s">
        <v>4482</v>
      </c>
      <c r="AG579" s="5" t="s">
        <v>4485</v>
      </c>
      <c r="AH579" s="5" t="s">
        <v>4489</v>
      </c>
      <c r="AI579" s="5" t="s">
        <v>4013</v>
      </c>
      <c r="AJ579" s="5" t="s">
        <v>4014</v>
      </c>
      <c r="AK579" s="5" t="s">
        <v>4015</v>
      </c>
      <c r="AL579" s="5" t="s">
        <v>3858</v>
      </c>
    </row>
    <row r="580" spans="1:38" x14ac:dyDescent="0.3">
      <c r="A580" s="4">
        <v>45716</v>
      </c>
      <c r="B580" s="5" t="s">
        <v>2091</v>
      </c>
      <c r="C580" s="5" t="s">
        <v>2092</v>
      </c>
      <c r="D580" s="5" t="s">
        <v>2093</v>
      </c>
      <c r="E580" s="5" t="s">
        <v>4494</v>
      </c>
      <c r="G580" s="5" t="s">
        <v>88</v>
      </c>
      <c r="H580" s="5" t="s">
        <v>323</v>
      </c>
      <c r="I580" s="5" t="s">
        <v>678</v>
      </c>
      <c r="J580" s="5" t="s">
        <v>182</v>
      </c>
      <c r="K580" s="4">
        <v>40889</v>
      </c>
      <c r="L580" s="4">
        <v>40889</v>
      </c>
      <c r="M580" s="9">
        <f t="shared" si="81"/>
        <v>13</v>
      </c>
      <c r="N580" s="4" t="str">
        <f t="shared" si="83"/>
        <v>] 10 ; 15 ]</v>
      </c>
      <c r="O580" s="5" t="s">
        <v>3782</v>
      </c>
      <c r="P580" s="5" t="s">
        <v>3782</v>
      </c>
      <c r="Q580" s="5">
        <v>1</v>
      </c>
      <c r="R580" s="5" t="str">
        <f t="shared" si="84"/>
        <v>Management &amp; Expertise</v>
      </c>
      <c r="S580" s="5" t="s">
        <v>3789</v>
      </c>
      <c r="T580" s="4">
        <v>31646</v>
      </c>
      <c r="U580" s="5">
        <f t="shared" si="85"/>
        <v>1986</v>
      </c>
      <c r="V580" s="5" t="s">
        <v>3793</v>
      </c>
      <c r="W580" s="9">
        <f t="shared" si="82"/>
        <v>38</v>
      </c>
      <c r="X580" s="5" t="str">
        <f t="shared" si="86"/>
        <v>[35 - 39 ans ]</v>
      </c>
      <c r="Y580" s="5" t="str">
        <f t="shared" si="87"/>
        <v xml:space="preserve"> Mellenials </v>
      </c>
      <c r="Z580" s="9">
        <f t="shared" si="88"/>
        <v>22</v>
      </c>
      <c r="AA580" s="5" t="str">
        <f t="shared" si="89"/>
        <v>RAS</v>
      </c>
      <c r="AB580" s="5" t="s">
        <v>3823</v>
      </c>
      <c r="AC580" s="6" t="s">
        <v>3800</v>
      </c>
      <c r="AE580" s="5" t="s">
        <v>3846</v>
      </c>
      <c r="AF580" s="5" t="s">
        <v>4481</v>
      </c>
      <c r="AG580" s="5" t="s">
        <v>4485</v>
      </c>
      <c r="AH580" s="5" t="s">
        <v>4488</v>
      </c>
      <c r="AI580" s="5" t="s">
        <v>4008</v>
      </c>
      <c r="AJ580" s="5" t="s">
        <v>4009</v>
      </c>
      <c r="AK580" s="5" t="s">
        <v>4010</v>
      </c>
      <c r="AL580" s="5" t="s">
        <v>3858</v>
      </c>
    </row>
    <row r="581" spans="1:38" x14ac:dyDescent="0.3">
      <c r="A581" s="4">
        <v>45716</v>
      </c>
      <c r="B581" s="5" t="s">
        <v>2094</v>
      </c>
      <c r="C581" s="5" t="s">
        <v>2095</v>
      </c>
      <c r="D581" s="5" t="s">
        <v>2096</v>
      </c>
      <c r="E581" s="5" t="s">
        <v>4494</v>
      </c>
      <c r="G581" s="5" t="s">
        <v>39</v>
      </c>
      <c r="H581" s="5" t="s">
        <v>331</v>
      </c>
      <c r="I581" s="5" t="s">
        <v>1268</v>
      </c>
      <c r="J581" s="5" t="s">
        <v>52</v>
      </c>
      <c r="K581" s="4">
        <v>40875</v>
      </c>
      <c r="L581" s="4">
        <v>40875</v>
      </c>
      <c r="M581" s="9">
        <f t="shared" si="81"/>
        <v>13</v>
      </c>
      <c r="N581" s="4" t="str">
        <f t="shared" si="83"/>
        <v>] 10 ; 15 ]</v>
      </c>
      <c r="O581" s="5" t="s">
        <v>3786</v>
      </c>
      <c r="P581" s="5" t="s">
        <v>3786</v>
      </c>
      <c r="Q581" s="5">
        <v>2</v>
      </c>
      <c r="R581" s="5" t="str">
        <f t="shared" si="84"/>
        <v>Specialisation</v>
      </c>
      <c r="S581" s="5" t="s">
        <v>3789</v>
      </c>
      <c r="T581" s="4">
        <v>31653</v>
      </c>
      <c r="U581" s="5">
        <f t="shared" si="85"/>
        <v>1986</v>
      </c>
      <c r="V581" s="5" t="s">
        <v>3792</v>
      </c>
      <c r="W581" s="9">
        <f t="shared" si="82"/>
        <v>38</v>
      </c>
      <c r="X581" s="5" t="str">
        <f t="shared" si="86"/>
        <v>[35 - 39 ans ]</v>
      </c>
      <c r="Y581" s="5" t="str">
        <f t="shared" si="87"/>
        <v xml:space="preserve"> Mellenials </v>
      </c>
      <c r="Z581" s="9">
        <f t="shared" si="88"/>
        <v>22</v>
      </c>
      <c r="AA581" s="5" t="str">
        <f t="shared" si="89"/>
        <v>RAS</v>
      </c>
      <c r="AB581" s="5" t="s">
        <v>3807</v>
      </c>
      <c r="AC581" s="6" t="s">
        <v>3799</v>
      </c>
      <c r="AE581" s="5" t="s">
        <v>3844</v>
      </c>
      <c r="AF581" s="5" t="s">
        <v>4482</v>
      </c>
      <c r="AG581" s="5" t="s">
        <v>4485</v>
      </c>
      <c r="AH581" s="5" t="s">
        <v>4489</v>
      </c>
      <c r="AI581" s="5" t="s">
        <v>4013</v>
      </c>
      <c r="AJ581" s="5" t="s">
        <v>4014</v>
      </c>
      <c r="AK581" s="5" t="s">
        <v>4015</v>
      </c>
      <c r="AL581" s="5" t="s">
        <v>3858</v>
      </c>
    </row>
    <row r="582" spans="1:38" x14ac:dyDescent="0.3">
      <c r="A582" s="4">
        <v>45716</v>
      </c>
      <c r="B582" s="5" t="s">
        <v>2097</v>
      </c>
      <c r="C582" s="5" t="s">
        <v>2098</v>
      </c>
      <c r="D582" s="5" t="s">
        <v>2099</v>
      </c>
      <c r="E582" s="5" t="s">
        <v>4494</v>
      </c>
      <c r="G582" s="5" t="s">
        <v>88</v>
      </c>
      <c r="H582" s="5" t="s">
        <v>2100</v>
      </c>
      <c r="I582" s="5" t="s">
        <v>795</v>
      </c>
      <c r="J582" s="5" t="s">
        <v>879</v>
      </c>
      <c r="K582" s="4">
        <v>40892</v>
      </c>
      <c r="L582" s="4">
        <v>40892</v>
      </c>
      <c r="M582" s="9">
        <f t="shared" si="81"/>
        <v>13</v>
      </c>
      <c r="N582" s="4" t="str">
        <f t="shared" si="83"/>
        <v>] 10 ; 15 ]</v>
      </c>
      <c r="O582" s="5" t="s">
        <v>3783</v>
      </c>
      <c r="P582" s="5" t="s">
        <v>3785</v>
      </c>
      <c r="Q582" s="5">
        <v>1</v>
      </c>
      <c r="R582" s="5" t="str">
        <f t="shared" si="84"/>
        <v>Specialisation</v>
      </c>
      <c r="S582" s="5" t="s">
        <v>3789</v>
      </c>
      <c r="T582" s="4">
        <v>29762</v>
      </c>
      <c r="U582" s="5">
        <f t="shared" si="85"/>
        <v>1981</v>
      </c>
      <c r="V582" s="5" t="s">
        <v>3792</v>
      </c>
      <c r="W582" s="9">
        <f t="shared" si="82"/>
        <v>43</v>
      </c>
      <c r="X582" s="5" t="str">
        <f t="shared" si="86"/>
        <v>[40 - 44 ans]</v>
      </c>
      <c r="Y582" s="5" t="str">
        <f t="shared" si="87"/>
        <v xml:space="preserve"> Mellenials </v>
      </c>
      <c r="Z582" s="9">
        <f t="shared" si="88"/>
        <v>17</v>
      </c>
      <c r="AA582" s="5" t="str">
        <f t="shared" si="89"/>
        <v>RAS</v>
      </c>
      <c r="AB582" s="5" t="s">
        <v>3831</v>
      </c>
      <c r="AC582" s="6" t="s">
        <v>3800</v>
      </c>
      <c r="AE582" s="5" t="s">
        <v>3844</v>
      </c>
      <c r="AF582" s="5" t="s">
        <v>4482</v>
      </c>
      <c r="AG582" s="5" t="s">
        <v>4485</v>
      </c>
      <c r="AH582" s="5" t="s">
        <v>4488</v>
      </c>
      <c r="AI582" s="5" t="s">
        <v>4197</v>
      </c>
      <c r="AJ582" s="5" t="s">
        <v>4223</v>
      </c>
      <c r="AK582" s="5" t="s">
        <v>4198</v>
      </c>
      <c r="AL582" s="5" t="s">
        <v>3858</v>
      </c>
    </row>
    <row r="583" spans="1:38" x14ac:dyDescent="0.3">
      <c r="A583" s="4">
        <v>45716</v>
      </c>
      <c r="B583" s="5" t="s">
        <v>2101</v>
      </c>
      <c r="C583" s="5" t="s">
        <v>2102</v>
      </c>
      <c r="D583" s="5" t="s">
        <v>2103</v>
      </c>
      <c r="E583" s="5" t="s">
        <v>4494</v>
      </c>
      <c r="G583" s="5" t="s">
        <v>88</v>
      </c>
      <c r="H583" s="5" t="s">
        <v>456</v>
      </c>
      <c r="I583" s="5" t="s">
        <v>1397</v>
      </c>
      <c r="J583" s="5" t="s">
        <v>883</v>
      </c>
      <c r="K583" s="4">
        <v>40896</v>
      </c>
      <c r="L583" s="4">
        <v>40896</v>
      </c>
      <c r="M583" s="9">
        <f t="shared" si="81"/>
        <v>13</v>
      </c>
      <c r="N583" s="4" t="str">
        <f t="shared" si="83"/>
        <v>] 10 ; 15 ]</v>
      </c>
      <c r="O583" s="5" t="s">
        <v>3780</v>
      </c>
      <c r="P583" s="5" t="s">
        <v>3780</v>
      </c>
      <c r="Q583" s="5">
        <v>3</v>
      </c>
      <c r="R583" s="5" t="str">
        <f t="shared" si="84"/>
        <v>Qualification</v>
      </c>
      <c r="S583" s="5" t="s">
        <v>3790</v>
      </c>
      <c r="T583" s="4">
        <v>31190</v>
      </c>
      <c r="U583" s="5">
        <f t="shared" si="85"/>
        <v>1985</v>
      </c>
      <c r="V583" s="5" t="s">
        <v>3793</v>
      </c>
      <c r="W583" s="9">
        <f t="shared" si="82"/>
        <v>39</v>
      </c>
      <c r="X583" s="5" t="str">
        <f t="shared" si="86"/>
        <v>[35 - 39 ans ]</v>
      </c>
      <c r="Y583" s="5" t="str">
        <f t="shared" si="87"/>
        <v xml:space="preserve"> Mellenials </v>
      </c>
      <c r="Z583" s="9">
        <f t="shared" si="88"/>
        <v>21</v>
      </c>
      <c r="AA583" s="5" t="str">
        <f t="shared" si="89"/>
        <v>RAS</v>
      </c>
      <c r="AB583" s="5" t="s">
        <v>3833</v>
      </c>
      <c r="AC583" s="6" t="s">
        <v>3801</v>
      </c>
      <c r="AE583" s="5" t="s">
        <v>3844</v>
      </c>
      <c r="AF583" s="5" t="s">
        <v>4482</v>
      </c>
      <c r="AG583" s="5" t="s">
        <v>4485</v>
      </c>
      <c r="AH583" s="5" t="s">
        <v>4488</v>
      </c>
      <c r="AI583" s="5" t="s">
        <v>4301</v>
      </c>
      <c r="AJ583" s="5" t="s">
        <v>4302</v>
      </c>
      <c r="AK583" s="5" t="s">
        <v>4303</v>
      </c>
      <c r="AL583" s="5" t="s">
        <v>3858</v>
      </c>
    </row>
    <row r="584" spans="1:38" x14ac:dyDescent="0.3">
      <c r="A584" s="4">
        <v>45716</v>
      </c>
      <c r="B584" s="5" t="s">
        <v>2104</v>
      </c>
      <c r="C584" s="5" t="s">
        <v>2105</v>
      </c>
      <c r="D584" s="5" t="s">
        <v>2106</v>
      </c>
      <c r="E584" s="5" t="s">
        <v>4494</v>
      </c>
      <c r="G584" s="5" t="s">
        <v>39</v>
      </c>
      <c r="H584" s="5" t="s">
        <v>2107</v>
      </c>
      <c r="I584" s="5" t="s">
        <v>38</v>
      </c>
      <c r="J584" s="5" t="s">
        <v>149</v>
      </c>
      <c r="K584" s="4">
        <v>40911</v>
      </c>
      <c r="L584" s="4">
        <v>40911</v>
      </c>
      <c r="M584" s="9">
        <f t="shared" si="81"/>
        <v>13</v>
      </c>
      <c r="N584" s="4" t="str">
        <f t="shared" si="83"/>
        <v>] 10 ; 15 ]</v>
      </c>
      <c r="O584" s="5" t="s">
        <v>3786</v>
      </c>
      <c r="P584" s="5" t="s">
        <v>3783</v>
      </c>
      <c r="Q584" s="5">
        <v>1</v>
      </c>
      <c r="R584" s="5" t="str">
        <f t="shared" si="84"/>
        <v>Specialisation</v>
      </c>
      <c r="S584" s="5" t="s">
        <v>3789</v>
      </c>
      <c r="T584" s="4">
        <v>29258</v>
      </c>
      <c r="U584" s="5">
        <f t="shared" si="85"/>
        <v>1980</v>
      </c>
      <c r="V584" s="5" t="s">
        <v>3793</v>
      </c>
      <c r="W584" s="9">
        <f t="shared" si="82"/>
        <v>45</v>
      </c>
      <c r="X584" s="5" t="str">
        <f t="shared" si="86"/>
        <v>[45 - 49 ans]</v>
      </c>
      <c r="Y584" s="5" t="str">
        <f t="shared" si="87"/>
        <v xml:space="preserve"> Generation X </v>
      </c>
      <c r="Z584" s="9">
        <f t="shared" si="88"/>
        <v>15</v>
      </c>
      <c r="AA584" s="5" t="str">
        <f t="shared" si="89"/>
        <v>RAS</v>
      </c>
      <c r="AB584" s="5" t="s">
        <v>3807</v>
      </c>
      <c r="AC584" s="6" t="s">
        <v>3799</v>
      </c>
      <c r="AE584" s="5" t="s">
        <v>3844</v>
      </c>
      <c r="AF584" s="5" t="s">
        <v>4482</v>
      </c>
      <c r="AG584" s="5" t="s">
        <v>4485</v>
      </c>
      <c r="AH584" s="5" t="s">
        <v>4489</v>
      </c>
      <c r="AI584" s="5" t="s">
        <v>3862</v>
      </c>
      <c r="AJ584" s="5" t="s">
        <v>3863</v>
      </c>
      <c r="AK584" s="5" t="s">
        <v>3864</v>
      </c>
      <c r="AL584" s="5" t="s">
        <v>3858</v>
      </c>
    </row>
    <row r="585" spans="1:38" x14ac:dyDescent="0.3">
      <c r="A585" s="4">
        <v>45716</v>
      </c>
      <c r="B585" s="5" t="s">
        <v>2108</v>
      </c>
      <c r="C585" s="5" t="s">
        <v>2109</v>
      </c>
      <c r="D585" s="5" t="s">
        <v>2110</v>
      </c>
      <c r="E585" s="5" t="s">
        <v>4494</v>
      </c>
      <c r="G585" s="5" t="s">
        <v>88</v>
      </c>
      <c r="H585" s="5" t="s">
        <v>456</v>
      </c>
      <c r="I585" s="5" t="s">
        <v>2079</v>
      </c>
      <c r="J585" s="5" t="s">
        <v>883</v>
      </c>
      <c r="K585" s="4">
        <v>40940</v>
      </c>
      <c r="L585" s="4">
        <v>40940</v>
      </c>
      <c r="M585" s="9">
        <f t="shared" si="81"/>
        <v>13</v>
      </c>
      <c r="N585" s="4" t="str">
        <f t="shared" si="83"/>
        <v>] 10 ; 15 ]</v>
      </c>
      <c r="O585" s="5" t="s">
        <v>3780</v>
      </c>
      <c r="P585" s="5" t="s">
        <v>3786</v>
      </c>
      <c r="Q585" s="5">
        <v>1</v>
      </c>
      <c r="R585" s="5" t="str">
        <f t="shared" si="84"/>
        <v>Qualification</v>
      </c>
      <c r="S585" s="5" t="s">
        <v>3789</v>
      </c>
      <c r="T585" s="4">
        <v>30228</v>
      </c>
      <c r="U585" s="5">
        <f t="shared" si="85"/>
        <v>1982</v>
      </c>
      <c r="V585" s="5" t="s">
        <v>3793</v>
      </c>
      <c r="W585" s="9">
        <f t="shared" si="82"/>
        <v>42</v>
      </c>
      <c r="X585" s="5" t="str">
        <f t="shared" si="86"/>
        <v>[40 - 44 ans]</v>
      </c>
      <c r="Y585" s="5" t="str">
        <f t="shared" si="87"/>
        <v xml:space="preserve"> Mellenials </v>
      </c>
      <c r="Z585" s="9">
        <f t="shared" si="88"/>
        <v>18</v>
      </c>
      <c r="AA585" s="5" t="str">
        <f t="shared" si="89"/>
        <v>RAS</v>
      </c>
      <c r="AB585" s="5" t="s">
        <v>3824</v>
      </c>
      <c r="AC585" s="6" t="s">
        <v>3799</v>
      </c>
      <c r="AE585" s="5" t="s">
        <v>3844</v>
      </c>
      <c r="AF585" s="5" t="s">
        <v>4482</v>
      </c>
      <c r="AG585" s="5" t="s">
        <v>4485</v>
      </c>
      <c r="AH585" s="5" t="s">
        <v>4488</v>
      </c>
      <c r="AI585" s="5" t="s">
        <v>4176</v>
      </c>
      <c r="AJ585" s="5" t="s">
        <v>4177</v>
      </c>
      <c r="AK585" s="5" t="s">
        <v>4178</v>
      </c>
      <c r="AL585" s="5" t="s">
        <v>3858</v>
      </c>
    </row>
    <row r="586" spans="1:38" x14ac:dyDescent="0.3">
      <c r="A586" s="4">
        <v>45716</v>
      </c>
      <c r="B586" s="5" t="s">
        <v>2111</v>
      </c>
      <c r="C586" s="5" t="s">
        <v>2112</v>
      </c>
      <c r="D586" s="5" t="s">
        <v>2113</v>
      </c>
      <c r="E586" s="5" t="s">
        <v>4494</v>
      </c>
      <c r="G586" s="5" t="s">
        <v>88</v>
      </c>
      <c r="H586" s="5" t="s">
        <v>653</v>
      </c>
      <c r="I586" s="5" t="s">
        <v>883</v>
      </c>
      <c r="J586" s="5" t="s">
        <v>182</v>
      </c>
      <c r="K586" s="4">
        <v>40940</v>
      </c>
      <c r="L586" s="4">
        <v>40940</v>
      </c>
      <c r="M586" s="9">
        <f t="shared" si="81"/>
        <v>13</v>
      </c>
      <c r="N586" s="4" t="str">
        <f t="shared" si="83"/>
        <v>] 10 ; 15 ]</v>
      </c>
      <c r="O586" s="5" t="s">
        <v>3785</v>
      </c>
      <c r="P586" s="5" t="s">
        <v>3785</v>
      </c>
      <c r="Q586" s="5">
        <v>2</v>
      </c>
      <c r="R586" s="5" t="str">
        <f t="shared" si="84"/>
        <v>Specialisation</v>
      </c>
      <c r="S586" s="5" t="s">
        <v>3789</v>
      </c>
      <c r="T586" s="4">
        <v>31464</v>
      </c>
      <c r="U586" s="5">
        <f t="shared" si="85"/>
        <v>1986</v>
      </c>
      <c r="V586" s="5" t="s">
        <v>3793</v>
      </c>
      <c r="W586" s="9">
        <f t="shared" si="82"/>
        <v>39</v>
      </c>
      <c r="X586" s="5" t="str">
        <f t="shared" si="86"/>
        <v>[35 - 39 ans ]</v>
      </c>
      <c r="Y586" s="5" t="str">
        <f t="shared" si="87"/>
        <v xml:space="preserve"> Mellenials </v>
      </c>
      <c r="Z586" s="9">
        <f t="shared" si="88"/>
        <v>21</v>
      </c>
      <c r="AA586" s="5" t="str">
        <f t="shared" si="89"/>
        <v>RAS</v>
      </c>
      <c r="AB586" s="5" t="s">
        <v>3820</v>
      </c>
      <c r="AC586" s="6" t="s">
        <v>3800</v>
      </c>
      <c r="AE586" s="5" t="s">
        <v>3845</v>
      </c>
      <c r="AF586" s="5" t="s">
        <v>4481</v>
      </c>
      <c r="AG586" s="5" t="s">
        <v>4485</v>
      </c>
      <c r="AH586" s="5" t="s">
        <v>4488</v>
      </c>
      <c r="AI586" s="5" t="s">
        <v>4158</v>
      </c>
      <c r="AJ586" s="5" t="s">
        <v>4159</v>
      </c>
      <c r="AK586" s="5" t="s">
        <v>4160</v>
      </c>
      <c r="AL586" s="5" t="s">
        <v>3854</v>
      </c>
    </row>
    <row r="587" spans="1:38" x14ac:dyDescent="0.3">
      <c r="A587" s="4">
        <v>45716</v>
      </c>
      <c r="B587" s="5" t="s">
        <v>2114</v>
      </c>
      <c r="C587" s="5" t="s">
        <v>2115</v>
      </c>
      <c r="D587" s="5" t="s">
        <v>2116</v>
      </c>
      <c r="E587" s="5" t="s">
        <v>4494</v>
      </c>
      <c r="G587" s="5" t="s">
        <v>39</v>
      </c>
      <c r="H587" s="5" t="s">
        <v>2117</v>
      </c>
      <c r="I587" s="5" t="s">
        <v>1264</v>
      </c>
      <c r="J587" s="5" t="s">
        <v>149</v>
      </c>
      <c r="K587" s="4">
        <v>40940</v>
      </c>
      <c r="L587" s="4">
        <v>40940</v>
      </c>
      <c r="M587" s="9">
        <f t="shared" si="81"/>
        <v>13</v>
      </c>
      <c r="N587" s="4" t="str">
        <f t="shared" si="83"/>
        <v>] 10 ; 15 ]</v>
      </c>
      <c r="O587" s="5" t="s">
        <v>3785</v>
      </c>
      <c r="P587" s="5" t="s">
        <v>3785</v>
      </c>
      <c r="Q587" s="5">
        <v>1</v>
      </c>
      <c r="R587" s="5" t="str">
        <f t="shared" si="84"/>
        <v>Specialisation</v>
      </c>
      <c r="S587" s="5" t="s">
        <v>3789</v>
      </c>
      <c r="T587" s="4">
        <v>32430</v>
      </c>
      <c r="U587" s="5">
        <f t="shared" si="85"/>
        <v>1988</v>
      </c>
      <c r="V587" s="5" t="s">
        <v>3793</v>
      </c>
      <c r="W587" s="9">
        <f t="shared" si="82"/>
        <v>36</v>
      </c>
      <c r="X587" s="5" t="str">
        <f t="shared" si="86"/>
        <v>[35 - 39 ans ]</v>
      </c>
      <c r="Y587" s="5" t="str">
        <f t="shared" si="87"/>
        <v xml:space="preserve"> Mellenials </v>
      </c>
      <c r="Z587" s="9">
        <f t="shared" si="88"/>
        <v>24</v>
      </c>
      <c r="AA587" s="5" t="str">
        <f t="shared" si="89"/>
        <v>RAS</v>
      </c>
      <c r="AB587" s="5" t="s">
        <v>3807</v>
      </c>
      <c r="AC587" s="6" t="s">
        <v>3799</v>
      </c>
      <c r="AE587" s="5" t="s">
        <v>3844</v>
      </c>
      <c r="AF587" s="5" t="s">
        <v>4481</v>
      </c>
      <c r="AG587" s="5" t="s">
        <v>4485</v>
      </c>
      <c r="AH587" s="5" t="s">
        <v>4489</v>
      </c>
      <c r="AI587" s="5" t="s">
        <v>4365</v>
      </c>
      <c r="AJ587" s="5" t="s">
        <v>4366</v>
      </c>
      <c r="AK587" s="5" t="s">
        <v>4280</v>
      </c>
      <c r="AL587" s="5" t="s">
        <v>3858</v>
      </c>
    </row>
    <row r="588" spans="1:38" x14ac:dyDescent="0.3">
      <c r="A588" s="4">
        <v>45716</v>
      </c>
      <c r="B588" s="5" t="s">
        <v>2118</v>
      </c>
      <c r="C588" s="5" t="s">
        <v>2119</v>
      </c>
      <c r="D588" s="5" t="s">
        <v>2120</v>
      </c>
      <c r="E588" s="5" t="s">
        <v>4494</v>
      </c>
      <c r="G588" s="5" t="s">
        <v>78</v>
      </c>
      <c r="H588" s="5" t="s">
        <v>2121</v>
      </c>
      <c r="I588" s="5" t="s">
        <v>2312</v>
      </c>
      <c r="J588" s="5" t="s">
        <v>298</v>
      </c>
      <c r="K588" s="4">
        <v>40940</v>
      </c>
      <c r="L588" s="4">
        <v>40940</v>
      </c>
      <c r="M588" s="9">
        <f t="shared" si="81"/>
        <v>13</v>
      </c>
      <c r="N588" s="4" t="str">
        <f t="shared" si="83"/>
        <v>] 10 ; 15 ]</v>
      </c>
      <c r="O588" s="5" t="s">
        <v>3788</v>
      </c>
      <c r="P588" s="5" t="s">
        <v>3788</v>
      </c>
      <c r="Q588" s="5">
        <v>2</v>
      </c>
      <c r="R588" s="5" t="str">
        <f t="shared" si="84"/>
        <v>Qualification</v>
      </c>
      <c r="S588" s="5" t="s">
        <v>3790</v>
      </c>
      <c r="T588" s="4">
        <v>29754</v>
      </c>
      <c r="U588" s="5">
        <f t="shared" si="85"/>
        <v>1981</v>
      </c>
      <c r="V588" s="5" t="s">
        <v>3793</v>
      </c>
      <c r="W588" s="9">
        <f t="shared" si="82"/>
        <v>43</v>
      </c>
      <c r="X588" s="5" t="str">
        <f t="shared" si="86"/>
        <v>[40 - 44 ans]</v>
      </c>
      <c r="Y588" s="5" t="str">
        <f t="shared" si="87"/>
        <v xml:space="preserve"> Mellenials </v>
      </c>
      <c r="Z588" s="9">
        <f t="shared" si="88"/>
        <v>17</v>
      </c>
      <c r="AA588" s="5" t="str">
        <f t="shared" si="89"/>
        <v>RAS</v>
      </c>
      <c r="AB588" s="5" t="s">
        <v>3808</v>
      </c>
      <c r="AC588" s="6" t="s">
        <v>3799</v>
      </c>
      <c r="AE588" s="5" t="s">
        <v>3844</v>
      </c>
      <c r="AF588" s="5" t="s">
        <v>4482</v>
      </c>
      <c r="AG588" s="5" t="s">
        <v>4485</v>
      </c>
      <c r="AH588" s="5" t="s">
        <v>4488</v>
      </c>
      <c r="AI588" s="5" t="s">
        <v>4381</v>
      </c>
      <c r="AJ588" s="5" t="s">
        <v>4382</v>
      </c>
      <c r="AK588" s="5" t="s">
        <v>3946</v>
      </c>
      <c r="AL588" s="5" t="s">
        <v>3858</v>
      </c>
    </row>
    <row r="589" spans="1:38" x14ac:dyDescent="0.3">
      <c r="A589" s="4">
        <v>45716</v>
      </c>
      <c r="B589" s="5" t="s">
        <v>2122</v>
      </c>
      <c r="C589" s="5" t="s">
        <v>2123</v>
      </c>
      <c r="D589" s="5" t="s">
        <v>2124</v>
      </c>
      <c r="E589" s="5" t="s">
        <v>4494</v>
      </c>
      <c r="G589" s="5" t="s">
        <v>78</v>
      </c>
      <c r="H589" s="5" t="s">
        <v>2125</v>
      </c>
      <c r="I589" s="5" t="s">
        <v>1069</v>
      </c>
      <c r="J589" s="5" t="s">
        <v>298</v>
      </c>
      <c r="K589" s="4">
        <v>40940</v>
      </c>
      <c r="L589" s="4">
        <v>40940</v>
      </c>
      <c r="M589" s="9">
        <f t="shared" si="81"/>
        <v>13</v>
      </c>
      <c r="N589" s="4" t="str">
        <f t="shared" si="83"/>
        <v>] 10 ; 15 ]</v>
      </c>
      <c r="O589" s="5" t="s">
        <v>3787</v>
      </c>
      <c r="P589" s="5" t="s">
        <v>3788</v>
      </c>
      <c r="Q589" s="5">
        <v>1</v>
      </c>
      <c r="R589" s="5" t="str">
        <f t="shared" si="84"/>
        <v>Qualification</v>
      </c>
      <c r="S589" s="5" t="s">
        <v>3790</v>
      </c>
      <c r="T589" s="4">
        <v>30480</v>
      </c>
      <c r="U589" s="5">
        <f t="shared" si="85"/>
        <v>1983</v>
      </c>
      <c r="V589" s="5" t="s">
        <v>3793</v>
      </c>
      <c r="W589" s="9">
        <f t="shared" si="82"/>
        <v>41</v>
      </c>
      <c r="X589" s="5" t="str">
        <f t="shared" si="86"/>
        <v>[40 - 44 ans]</v>
      </c>
      <c r="Y589" s="5" t="str">
        <f t="shared" si="87"/>
        <v xml:space="preserve"> Mellenials </v>
      </c>
      <c r="Z589" s="9">
        <f t="shared" si="88"/>
        <v>19</v>
      </c>
      <c r="AA589" s="5" t="str">
        <f t="shared" si="89"/>
        <v>RAS</v>
      </c>
      <c r="AB589" s="5" t="s">
        <v>3808</v>
      </c>
      <c r="AC589" s="6" t="s">
        <v>3799</v>
      </c>
      <c r="AE589" s="5" t="s">
        <v>3844</v>
      </c>
      <c r="AF589" s="5" t="s">
        <v>4482</v>
      </c>
      <c r="AG589" s="5" t="s">
        <v>4485</v>
      </c>
      <c r="AH589" s="5" t="s">
        <v>4488</v>
      </c>
      <c r="AI589" s="5" t="s">
        <v>4240</v>
      </c>
      <c r="AJ589" s="5" t="s">
        <v>4264</v>
      </c>
      <c r="AK589" s="5" t="s">
        <v>4090</v>
      </c>
      <c r="AL589" s="5" t="s">
        <v>3858</v>
      </c>
    </row>
    <row r="590" spans="1:38" x14ac:dyDescent="0.3">
      <c r="A590" s="4">
        <v>45716</v>
      </c>
      <c r="B590" s="5" t="s">
        <v>2126</v>
      </c>
      <c r="C590" s="5" t="s">
        <v>2127</v>
      </c>
      <c r="D590" s="5" t="s">
        <v>2128</v>
      </c>
      <c r="E590" s="5" t="s">
        <v>4494</v>
      </c>
      <c r="G590" s="5" t="s">
        <v>78</v>
      </c>
      <c r="H590" s="5" t="s">
        <v>523</v>
      </c>
      <c r="I590" s="5" t="s">
        <v>2069</v>
      </c>
      <c r="J590" s="5" t="s">
        <v>1518</v>
      </c>
      <c r="K590" s="4">
        <v>40940</v>
      </c>
      <c r="L590" s="4">
        <v>40940</v>
      </c>
      <c r="M590" s="9">
        <f t="shared" si="81"/>
        <v>13</v>
      </c>
      <c r="N590" s="4" t="str">
        <f t="shared" si="83"/>
        <v>] 10 ; 15 ]</v>
      </c>
      <c r="O590" s="5" t="s">
        <v>3788</v>
      </c>
      <c r="P590" s="5" t="s">
        <v>3788</v>
      </c>
      <c r="Q590" s="5">
        <v>3</v>
      </c>
      <c r="R590" s="5" t="str">
        <f t="shared" si="84"/>
        <v>Qualification</v>
      </c>
      <c r="S590" s="5" t="s">
        <v>3790</v>
      </c>
      <c r="T590" s="4">
        <v>29634</v>
      </c>
      <c r="U590" s="5">
        <f t="shared" si="85"/>
        <v>1981</v>
      </c>
      <c r="V590" s="5" t="s">
        <v>3792</v>
      </c>
      <c r="W590" s="9">
        <f t="shared" si="82"/>
        <v>44</v>
      </c>
      <c r="X590" s="5" t="str">
        <f t="shared" si="86"/>
        <v>[40 - 44 ans]</v>
      </c>
      <c r="Y590" s="5" t="str">
        <f t="shared" si="87"/>
        <v xml:space="preserve"> Mellenials </v>
      </c>
      <c r="Z590" s="9">
        <f t="shared" si="88"/>
        <v>16</v>
      </c>
      <c r="AA590" s="5" t="str">
        <f t="shared" si="89"/>
        <v>RAS</v>
      </c>
      <c r="AB590" s="5" t="s">
        <v>3808</v>
      </c>
      <c r="AC590" s="6" t="s">
        <v>3799</v>
      </c>
      <c r="AE590" s="5" t="s">
        <v>3844</v>
      </c>
      <c r="AF590" s="5" t="s">
        <v>4482</v>
      </c>
      <c r="AG590" s="5" t="s">
        <v>4485</v>
      </c>
      <c r="AH590" s="5" t="s">
        <v>4488</v>
      </c>
      <c r="AI590" s="5" t="s">
        <v>4104</v>
      </c>
      <c r="AJ590" s="5" t="s">
        <v>4105</v>
      </c>
      <c r="AK590" s="5" t="s">
        <v>4090</v>
      </c>
      <c r="AL590" s="5" t="s">
        <v>3858</v>
      </c>
    </row>
    <row r="591" spans="1:38" x14ac:dyDescent="0.3">
      <c r="A591" s="4">
        <v>45716</v>
      </c>
      <c r="B591" s="5" t="s">
        <v>2129</v>
      </c>
      <c r="C591" s="5" t="s">
        <v>2130</v>
      </c>
      <c r="D591" s="5" t="s">
        <v>2131</v>
      </c>
      <c r="E591" s="5" t="s">
        <v>4494</v>
      </c>
      <c r="G591" s="5" t="s">
        <v>78</v>
      </c>
      <c r="H591" s="5" t="s">
        <v>1080</v>
      </c>
      <c r="I591" s="5" t="s">
        <v>1518</v>
      </c>
      <c r="J591" s="5" t="s">
        <v>1518</v>
      </c>
      <c r="K591" s="4">
        <v>40940</v>
      </c>
      <c r="L591" s="4">
        <v>40940</v>
      </c>
      <c r="M591" s="9">
        <f t="shared" si="81"/>
        <v>13</v>
      </c>
      <c r="N591" s="4" t="str">
        <f t="shared" si="83"/>
        <v>] 10 ; 15 ]</v>
      </c>
      <c r="O591" s="5" t="s">
        <v>3788</v>
      </c>
      <c r="P591" s="5" t="s">
        <v>3788</v>
      </c>
      <c r="Q591" s="5">
        <v>3</v>
      </c>
      <c r="R591" s="5" t="str">
        <f t="shared" si="84"/>
        <v>Qualification</v>
      </c>
      <c r="S591" s="5" t="s">
        <v>3790</v>
      </c>
      <c r="T591" s="4">
        <v>30559</v>
      </c>
      <c r="U591" s="5">
        <f t="shared" si="85"/>
        <v>1983</v>
      </c>
      <c r="V591" s="5" t="s">
        <v>3793</v>
      </c>
      <c r="W591" s="9">
        <f t="shared" si="82"/>
        <v>41</v>
      </c>
      <c r="X591" s="5" t="str">
        <f t="shared" si="86"/>
        <v>[40 - 44 ans]</v>
      </c>
      <c r="Y591" s="5" t="str">
        <f t="shared" si="87"/>
        <v xml:space="preserve"> Mellenials </v>
      </c>
      <c r="Z591" s="9">
        <f t="shared" si="88"/>
        <v>19</v>
      </c>
      <c r="AA591" s="5" t="str">
        <f t="shared" si="89"/>
        <v>RAS</v>
      </c>
      <c r="AB591" s="5" t="s">
        <v>3808</v>
      </c>
      <c r="AC591" s="6" t="s">
        <v>3799</v>
      </c>
      <c r="AE591" s="5" t="s">
        <v>3844</v>
      </c>
      <c r="AF591" s="5" t="s">
        <v>4482</v>
      </c>
      <c r="AG591" s="5" t="s">
        <v>4485</v>
      </c>
      <c r="AH591" s="5" t="s">
        <v>4488</v>
      </c>
      <c r="AI591" s="5" t="s">
        <v>4243</v>
      </c>
      <c r="AJ591" s="5" t="s">
        <v>4244</v>
      </c>
      <c r="AK591" s="5" t="s">
        <v>4090</v>
      </c>
      <c r="AL591" s="5" t="s">
        <v>3858</v>
      </c>
    </row>
    <row r="592" spans="1:38" x14ac:dyDescent="0.3">
      <c r="A592" s="4">
        <v>45716</v>
      </c>
      <c r="B592" s="5" t="s">
        <v>2132</v>
      </c>
      <c r="C592" s="5" t="s">
        <v>2133</v>
      </c>
      <c r="D592" s="5" t="s">
        <v>2134</v>
      </c>
      <c r="E592" s="5" t="s">
        <v>4494</v>
      </c>
      <c r="G592" s="5" t="s">
        <v>88</v>
      </c>
      <c r="H592" s="5" t="s">
        <v>456</v>
      </c>
      <c r="I592" s="5" t="s">
        <v>1814</v>
      </c>
      <c r="J592" s="5" t="s">
        <v>883</v>
      </c>
      <c r="K592" s="4">
        <v>40940</v>
      </c>
      <c r="L592" s="4">
        <v>40940</v>
      </c>
      <c r="M592" s="9">
        <f t="shared" si="81"/>
        <v>13</v>
      </c>
      <c r="N592" s="4" t="str">
        <f t="shared" si="83"/>
        <v>] 10 ; 15 ]</v>
      </c>
      <c r="O592" s="5" t="s">
        <v>3780</v>
      </c>
      <c r="P592" s="5" t="s">
        <v>3780</v>
      </c>
      <c r="Q592" s="5">
        <v>3</v>
      </c>
      <c r="R592" s="5" t="str">
        <f t="shared" si="84"/>
        <v>Qualification</v>
      </c>
      <c r="S592" s="5" t="s">
        <v>3789</v>
      </c>
      <c r="T592" s="4">
        <v>31783</v>
      </c>
      <c r="U592" s="5">
        <f t="shared" si="85"/>
        <v>1987</v>
      </c>
      <c r="V592" s="5" t="s">
        <v>3793</v>
      </c>
      <c r="W592" s="9">
        <f t="shared" si="82"/>
        <v>38</v>
      </c>
      <c r="X592" s="5" t="str">
        <f t="shared" si="86"/>
        <v>[35 - 39 ans ]</v>
      </c>
      <c r="Y592" s="5" t="str">
        <f t="shared" si="87"/>
        <v xml:space="preserve"> Mellenials </v>
      </c>
      <c r="Z592" s="9">
        <f t="shared" si="88"/>
        <v>22</v>
      </c>
      <c r="AA592" s="5" t="str">
        <f t="shared" si="89"/>
        <v>RAS</v>
      </c>
      <c r="AB592" s="5" t="s">
        <v>3813</v>
      </c>
      <c r="AC592" s="6" t="s">
        <v>3799</v>
      </c>
      <c r="AE592" s="5" t="s">
        <v>3844</v>
      </c>
      <c r="AF592" s="5" t="s">
        <v>4482</v>
      </c>
      <c r="AG592" s="5" t="s">
        <v>4485</v>
      </c>
      <c r="AH592" s="5" t="s">
        <v>4488</v>
      </c>
      <c r="AI592" s="5" t="s">
        <v>4188</v>
      </c>
      <c r="AJ592" s="5" t="s">
        <v>4068</v>
      </c>
      <c r="AK592" s="5" t="s">
        <v>4069</v>
      </c>
      <c r="AL592" s="5" t="s">
        <v>3858</v>
      </c>
    </row>
    <row r="593" spans="1:38" x14ac:dyDescent="0.3">
      <c r="A593" s="4">
        <v>45716</v>
      </c>
      <c r="B593" s="5" t="s">
        <v>2135</v>
      </c>
      <c r="C593" s="5" t="s">
        <v>2136</v>
      </c>
      <c r="D593" s="5" t="s">
        <v>2137</v>
      </c>
      <c r="E593" s="5" t="s">
        <v>4494</v>
      </c>
      <c r="G593" s="5" t="s">
        <v>88</v>
      </c>
      <c r="H593" s="5" t="s">
        <v>456</v>
      </c>
      <c r="I593" s="5" t="s">
        <v>741</v>
      </c>
      <c r="J593" s="5" t="s">
        <v>883</v>
      </c>
      <c r="K593" s="4">
        <v>40940</v>
      </c>
      <c r="L593" s="4">
        <v>40940</v>
      </c>
      <c r="M593" s="9">
        <f t="shared" si="81"/>
        <v>13</v>
      </c>
      <c r="N593" s="4" t="str">
        <f t="shared" si="83"/>
        <v>] 10 ; 15 ]</v>
      </c>
      <c r="O593" s="5" t="s">
        <v>3780</v>
      </c>
      <c r="P593" s="5" t="s">
        <v>3780</v>
      </c>
      <c r="Q593" s="5">
        <v>1</v>
      </c>
      <c r="R593" s="5" t="str">
        <f t="shared" si="84"/>
        <v>Qualification</v>
      </c>
      <c r="S593" s="5" t="s">
        <v>3789</v>
      </c>
      <c r="T593" s="4">
        <v>29949</v>
      </c>
      <c r="U593" s="5">
        <f t="shared" si="85"/>
        <v>1981</v>
      </c>
      <c r="V593" s="5" t="s">
        <v>3793</v>
      </c>
      <c r="W593" s="9">
        <f t="shared" si="82"/>
        <v>43</v>
      </c>
      <c r="X593" s="5" t="str">
        <f t="shared" si="86"/>
        <v>[40 - 44 ans]</v>
      </c>
      <c r="Y593" s="5" t="str">
        <f t="shared" si="87"/>
        <v xml:space="preserve"> Mellenials </v>
      </c>
      <c r="Z593" s="9">
        <f t="shared" si="88"/>
        <v>17</v>
      </c>
      <c r="AA593" s="5" t="str">
        <f t="shared" si="89"/>
        <v>RAS</v>
      </c>
      <c r="AB593" s="5" t="s">
        <v>3825</v>
      </c>
      <c r="AC593" s="6" t="s">
        <v>3799</v>
      </c>
      <c r="AE593" s="5" t="s">
        <v>3844</v>
      </c>
      <c r="AF593" s="5" t="s">
        <v>4482</v>
      </c>
      <c r="AG593" s="5" t="s">
        <v>4485</v>
      </c>
      <c r="AH593" s="5" t="s">
        <v>4488</v>
      </c>
      <c r="AI593" s="5" t="s">
        <v>4179</v>
      </c>
      <c r="AJ593" s="5" t="s">
        <v>4180</v>
      </c>
      <c r="AK593" s="5" t="s">
        <v>4181</v>
      </c>
      <c r="AL593" s="5" t="s">
        <v>3858</v>
      </c>
    </row>
    <row r="594" spans="1:38" x14ac:dyDescent="0.3">
      <c r="A594" s="4">
        <v>45716</v>
      </c>
      <c r="B594" s="5" t="s">
        <v>2138</v>
      </c>
      <c r="C594" s="5" t="s">
        <v>2139</v>
      </c>
      <c r="D594" s="5" t="s">
        <v>2140</v>
      </c>
      <c r="E594" s="5" t="s">
        <v>4494</v>
      </c>
      <c r="G594" s="5" t="s">
        <v>88</v>
      </c>
      <c r="H594" s="5" t="s">
        <v>456</v>
      </c>
      <c r="I594" s="5" t="s">
        <v>770</v>
      </c>
      <c r="J594" s="5" t="s">
        <v>883</v>
      </c>
      <c r="K594" s="4">
        <v>40940</v>
      </c>
      <c r="L594" s="4">
        <v>40940</v>
      </c>
      <c r="M594" s="9">
        <f t="shared" si="81"/>
        <v>13</v>
      </c>
      <c r="N594" s="4" t="str">
        <f t="shared" si="83"/>
        <v>] 10 ; 15 ]</v>
      </c>
      <c r="O594" s="5" t="s">
        <v>3780</v>
      </c>
      <c r="P594" s="5" t="s">
        <v>3780</v>
      </c>
      <c r="Q594" s="5">
        <v>3</v>
      </c>
      <c r="R594" s="5" t="str">
        <f t="shared" si="84"/>
        <v>Qualification</v>
      </c>
      <c r="S594" s="5" t="s">
        <v>3789</v>
      </c>
      <c r="T594" s="4">
        <v>30154</v>
      </c>
      <c r="U594" s="5">
        <f t="shared" si="85"/>
        <v>1982</v>
      </c>
      <c r="V594" s="5" t="s">
        <v>3793</v>
      </c>
      <c r="W594" s="9">
        <f t="shared" si="82"/>
        <v>42</v>
      </c>
      <c r="X594" s="5" t="str">
        <f t="shared" si="86"/>
        <v>[40 - 44 ans]</v>
      </c>
      <c r="Y594" s="5" t="str">
        <f t="shared" si="87"/>
        <v xml:space="preserve"> Mellenials </v>
      </c>
      <c r="Z594" s="9">
        <f t="shared" si="88"/>
        <v>18</v>
      </c>
      <c r="AA594" s="5" t="str">
        <f t="shared" si="89"/>
        <v>RAS</v>
      </c>
      <c r="AB594" s="5" t="s">
        <v>3814</v>
      </c>
      <c r="AC594" s="6" t="s">
        <v>3799</v>
      </c>
      <c r="AE594" s="5" t="s">
        <v>3844</v>
      </c>
      <c r="AF594" s="5" t="s">
        <v>4482</v>
      </c>
      <c r="AG594" s="5" t="s">
        <v>4485</v>
      </c>
      <c r="AH594" s="5" t="s">
        <v>4488</v>
      </c>
      <c r="AI594" s="5" t="s">
        <v>4075</v>
      </c>
      <c r="AJ594" s="5" t="s">
        <v>4076</v>
      </c>
      <c r="AK594" s="5" t="s">
        <v>4077</v>
      </c>
      <c r="AL594" s="5" t="s">
        <v>3858</v>
      </c>
    </row>
    <row r="595" spans="1:38" x14ac:dyDescent="0.3">
      <c r="A595" s="4">
        <v>45716</v>
      </c>
      <c r="B595" s="5" t="s">
        <v>2141</v>
      </c>
      <c r="C595" s="5" t="s">
        <v>2142</v>
      </c>
      <c r="D595" s="5" t="s">
        <v>2143</v>
      </c>
      <c r="E595" s="5" t="s">
        <v>4494</v>
      </c>
      <c r="G595" s="5" t="s">
        <v>88</v>
      </c>
      <c r="H595" s="5" t="s">
        <v>456</v>
      </c>
      <c r="I595" s="5" t="s">
        <v>770</v>
      </c>
      <c r="J595" s="5" t="s">
        <v>883</v>
      </c>
      <c r="K595" s="4">
        <v>40940</v>
      </c>
      <c r="L595" s="4">
        <v>40940</v>
      </c>
      <c r="M595" s="9">
        <f t="shared" si="81"/>
        <v>13</v>
      </c>
      <c r="N595" s="4" t="str">
        <f t="shared" si="83"/>
        <v>] 10 ; 15 ]</v>
      </c>
      <c r="O595" s="5" t="s">
        <v>3780</v>
      </c>
      <c r="P595" s="5" t="s">
        <v>3786</v>
      </c>
      <c r="Q595" s="5">
        <v>1</v>
      </c>
      <c r="R595" s="5" t="str">
        <f t="shared" si="84"/>
        <v>Qualification</v>
      </c>
      <c r="S595" s="5" t="s">
        <v>3789</v>
      </c>
      <c r="T595" s="4">
        <v>32119</v>
      </c>
      <c r="U595" s="5">
        <f t="shared" si="85"/>
        <v>1987</v>
      </c>
      <c r="V595" s="5" t="s">
        <v>3793</v>
      </c>
      <c r="W595" s="9">
        <f t="shared" si="82"/>
        <v>37</v>
      </c>
      <c r="X595" s="5" t="str">
        <f t="shared" si="86"/>
        <v>[35 - 39 ans ]</v>
      </c>
      <c r="Y595" s="5" t="str">
        <f t="shared" si="87"/>
        <v xml:space="preserve"> Mellenials </v>
      </c>
      <c r="Z595" s="9">
        <f t="shared" si="88"/>
        <v>23</v>
      </c>
      <c r="AA595" s="5" t="str">
        <f t="shared" si="89"/>
        <v>RAS</v>
      </c>
      <c r="AB595" s="5" t="s">
        <v>3814</v>
      </c>
      <c r="AC595" s="6" t="s">
        <v>3799</v>
      </c>
      <c r="AE595" s="5" t="s">
        <v>3844</v>
      </c>
      <c r="AF595" s="5" t="s">
        <v>4482</v>
      </c>
      <c r="AG595" s="5" t="s">
        <v>4485</v>
      </c>
      <c r="AH595" s="5" t="s">
        <v>4488</v>
      </c>
      <c r="AI595" s="5" t="s">
        <v>4075</v>
      </c>
      <c r="AJ595" s="5" t="s">
        <v>4076</v>
      </c>
      <c r="AK595" s="5" t="s">
        <v>4077</v>
      </c>
      <c r="AL595" s="5" t="s">
        <v>3858</v>
      </c>
    </row>
    <row r="596" spans="1:38" x14ac:dyDescent="0.3">
      <c r="A596" s="4">
        <v>45716</v>
      </c>
      <c r="B596" s="5" t="s">
        <v>2144</v>
      </c>
      <c r="C596" s="5" t="s">
        <v>2145</v>
      </c>
      <c r="D596" s="5" t="s">
        <v>2146</v>
      </c>
      <c r="E596" s="5" t="s">
        <v>4494</v>
      </c>
      <c r="G596" s="5" t="s">
        <v>39</v>
      </c>
      <c r="H596" s="5" t="s">
        <v>2147</v>
      </c>
      <c r="I596" s="5" t="s">
        <v>153</v>
      </c>
      <c r="J596" s="5" t="s">
        <v>1899</v>
      </c>
      <c r="K596" s="4">
        <v>40969</v>
      </c>
      <c r="L596" s="4">
        <v>40969</v>
      </c>
      <c r="M596" s="9">
        <f t="shared" si="81"/>
        <v>12</v>
      </c>
      <c r="N596" s="4" t="str">
        <f t="shared" si="83"/>
        <v>] 10 ; 15 ]</v>
      </c>
      <c r="O596" s="5" t="s">
        <v>3782</v>
      </c>
      <c r="P596" s="5" t="s">
        <v>3782</v>
      </c>
      <c r="Q596" s="5">
        <v>2</v>
      </c>
      <c r="R596" s="5" t="str">
        <f t="shared" si="84"/>
        <v>Management &amp; Expertise</v>
      </c>
      <c r="S596" s="5" t="s">
        <v>3789</v>
      </c>
      <c r="T596" s="4">
        <v>26274</v>
      </c>
      <c r="U596" s="5">
        <f t="shared" si="85"/>
        <v>1971</v>
      </c>
      <c r="V596" s="5" t="s">
        <v>3793</v>
      </c>
      <c r="W596" s="9">
        <f t="shared" si="82"/>
        <v>53</v>
      </c>
      <c r="X596" s="5" t="str">
        <f t="shared" si="86"/>
        <v>[50 ans, +oo [</v>
      </c>
      <c r="Y596" s="5" t="str">
        <f t="shared" si="87"/>
        <v xml:space="preserve"> Generation X </v>
      </c>
      <c r="Z596" s="9">
        <f t="shared" si="88"/>
        <v>7</v>
      </c>
      <c r="AA596" s="5" t="str">
        <f t="shared" si="89"/>
        <v>RAS</v>
      </c>
      <c r="AB596" s="5" t="s">
        <v>3807</v>
      </c>
      <c r="AC596" s="6" t="s">
        <v>3799</v>
      </c>
      <c r="AE596" s="5" t="s">
        <v>3845</v>
      </c>
      <c r="AF596" s="5" t="s">
        <v>4481</v>
      </c>
      <c r="AG596" s="5" t="s">
        <v>4485</v>
      </c>
      <c r="AH596" s="5" t="s">
        <v>4489</v>
      </c>
      <c r="AI596" s="5" t="s">
        <v>4390</v>
      </c>
      <c r="AJ596" s="5" t="s">
        <v>4391</v>
      </c>
      <c r="AK596" s="5" t="s">
        <v>4372</v>
      </c>
      <c r="AL596" s="5" t="s">
        <v>3854</v>
      </c>
    </row>
    <row r="597" spans="1:38" x14ac:dyDescent="0.3">
      <c r="A597" s="4">
        <v>45716</v>
      </c>
      <c r="B597" s="5" t="s">
        <v>2148</v>
      </c>
      <c r="C597" s="5" t="s">
        <v>2149</v>
      </c>
      <c r="D597" s="5" t="s">
        <v>2150</v>
      </c>
      <c r="E597" s="5" t="s">
        <v>4494</v>
      </c>
      <c r="G597" s="5" t="s">
        <v>178</v>
      </c>
      <c r="H597" s="5" t="s">
        <v>2151</v>
      </c>
      <c r="I597" s="5" t="s">
        <v>3062</v>
      </c>
      <c r="J597" s="5" t="s">
        <v>201</v>
      </c>
      <c r="K597" s="4">
        <v>40969</v>
      </c>
      <c r="L597" s="4">
        <v>40969</v>
      </c>
      <c r="M597" s="9">
        <f t="shared" si="81"/>
        <v>12</v>
      </c>
      <c r="N597" s="4" t="str">
        <f t="shared" si="83"/>
        <v>] 10 ; 15 ]</v>
      </c>
      <c r="O597" s="5" t="s">
        <v>3783</v>
      </c>
      <c r="P597" s="5" t="s">
        <v>3783</v>
      </c>
      <c r="Q597" s="5">
        <v>1</v>
      </c>
      <c r="R597" s="5" t="str">
        <f t="shared" si="84"/>
        <v>Specialisation</v>
      </c>
      <c r="S597" s="5" t="s">
        <v>3790</v>
      </c>
      <c r="T597" s="4">
        <v>31175</v>
      </c>
      <c r="U597" s="5">
        <f t="shared" si="85"/>
        <v>1985</v>
      </c>
      <c r="V597" s="5" t="s">
        <v>3792</v>
      </c>
      <c r="W597" s="9">
        <f t="shared" si="82"/>
        <v>39</v>
      </c>
      <c r="X597" s="5" t="str">
        <f t="shared" si="86"/>
        <v>[35 - 39 ans ]</v>
      </c>
      <c r="Y597" s="5" t="str">
        <f t="shared" si="87"/>
        <v xml:space="preserve"> Mellenials </v>
      </c>
      <c r="Z597" s="9">
        <f t="shared" si="88"/>
        <v>21</v>
      </c>
      <c r="AA597" s="5" t="str">
        <f t="shared" si="89"/>
        <v>RAS</v>
      </c>
      <c r="AB597" s="5" t="s">
        <v>3806</v>
      </c>
      <c r="AC597" s="6" t="s">
        <v>3799</v>
      </c>
      <c r="AE597" s="5" t="s">
        <v>3844</v>
      </c>
      <c r="AF597" s="5" t="s">
        <v>4482</v>
      </c>
      <c r="AG597" s="5" t="s">
        <v>4485</v>
      </c>
      <c r="AH597" s="5" t="s">
        <v>4488</v>
      </c>
      <c r="AI597" s="5" t="s">
        <v>4135</v>
      </c>
      <c r="AJ597" s="5" t="s">
        <v>4136</v>
      </c>
      <c r="AK597" s="5" t="s">
        <v>3962</v>
      </c>
      <c r="AL597" s="5" t="s">
        <v>3858</v>
      </c>
    </row>
    <row r="598" spans="1:38" x14ac:dyDescent="0.3">
      <c r="A598" s="4">
        <v>45716</v>
      </c>
      <c r="B598" s="5" t="s">
        <v>2152</v>
      </c>
      <c r="C598" s="5" t="s">
        <v>2153</v>
      </c>
      <c r="D598" s="5" t="s">
        <v>2154</v>
      </c>
      <c r="E598" s="5" t="s">
        <v>4494</v>
      </c>
      <c r="G598" s="5" t="s">
        <v>44</v>
      </c>
      <c r="H598" s="5" t="s">
        <v>2155</v>
      </c>
      <c r="I598" s="5" t="s">
        <v>2337</v>
      </c>
      <c r="J598" s="5" t="s">
        <v>2841</v>
      </c>
      <c r="K598" s="4">
        <v>40969</v>
      </c>
      <c r="L598" s="4">
        <v>40969</v>
      </c>
      <c r="M598" s="9">
        <f t="shared" si="81"/>
        <v>12</v>
      </c>
      <c r="N598" s="4" t="str">
        <f t="shared" si="83"/>
        <v>] 10 ; 15 ]</v>
      </c>
      <c r="O598" s="5" t="s">
        <v>3783</v>
      </c>
      <c r="P598" s="5" t="s">
        <v>3783</v>
      </c>
      <c r="Q598" s="5">
        <v>2</v>
      </c>
      <c r="R598" s="5" t="str">
        <f t="shared" si="84"/>
        <v>Specialisation</v>
      </c>
      <c r="S598" s="5" t="s">
        <v>3790</v>
      </c>
      <c r="T598" s="4">
        <v>31067</v>
      </c>
      <c r="U598" s="5">
        <f t="shared" si="85"/>
        <v>1985</v>
      </c>
      <c r="V598" s="5" t="s">
        <v>3793</v>
      </c>
      <c r="W598" s="9">
        <f t="shared" si="82"/>
        <v>40</v>
      </c>
      <c r="X598" s="5" t="str">
        <f t="shared" si="86"/>
        <v>[40 - 44 ans]</v>
      </c>
      <c r="Y598" s="5" t="str">
        <f t="shared" si="87"/>
        <v xml:space="preserve"> Mellenials </v>
      </c>
      <c r="Z598" s="9">
        <f t="shared" si="88"/>
        <v>20</v>
      </c>
      <c r="AA598" s="5" t="str">
        <f t="shared" si="89"/>
        <v>RAS</v>
      </c>
      <c r="AB598" s="5" t="s">
        <v>3806</v>
      </c>
      <c r="AC598" s="6" t="s">
        <v>3799</v>
      </c>
      <c r="AE598" s="5" t="s">
        <v>3844</v>
      </c>
      <c r="AF598" s="5" t="s">
        <v>4482</v>
      </c>
      <c r="AG598" s="5" t="s">
        <v>4485</v>
      </c>
      <c r="AH598" s="5" t="s">
        <v>4487</v>
      </c>
      <c r="AI598" s="5" t="s">
        <v>4128</v>
      </c>
      <c r="AJ598" s="5" t="s">
        <v>4129</v>
      </c>
      <c r="AK598" s="5" t="s">
        <v>4130</v>
      </c>
      <c r="AL598" s="5" t="s">
        <v>3858</v>
      </c>
    </row>
    <row r="599" spans="1:38" x14ac:dyDescent="0.3">
      <c r="A599" s="4">
        <v>45716</v>
      </c>
      <c r="B599" s="5" t="s">
        <v>2156</v>
      </c>
      <c r="C599" s="5" t="s">
        <v>2157</v>
      </c>
      <c r="D599" s="5" t="s">
        <v>2158</v>
      </c>
      <c r="E599" s="5" t="s">
        <v>4494</v>
      </c>
      <c r="G599" s="5" t="s">
        <v>29</v>
      </c>
      <c r="H599" s="5" t="s">
        <v>1685</v>
      </c>
      <c r="I599" s="5" t="s">
        <v>408</v>
      </c>
      <c r="J599" s="5" t="s">
        <v>974</v>
      </c>
      <c r="K599" s="4">
        <v>40994</v>
      </c>
      <c r="L599" s="4">
        <v>40994</v>
      </c>
      <c r="M599" s="9">
        <f t="shared" si="81"/>
        <v>12</v>
      </c>
      <c r="N599" s="4" t="str">
        <f t="shared" si="83"/>
        <v>] 10 ; 15 ]</v>
      </c>
      <c r="O599" s="5" t="s">
        <v>3786</v>
      </c>
      <c r="P599" s="5" t="s">
        <v>3786</v>
      </c>
      <c r="Q599" s="5">
        <v>1</v>
      </c>
      <c r="R599" s="5" t="str">
        <f t="shared" si="84"/>
        <v>Specialisation</v>
      </c>
      <c r="S599" s="5" t="s">
        <v>3790</v>
      </c>
      <c r="T599" s="4">
        <v>31619</v>
      </c>
      <c r="U599" s="5">
        <f t="shared" si="85"/>
        <v>1986</v>
      </c>
      <c r="V599" s="5" t="s">
        <v>3792</v>
      </c>
      <c r="W599" s="9">
        <f t="shared" si="82"/>
        <v>38</v>
      </c>
      <c r="X599" s="5" t="str">
        <f t="shared" si="86"/>
        <v>[35 - 39 ans ]</v>
      </c>
      <c r="Y599" s="5" t="str">
        <f t="shared" si="87"/>
        <v xml:space="preserve"> Mellenials </v>
      </c>
      <c r="Z599" s="9">
        <f t="shared" si="88"/>
        <v>22</v>
      </c>
      <c r="AA599" s="5" t="str">
        <f t="shared" si="89"/>
        <v>RAS</v>
      </c>
      <c r="AB599" s="5" t="s">
        <v>3806</v>
      </c>
      <c r="AC599" s="6" t="s">
        <v>3799</v>
      </c>
      <c r="AE599" s="5" t="s">
        <v>3844</v>
      </c>
      <c r="AF599" s="5" t="s">
        <v>4482</v>
      </c>
      <c r="AG599" s="5" t="s">
        <v>4485</v>
      </c>
      <c r="AH599" s="5" t="s">
        <v>4487</v>
      </c>
      <c r="AI599" s="5" t="s">
        <v>4051</v>
      </c>
      <c r="AJ599" s="5" t="s">
        <v>4052</v>
      </c>
      <c r="AK599" s="5" t="s">
        <v>4053</v>
      </c>
      <c r="AL599" s="5" t="s">
        <v>3858</v>
      </c>
    </row>
    <row r="600" spans="1:38" x14ac:dyDescent="0.3">
      <c r="A600" s="4">
        <v>45716</v>
      </c>
      <c r="B600" s="5" t="s">
        <v>2159</v>
      </c>
      <c r="C600" s="5" t="s">
        <v>2160</v>
      </c>
      <c r="D600" s="5" t="s">
        <v>2161</v>
      </c>
      <c r="E600" s="5" t="s">
        <v>4494</v>
      </c>
      <c r="G600" s="5" t="s">
        <v>24</v>
      </c>
      <c r="H600" s="5" t="s">
        <v>2162</v>
      </c>
      <c r="I600" s="5" t="s">
        <v>2960</v>
      </c>
      <c r="J600" s="5" t="s">
        <v>23</v>
      </c>
      <c r="K600" s="4">
        <v>41000</v>
      </c>
      <c r="L600" s="4">
        <v>41000</v>
      </c>
      <c r="M600" s="9">
        <f t="shared" si="81"/>
        <v>12</v>
      </c>
      <c r="N600" s="4" t="str">
        <f t="shared" si="83"/>
        <v>] 10 ; 15 ]</v>
      </c>
      <c r="O600" s="5" t="s">
        <v>3782</v>
      </c>
      <c r="P600" s="5" t="s">
        <v>3782</v>
      </c>
      <c r="Q600" s="5">
        <v>2</v>
      </c>
      <c r="R600" s="5" t="str">
        <f t="shared" si="84"/>
        <v>Management &amp; Expertise</v>
      </c>
      <c r="S600" s="5" t="s">
        <v>3789</v>
      </c>
      <c r="T600" s="4">
        <v>30256</v>
      </c>
      <c r="U600" s="5">
        <f t="shared" si="85"/>
        <v>1982</v>
      </c>
      <c r="V600" s="5" t="s">
        <v>3793</v>
      </c>
      <c r="W600" s="9">
        <f t="shared" si="82"/>
        <v>42</v>
      </c>
      <c r="X600" s="5" t="str">
        <f t="shared" si="86"/>
        <v>[40 - 44 ans]</v>
      </c>
      <c r="Y600" s="5" t="str">
        <f t="shared" si="87"/>
        <v xml:space="preserve"> Mellenials </v>
      </c>
      <c r="Z600" s="9">
        <f t="shared" si="88"/>
        <v>18</v>
      </c>
      <c r="AA600" s="5" t="str">
        <f t="shared" si="89"/>
        <v>RAS</v>
      </c>
      <c r="AB600" s="5" t="s">
        <v>3805</v>
      </c>
      <c r="AC600" s="6" t="s">
        <v>3799</v>
      </c>
      <c r="AE600" s="5" t="s">
        <v>3844</v>
      </c>
      <c r="AF600" s="5" t="s">
        <v>4481</v>
      </c>
      <c r="AG600" s="5" t="s">
        <v>4485</v>
      </c>
      <c r="AH600" s="5" t="s">
        <v>4488</v>
      </c>
      <c r="AI600" s="5" t="s">
        <v>3987</v>
      </c>
      <c r="AJ600" s="5" t="s">
        <v>3988</v>
      </c>
      <c r="AK600" s="5" t="s">
        <v>3853</v>
      </c>
      <c r="AL600" s="5" t="s">
        <v>3858</v>
      </c>
    </row>
    <row r="601" spans="1:38" x14ac:dyDescent="0.3">
      <c r="A601" s="4">
        <v>45716</v>
      </c>
      <c r="B601" s="5" t="s">
        <v>2163</v>
      </c>
      <c r="C601" s="5" t="s">
        <v>2164</v>
      </c>
      <c r="D601" s="5" t="s">
        <v>2165</v>
      </c>
      <c r="E601" s="5" t="s">
        <v>4494</v>
      </c>
      <c r="G601" s="5" t="s">
        <v>78</v>
      </c>
      <c r="H601" s="5" t="s">
        <v>2166</v>
      </c>
      <c r="I601" s="5" t="s">
        <v>1306</v>
      </c>
      <c r="J601" s="5" t="s">
        <v>1510</v>
      </c>
      <c r="K601" s="4">
        <v>41000</v>
      </c>
      <c r="L601" s="4">
        <v>36923.041666666664</v>
      </c>
      <c r="M601" s="9">
        <f t="shared" si="81"/>
        <v>24</v>
      </c>
      <c r="N601" s="4" t="str">
        <f t="shared" si="83"/>
        <v>] 15 ; +oo [</v>
      </c>
      <c r="O601" s="5" t="s">
        <v>3781</v>
      </c>
      <c r="P601" s="5" t="s">
        <v>3787</v>
      </c>
      <c r="Q601" s="5">
        <v>1</v>
      </c>
      <c r="R601" s="5" t="str">
        <f t="shared" si="84"/>
        <v>Qualification</v>
      </c>
      <c r="S601" s="5" t="s">
        <v>3789</v>
      </c>
      <c r="T601" s="4">
        <v>28981</v>
      </c>
      <c r="U601" s="5">
        <f t="shared" si="85"/>
        <v>1979</v>
      </c>
      <c r="V601" s="5" t="s">
        <v>3793</v>
      </c>
      <c r="W601" s="9">
        <f t="shared" si="82"/>
        <v>45</v>
      </c>
      <c r="X601" s="5" t="str">
        <f t="shared" si="86"/>
        <v>[45 - 49 ans]</v>
      </c>
      <c r="Y601" s="5" t="str">
        <f t="shared" si="87"/>
        <v xml:space="preserve"> Generation X </v>
      </c>
      <c r="Z601" s="9">
        <f t="shared" si="88"/>
        <v>15</v>
      </c>
      <c r="AA601" s="5" t="str">
        <f t="shared" si="89"/>
        <v>RAS</v>
      </c>
      <c r="AB601" s="5" t="s">
        <v>3808</v>
      </c>
      <c r="AC601" s="6" t="s">
        <v>3799</v>
      </c>
      <c r="AE601" s="5" t="s">
        <v>3844</v>
      </c>
      <c r="AF601" s="5" t="s">
        <v>4482</v>
      </c>
      <c r="AG601" s="5" t="s">
        <v>4485</v>
      </c>
      <c r="AH601" s="5" t="s">
        <v>4488</v>
      </c>
      <c r="AI601" s="5" t="s">
        <v>4241</v>
      </c>
      <c r="AJ601" s="5" t="s">
        <v>4250</v>
      </c>
      <c r="AK601" s="5" t="s">
        <v>4242</v>
      </c>
      <c r="AL601" s="5" t="s">
        <v>3858</v>
      </c>
    </row>
    <row r="602" spans="1:38" x14ac:dyDescent="0.3">
      <c r="A602" s="4">
        <v>45716</v>
      </c>
      <c r="B602" s="5" t="s">
        <v>2167</v>
      </c>
      <c r="C602" s="5" t="s">
        <v>2168</v>
      </c>
      <c r="D602" s="5" t="s">
        <v>2169</v>
      </c>
      <c r="E602" s="5" t="s">
        <v>4494</v>
      </c>
      <c r="G602" s="5" t="s">
        <v>78</v>
      </c>
      <c r="H602" s="5" t="s">
        <v>527</v>
      </c>
      <c r="I602" s="5" t="s">
        <v>701</v>
      </c>
      <c r="J602" s="5" t="s">
        <v>1518</v>
      </c>
      <c r="K602" s="4">
        <v>41031</v>
      </c>
      <c r="L602" s="4">
        <v>39580</v>
      </c>
      <c r="M602" s="9">
        <f t="shared" si="81"/>
        <v>16</v>
      </c>
      <c r="N602" s="4" t="str">
        <f t="shared" si="83"/>
        <v>] 15 ; +oo [</v>
      </c>
      <c r="O602" s="5" t="s">
        <v>3780</v>
      </c>
      <c r="P602" s="5" t="s">
        <v>3780</v>
      </c>
      <c r="Q602" s="5">
        <v>3</v>
      </c>
      <c r="R602" s="5" t="str">
        <f t="shared" si="84"/>
        <v>Qualification</v>
      </c>
      <c r="S602" s="5" t="s">
        <v>3790</v>
      </c>
      <c r="T602" s="4">
        <v>30674</v>
      </c>
      <c r="U602" s="5">
        <f t="shared" si="85"/>
        <v>1983</v>
      </c>
      <c r="V602" s="5" t="s">
        <v>3793</v>
      </c>
      <c r="W602" s="9">
        <f t="shared" si="82"/>
        <v>41</v>
      </c>
      <c r="X602" s="5" t="str">
        <f t="shared" si="86"/>
        <v>[40 - 44 ans]</v>
      </c>
      <c r="Y602" s="5" t="str">
        <f t="shared" si="87"/>
        <v xml:space="preserve"> Mellenials </v>
      </c>
      <c r="Z602" s="9">
        <f t="shared" si="88"/>
        <v>19</v>
      </c>
      <c r="AA602" s="5" t="str">
        <f t="shared" si="89"/>
        <v>RAS</v>
      </c>
      <c r="AB602" s="5" t="s">
        <v>3810</v>
      </c>
      <c r="AC602" s="6" t="s">
        <v>3801</v>
      </c>
      <c r="AE602" s="5" t="s">
        <v>3844</v>
      </c>
      <c r="AF602" s="5" t="s">
        <v>4482</v>
      </c>
      <c r="AG602" s="5" t="s">
        <v>4485</v>
      </c>
      <c r="AH602" s="5" t="s">
        <v>4488</v>
      </c>
      <c r="AI602" s="5" t="s">
        <v>4174</v>
      </c>
      <c r="AJ602" s="5" t="s">
        <v>4175</v>
      </c>
      <c r="AK602" s="5">
        <v>81310</v>
      </c>
      <c r="AL602" s="5" t="s">
        <v>3858</v>
      </c>
    </row>
    <row r="603" spans="1:38" x14ac:dyDescent="0.3">
      <c r="A603" s="4">
        <v>45716</v>
      </c>
      <c r="B603" s="5" t="s">
        <v>2170</v>
      </c>
      <c r="C603" s="5" t="s">
        <v>2171</v>
      </c>
      <c r="D603" s="5" t="s">
        <v>2172</v>
      </c>
      <c r="E603" s="5" t="s">
        <v>4494</v>
      </c>
      <c r="G603" s="5" t="s">
        <v>88</v>
      </c>
      <c r="H603" s="5" t="s">
        <v>896</v>
      </c>
      <c r="I603" s="5" t="s">
        <v>2724</v>
      </c>
      <c r="J603" s="5" t="s">
        <v>182</v>
      </c>
      <c r="K603" s="4">
        <v>41031</v>
      </c>
      <c r="L603" s="4">
        <v>41031</v>
      </c>
      <c r="M603" s="9">
        <f t="shared" si="81"/>
        <v>12</v>
      </c>
      <c r="N603" s="4" t="str">
        <f t="shared" si="83"/>
        <v>] 10 ; 15 ]</v>
      </c>
      <c r="O603" s="5" t="s">
        <v>3782</v>
      </c>
      <c r="P603" s="5" t="s">
        <v>3784</v>
      </c>
      <c r="Q603" s="5">
        <v>1</v>
      </c>
      <c r="R603" s="5" t="str">
        <f t="shared" si="84"/>
        <v>Management &amp; Expertise</v>
      </c>
      <c r="S603" s="5" t="s">
        <v>3789</v>
      </c>
      <c r="T603" s="4">
        <v>28965</v>
      </c>
      <c r="U603" s="5">
        <f t="shared" si="85"/>
        <v>1979</v>
      </c>
      <c r="V603" s="5" t="s">
        <v>3793</v>
      </c>
      <c r="W603" s="9">
        <f t="shared" si="82"/>
        <v>45</v>
      </c>
      <c r="X603" s="5" t="str">
        <f t="shared" si="86"/>
        <v>[45 - 49 ans]</v>
      </c>
      <c r="Y603" s="5" t="str">
        <f t="shared" si="87"/>
        <v xml:space="preserve"> Generation X </v>
      </c>
      <c r="Z603" s="9">
        <f t="shared" si="88"/>
        <v>15</v>
      </c>
      <c r="AA603" s="5" t="str">
        <f t="shared" si="89"/>
        <v>RAS</v>
      </c>
      <c r="AB603" s="5" t="s">
        <v>3806</v>
      </c>
      <c r="AC603" s="6" t="s">
        <v>3799</v>
      </c>
      <c r="AE603" s="5" t="s">
        <v>3845</v>
      </c>
      <c r="AF603" s="5" t="s">
        <v>4481</v>
      </c>
      <c r="AG603" s="5" t="s">
        <v>4485</v>
      </c>
      <c r="AH603" s="5" t="s">
        <v>4488</v>
      </c>
      <c r="AI603" s="5" t="s">
        <v>4246</v>
      </c>
      <c r="AJ603" s="5" t="s">
        <v>4247</v>
      </c>
      <c r="AK603" s="5" t="s">
        <v>4211</v>
      </c>
      <c r="AL603" s="5" t="s">
        <v>3854</v>
      </c>
    </row>
    <row r="604" spans="1:38" x14ac:dyDescent="0.3">
      <c r="A604" s="4">
        <v>45716</v>
      </c>
      <c r="B604" s="5" t="s">
        <v>2173</v>
      </c>
      <c r="C604" s="5" t="s">
        <v>2174</v>
      </c>
      <c r="D604" s="5" t="s">
        <v>2175</v>
      </c>
      <c r="E604" s="5" t="s">
        <v>4494</v>
      </c>
      <c r="G604" s="5" t="s">
        <v>24</v>
      </c>
      <c r="H604" s="5" t="s">
        <v>1138</v>
      </c>
      <c r="I604" s="5" t="s">
        <v>998</v>
      </c>
      <c r="J604" s="5" t="s">
        <v>23</v>
      </c>
      <c r="K604" s="4">
        <v>41036</v>
      </c>
      <c r="L604" s="4">
        <v>41036</v>
      </c>
      <c r="M604" s="9">
        <f t="shared" si="81"/>
        <v>12</v>
      </c>
      <c r="N604" s="4" t="str">
        <f t="shared" si="83"/>
        <v>] 10 ; 15 ]</v>
      </c>
      <c r="O604" s="5" t="s">
        <v>3785</v>
      </c>
      <c r="P604" s="5" t="s">
        <v>3785</v>
      </c>
      <c r="Q604" s="5">
        <v>2</v>
      </c>
      <c r="R604" s="5" t="str">
        <f t="shared" si="84"/>
        <v>Specialisation</v>
      </c>
      <c r="S604" s="5" t="s">
        <v>3789</v>
      </c>
      <c r="T604" s="4">
        <v>32802</v>
      </c>
      <c r="U604" s="5">
        <f t="shared" si="85"/>
        <v>1989</v>
      </c>
      <c r="V604" s="5" t="s">
        <v>3792</v>
      </c>
      <c r="W604" s="9">
        <f t="shared" si="82"/>
        <v>35</v>
      </c>
      <c r="X604" s="5" t="str">
        <f t="shared" si="86"/>
        <v>[35 - 39 ans ]</v>
      </c>
      <c r="Y604" s="5" t="str">
        <f t="shared" si="87"/>
        <v xml:space="preserve"> Mellenials </v>
      </c>
      <c r="Z604" s="9">
        <f t="shared" si="88"/>
        <v>25</v>
      </c>
      <c r="AA604" s="5" t="str">
        <f t="shared" si="89"/>
        <v>RAS</v>
      </c>
      <c r="AB604" s="5" t="s">
        <v>3809</v>
      </c>
      <c r="AC604" s="6" t="s">
        <v>3800</v>
      </c>
      <c r="AE604" s="5" t="s">
        <v>3844</v>
      </c>
      <c r="AF604" s="5" t="s">
        <v>4481</v>
      </c>
      <c r="AG604" s="5" t="s">
        <v>4485</v>
      </c>
      <c r="AH604" s="5" t="s">
        <v>4488</v>
      </c>
      <c r="AI604" s="5" t="s">
        <v>3981</v>
      </c>
      <c r="AJ604" s="5" t="s">
        <v>3982</v>
      </c>
      <c r="AK604" s="5" t="s">
        <v>3983</v>
      </c>
      <c r="AL604" s="5" t="s">
        <v>3858</v>
      </c>
    </row>
    <row r="605" spans="1:38" x14ac:dyDescent="0.3">
      <c r="A605" s="4">
        <v>45716</v>
      </c>
      <c r="B605" s="5" t="s">
        <v>2176</v>
      </c>
      <c r="C605" s="5" t="s">
        <v>2177</v>
      </c>
      <c r="D605" s="5" t="s">
        <v>2178</v>
      </c>
      <c r="E605" s="5" t="s">
        <v>4494</v>
      </c>
      <c r="G605" s="5" t="s">
        <v>88</v>
      </c>
      <c r="H605" s="5" t="s">
        <v>456</v>
      </c>
      <c r="I605" s="5" t="s">
        <v>3772</v>
      </c>
      <c r="J605" s="5" t="s">
        <v>883</v>
      </c>
      <c r="K605" s="4">
        <v>41036</v>
      </c>
      <c r="L605" s="4">
        <v>41036</v>
      </c>
      <c r="M605" s="9">
        <f t="shared" si="81"/>
        <v>12</v>
      </c>
      <c r="N605" s="4" t="str">
        <f t="shared" si="83"/>
        <v>] 10 ; 15 ]</v>
      </c>
      <c r="O605" s="5" t="s">
        <v>3780</v>
      </c>
      <c r="P605" s="5" t="s">
        <v>3780</v>
      </c>
      <c r="Q605" s="5">
        <v>3</v>
      </c>
      <c r="R605" s="5" t="str">
        <f t="shared" si="84"/>
        <v>Qualification</v>
      </c>
      <c r="S605" s="5" t="s">
        <v>3790</v>
      </c>
      <c r="T605" s="4">
        <v>31401</v>
      </c>
      <c r="U605" s="5">
        <f t="shared" si="85"/>
        <v>1985</v>
      </c>
      <c r="V605" s="5" t="s">
        <v>3793</v>
      </c>
      <c r="W605" s="9">
        <f t="shared" si="82"/>
        <v>39</v>
      </c>
      <c r="X605" s="5" t="str">
        <f t="shared" si="86"/>
        <v>[35 - 39 ans ]</v>
      </c>
      <c r="Y605" s="5" t="str">
        <f t="shared" si="87"/>
        <v xml:space="preserve"> Mellenials </v>
      </c>
      <c r="Z605" s="9">
        <f t="shared" si="88"/>
        <v>21</v>
      </c>
      <c r="AA605" s="5" t="str">
        <f t="shared" si="89"/>
        <v>RAS</v>
      </c>
      <c r="AB605" s="5" t="s">
        <v>3823</v>
      </c>
      <c r="AC605" s="6" t="s">
        <v>3800</v>
      </c>
      <c r="AE605" s="5" t="s">
        <v>3844</v>
      </c>
      <c r="AF605" s="5" t="s">
        <v>4482</v>
      </c>
      <c r="AG605" s="5" t="s">
        <v>4485</v>
      </c>
      <c r="AH605" s="5" t="s">
        <v>4488</v>
      </c>
      <c r="AI605" s="5" t="s">
        <v>4169</v>
      </c>
      <c r="AJ605" s="5" t="s">
        <v>4170</v>
      </c>
      <c r="AK605" s="5" t="s">
        <v>4171</v>
      </c>
      <c r="AL605" s="5" t="s">
        <v>3858</v>
      </c>
    </row>
    <row r="606" spans="1:38" x14ac:dyDescent="0.3">
      <c r="A606" s="4">
        <v>45716</v>
      </c>
      <c r="B606" s="5" t="s">
        <v>2179</v>
      </c>
      <c r="C606" s="5" t="s">
        <v>2180</v>
      </c>
      <c r="D606" s="5" t="s">
        <v>2181</v>
      </c>
      <c r="E606" s="5" t="s">
        <v>4494</v>
      </c>
      <c r="G606" s="5" t="s">
        <v>78</v>
      </c>
      <c r="H606" s="5" t="s">
        <v>527</v>
      </c>
      <c r="I606" s="5" t="s">
        <v>701</v>
      </c>
      <c r="J606" s="5" t="s">
        <v>1518</v>
      </c>
      <c r="K606" s="4">
        <v>41036</v>
      </c>
      <c r="L606" s="4">
        <v>41036</v>
      </c>
      <c r="M606" s="9">
        <f t="shared" si="81"/>
        <v>12</v>
      </c>
      <c r="N606" s="4" t="str">
        <f t="shared" si="83"/>
        <v>] 10 ; 15 ]</v>
      </c>
      <c r="O606" s="5" t="s">
        <v>3780</v>
      </c>
      <c r="P606" s="5" t="s">
        <v>3780</v>
      </c>
      <c r="Q606" s="5">
        <v>3</v>
      </c>
      <c r="R606" s="5" t="str">
        <f t="shared" si="84"/>
        <v>Qualification</v>
      </c>
      <c r="S606" s="5" t="s">
        <v>3790</v>
      </c>
      <c r="T606" s="4">
        <v>31806</v>
      </c>
      <c r="U606" s="5">
        <f t="shared" si="85"/>
        <v>1987</v>
      </c>
      <c r="V606" s="5" t="s">
        <v>3793</v>
      </c>
      <c r="W606" s="9">
        <f t="shared" si="82"/>
        <v>38</v>
      </c>
      <c r="X606" s="5" t="str">
        <f t="shared" si="86"/>
        <v>[35 - 39 ans ]</v>
      </c>
      <c r="Y606" s="5" t="str">
        <f t="shared" si="87"/>
        <v xml:space="preserve"> Mellenials </v>
      </c>
      <c r="Z606" s="9">
        <f t="shared" si="88"/>
        <v>22</v>
      </c>
      <c r="AA606" s="5" t="str">
        <f t="shared" si="89"/>
        <v>RAS</v>
      </c>
      <c r="AB606" s="5" t="s">
        <v>3809</v>
      </c>
      <c r="AC606" s="6" t="s">
        <v>3800</v>
      </c>
      <c r="AE606" s="5" t="s">
        <v>3844</v>
      </c>
      <c r="AF606" s="5" t="s">
        <v>4482</v>
      </c>
      <c r="AG606" s="5" t="s">
        <v>4485</v>
      </c>
      <c r="AH606" s="5" t="s">
        <v>4488</v>
      </c>
      <c r="AI606" s="5" t="s">
        <v>4174</v>
      </c>
      <c r="AJ606" s="5" t="s">
        <v>4175</v>
      </c>
      <c r="AK606" s="5">
        <v>81310</v>
      </c>
      <c r="AL606" s="5" t="s">
        <v>3858</v>
      </c>
    </row>
    <row r="607" spans="1:38" x14ac:dyDescent="0.3">
      <c r="A607" s="4">
        <v>45716</v>
      </c>
      <c r="B607" s="5" t="s">
        <v>2182</v>
      </c>
      <c r="C607" s="5" t="s">
        <v>2183</v>
      </c>
      <c r="D607" s="5" t="s">
        <v>2184</v>
      </c>
      <c r="E607" s="5" t="s">
        <v>4494</v>
      </c>
      <c r="G607" s="5" t="s">
        <v>78</v>
      </c>
      <c r="H607" s="5" t="s">
        <v>527</v>
      </c>
      <c r="I607" s="5" t="s">
        <v>701</v>
      </c>
      <c r="J607" s="5" t="s">
        <v>1518</v>
      </c>
      <c r="K607" s="4">
        <v>41036</v>
      </c>
      <c r="L607" s="4">
        <v>41036</v>
      </c>
      <c r="M607" s="9">
        <f t="shared" si="81"/>
        <v>12</v>
      </c>
      <c r="N607" s="4" t="str">
        <f t="shared" si="83"/>
        <v>] 10 ; 15 ]</v>
      </c>
      <c r="O607" s="5" t="s">
        <v>3780</v>
      </c>
      <c r="P607" s="5" t="s">
        <v>3780</v>
      </c>
      <c r="Q607" s="5">
        <v>3</v>
      </c>
      <c r="R607" s="5" t="str">
        <f t="shared" si="84"/>
        <v>Qualification</v>
      </c>
      <c r="S607" s="5" t="s">
        <v>3789</v>
      </c>
      <c r="T607" s="4">
        <v>31358</v>
      </c>
      <c r="U607" s="5">
        <f t="shared" si="85"/>
        <v>1985</v>
      </c>
      <c r="V607" s="5" t="s">
        <v>3793</v>
      </c>
      <c r="W607" s="9">
        <f t="shared" si="82"/>
        <v>39</v>
      </c>
      <c r="X607" s="5" t="str">
        <f t="shared" si="86"/>
        <v>[35 - 39 ans ]</v>
      </c>
      <c r="Y607" s="5" t="str">
        <f t="shared" si="87"/>
        <v xml:space="preserve"> Mellenials </v>
      </c>
      <c r="Z607" s="9">
        <f t="shared" si="88"/>
        <v>21</v>
      </c>
      <c r="AA607" s="5" t="str">
        <f t="shared" si="89"/>
        <v>RAS</v>
      </c>
      <c r="AB607" s="5" t="s">
        <v>3809</v>
      </c>
      <c r="AC607" s="6" t="s">
        <v>3800</v>
      </c>
      <c r="AE607" s="5" t="s">
        <v>3844</v>
      </c>
      <c r="AF607" s="5" t="s">
        <v>4482</v>
      </c>
      <c r="AG607" s="5" t="s">
        <v>4485</v>
      </c>
      <c r="AH607" s="5" t="s">
        <v>4488</v>
      </c>
      <c r="AI607" s="5" t="s">
        <v>4174</v>
      </c>
      <c r="AJ607" s="5" t="s">
        <v>4175</v>
      </c>
      <c r="AK607" s="5">
        <v>81310</v>
      </c>
      <c r="AL607" s="5" t="s">
        <v>3858</v>
      </c>
    </row>
    <row r="608" spans="1:38" x14ac:dyDescent="0.3">
      <c r="A608" s="4">
        <v>45716</v>
      </c>
      <c r="B608" s="5" t="s">
        <v>2185</v>
      </c>
      <c r="C608" s="5" t="s">
        <v>2186</v>
      </c>
      <c r="D608" s="5" t="s">
        <v>2187</v>
      </c>
      <c r="E608" s="5" t="s">
        <v>4494</v>
      </c>
      <c r="G608" s="5" t="s">
        <v>88</v>
      </c>
      <c r="H608" s="5" t="s">
        <v>456</v>
      </c>
      <c r="I608" s="5" t="s">
        <v>3772</v>
      </c>
      <c r="J608" s="5" t="s">
        <v>883</v>
      </c>
      <c r="K608" s="4">
        <v>41036</v>
      </c>
      <c r="L608" s="4">
        <v>41036</v>
      </c>
      <c r="M608" s="9">
        <f t="shared" si="81"/>
        <v>12</v>
      </c>
      <c r="N608" s="4" t="str">
        <f t="shared" si="83"/>
        <v>] 10 ; 15 ]</v>
      </c>
      <c r="O608" s="5" t="s">
        <v>3780</v>
      </c>
      <c r="P608" s="5" t="s">
        <v>3780</v>
      </c>
      <c r="Q608" s="5">
        <v>3</v>
      </c>
      <c r="R608" s="5" t="str">
        <f t="shared" si="84"/>
        <v>Qualification</v>
      </c>
      <c r="S608" s="5" t="s">
        <v>3790</v>
      </c>
      <c r="T608" s="4">
        <v>31839</v>
      </c>
      <c r="U608" s="5">
        <f t="shared" si="85"/>
        <v>1987</v>
      </c>
      <c r="V608" s="5" t="s">
        <v>3793</v>
      </c>
      <c r="W608" s="9">
        <f t="shared" si="82"/>
        <v>37</v>
      </c>
      <c r="X608" s="5" t="str">
        <f t="shared" si="86"/>
        <v>[35 - 39 ans ]</v>
      </c>
      <c r="Y608" s="5" t="str">
        <f t="shared" si="87"/>
        <v xml:space="preserve"> Mellenials </v>
      </c>
      <c r="Z608" s="9">
        <f t="shared" si="88"/>
        <v>23</v>
      </c>
      <c r="AA608" s="5" t="str">
        <f t="shared" si="89"/>
        <v>RAS</v>
      </c>
      <c r="AB608" s="5" t="s">
        <v>3823</v>
      </c>
      <c r="AC608" s="6" t="s">
        <v>3800</v>
      </c>
      <c r="AE608" s="5" t="s">
        <v>3844</v>
      </c>
      <c r="AF608" s="5" t="s">
        <v>4482</v>
      </c>
      <c r="AG608" s="5" t="s">
        <v>4485</v>
      </c>
      <c r="AH608" s="5" t="s">
        <v>4488</v>
      </c>
      <c r="AI608" s="5" t="s">
        <v>4169</v>
      </c>
      <c r="AJ608" s="5" t="s">
        <v>4170</v>
      </c>
      <c r="AK608" s="5" t="s">
        <v>4171</v>
      </c>
      <c r="AL608" s="5" t="s">
        <v>3858</v>
      </c>
    </row>
    <row r="609" spans="1:38" x14ac:dyDescent="0.3">
      <c r="A609" s="4">
        <v>45716</v>
      </c>
      <c r="B609" s="5" t="s">
        <v>2188</v>
      </c>
      <c r="C609" s="5" t="s">
        <v>2189</v>
      </c>
      <c r="D609" s="5" t="s">
        <v>2190</v>
      </c>
      <c r="E609" s="5" t="s">
        <v>4494</v>
      </c>
      <c r="G609" s="5" t="s">
        <v>88</v>
      </c>
      <c r="H609" s="5" t="s">
        <v>456</v>
      </c>
      <c r="I609" s="5" t="s">
        <v>3772</v>
      </c>
      <c r="J609" s="5" t="s">
        <v>883</v>
      </c>
      <c r="K609" s="4">
        <v>41036</v>
      </c>
      <c r="L609" s="4">
        <v>41036</v>
      </c>
      <c r="M609" s="9">
        <f t="shared" si="81"/>
        <v>12</v>
      </c>
      <c r="N609" s="4" t="str">
        <f t="shared" si="83"/>
        <v>] 10 ; 15 ]</v>
      </c>
      <c r="O609" s="5" t="s">
        <v>3780</v>
      </c>
      <c r="P609" s="5" t="s">
        <v>3786</v>
      </c>
      <c r="Q609" s="5">
        <v>1</v>
      </c>
      <c r="R609" s="5" t="str">
        <f t="shared" si="84"/>
        <v>Qualification</v>
      </c>
      <c r="S609" s="5" t="s">
        <v>3790</v>
      </c>
      <c r="T609" s="4">
        <v>32846</v>
      </c>
      <c r="U609" s="5">
        <f t="shared" si="85"/>
        <v>1989</v>
      </c>
      <c r="V609" s="5" t="s">
        <v>3793</v>
      </c>
      <c r="W609" s="9">
        <f t="shared" si="82"/>
        <v>35</v>
      </c>
      <c r="X609" s="5" t="str">
        <f t="shared" si="86"/>
        <v>[35 - 39 ans ]</v>
      </c>
      <c r="Y609" s="5" t="str">
        <f t="shared" si="87"/>
        <v xml:space="preserve"> Mellenials </v>
      </c>
      <c r="Z609" s="9">
        <f t="shared" si="88"/>
        <v>25</v>
      </c>
      <c r="AA609" s="5" t="str">
        <f t="shared" si="89"/>
        <v>RAS</v>
      </c>
      <c r="AB609" s="5" t="s">
        <v>3823</v>
      </c>
      <c r="AC609" s="6" t="s">
        <v>3800</v>
      </c>
      <c r="AE609" s="5" t="s">
        <v>3844</v>
      </c>
      <c r="AF609" s="5" t="s">
        <v>4482</v>
      </c>
      <c r="AG609" s="5" t="s">
        <v>4485</v>
      </c>
      <c r="AH609" s="5" t="s">
        <v>4488</v>
      </c>
      <c r="AI609" s="5" t="s">
        <v>4169</v>
      </c>
      <c r="AJ609" s="5" t="s">
        <v>4170</v>
      </c>
      <c r="AK609" s="5" t="s">
        <v>4171</v>
      </c>
      <c r="AL609" s="5" t="s">
        <v>3858</v>
      </c>
    </row>
    <row r="610" spans="1:38" x14ac:dyDescent="0.3">
      <c r="A610" s="4">
        <v>45716</v>
      </c>
      <c r="B610" s="5" t="s">
        <v>2191</v>
      </c>
      <c r="C610" s="5" t="s">
        <v>2192</v>
      </c>
      <c r="D610" s="5" t="s">
        <v>2193</v>
      </c>
      <c r="E610" s="5" t="s">
        <v>4494</v>
      </c>
      <c r="G610" s="5" t="s">
        <v>24</v>
      </c>
      <c r="H610" s="5" t="s">
        <v>1138</v>
      </c>
      <c r="I610" s="5" t="s">
        <v>998</v>
      </c>
      <c r="J610" s="5" t="s">
        <v>23</v>
      </c>
      <c r="K610" s="4">
        <v>41036</v>
      </c>
      <c r="L610" s="4">
        <v>41036</v>
      </c>
      <c r="M610" s="9">
        <f t="shared" si="81"/>
        <v>12</v>
      </c>
      <c r="N610" s="4" t="str">
        <f t="shared" si="83"/>
        <v>] 10 ; 15 ]</v>
      </c>
      <c r="O610" s="5" t="s">
        <v>3785</v>
      </c>
      <c r="P610" s="5" t="s">
        <v>3785</v>
      </c>
      <c r="Q610" s="5">
        <v>2</v>
      </c>
      <c r="R610" s="5" t="str">
        <f t="shared" si="84"/>
        <v>Specialisation</v>
      </c>
      <c r="S610" s="5" t="s">
        <v>3789</v>
      </c>
      <c r="T610" s="4">
        <v>30833</v>
      </c>
      <c r="U610" s="5">
        <f t="shared" si="85"/>
        <v>1984</v>
      </c>
      <c r="V610" s="5" t="s">
        <v>3792</v>
      </c>
      <c r="W610" s="9">
        <f t="shared" si="82"/>
        <v>40</v>
      </c>
      <c r="X610" s="5" t="str">
        <f t="shared" si="86"/>
        <v>[40 - 44 ans]</v>
      </c>
      <c r="Y610" s="5" t="str">
        <f t="shared" si="87"/>
        <v xml:space="preserve"> Mellenials </v>
      </c>
      <c r="Z610" s="9">
        <f t="shared" si="88"/>
        <v>20</v>
      </c>
      <c r="AA610" s="5" t="str">
        <f t="shared" si="89"/>
        <v>RAS</v>
      </c>
      <c r="AB610" s="5" t="s">
        <v>3831</v>
      </c>
      <c r="AC610" s="6" t="s">
        <v>3800</v>
      </c>
      <c r="AE610" s="5" t="s">
        <v>3844</v>
      </c>
      <c r="AF610" s="5" t="s">
        <v>4481</v>
      </c>
      <c r="AG610" s="5" t="s">
        <v>4485</v>
      </c>
      <c r="AH610" s="5" t="s">
        <v>4488</v>
      </c>
      <c r="AI610" s="5" t="s">
        <v>3981</v>
      </c>
      <c r="AJ610" s="5" t="s">
        <v>3982</v>
      </c>
      <c r="AK610" s="5" t="s">
        <v>3983</v>
      </c>
      <c r="AL610" s="5" t="s">
        <v>3858</v>
      </c>
    </row>
    <row r="611" spans="1:38" x14ac:dyDescent="0.3">
      <c r="A611" s="4">
        <v>45716</v>
      </c>
      <c r="B611" s="5" t="s">
        <v>2194</v>
      </c>
      <c r="C611" s="5" t="s">
        <v>2195</v>
      </c>
      <c r="D611" s="5" t="s">
        <v>2196</v>
      </c>
      <c r="E611" s="5" t="s">
        <v>4494</v>
      </c>
      <c r="G611" s="5" t="s">
        <v>88</v>
      </c>
      <c r="H611" s="5" t="s">
        <v>456</v>
      </c>
      <c r="I611" s="5" t="s">
        <v>2020</v>
      </c>
      <c r="J611" s="5" t="s">
        <v>883</v>
      </c>
      <c r="K611" s="4">
        <v>41036</v>
      </c>
      <c r="L611" s="4">
        <v>41036</v>
      </c>
      <c r="M611" s="9">
        <f t="shared" si="81"/>
        <v>12</v>
      </c>
      <c r="N611" s="4" t="str">
        <f t="shared" si="83"/>
        <v>] 10 ; 15 ]</v>
      </c>
      <c r="O611" s="5" t="s">
        <v>3780</v>
      </c>
      <c r="P611" s="5" t="s">
        <v>3780</v>
      </c>
      <c r="Q611" s="5">
        <v>3</v>
      </c>
      <c r="R611" s="5" t="str">
        <f t="shared" si="84"/>
        <v>Qualification</v>
      </c>
      <c r="S611" s="5" t="s">
        <v>3790</v>
      </c>
      <c r="T611" s="4">
        <v>31228</v>
      </c>
      <c r="U611" s="5">
        <f t="shared" si="85"/>
        <v>1985</v>
      </c>
      <c r="V611" s="5" t="s">
        <v>3793</v>
      </c>
      <c r="W611" s="9">
        <f t="shared" si="82"/>
        <v>39</v>
      </c>
      <c r="X611" s="5" t="str">
        <f t="shared" si="86"/>
        <v>[35 - 39 ans ]</v>
      </c>
      <c r="Y611" s="5" t="str">
        <f t="shared" si="87"/>
        <v xml:space="preserve"> Mellenials </v>
      </c>
      <c r="Z611" s="9">
        <f t="shared" si="88"/>
        <v>21</v>
      </c>
      <c r="AA611" s="5" t="str">
        <f t="shared" si="89"/>
        <v>RAS</v>
      </c>
      <c r="AB611" s="5" t="s">
        <v>3811</v>
      </c>
      <c r="AC611" s="6" t="s">
        <v>3801</v>
      </c>
      <c r="AE611" s="5" t="s">
        <v>3844</v>
      </c>
      <c r="AF611" s="5" t="s">
        <v>4482</v>
      </c>
      <c r="AG611" s="5" t="s">
        <v>4485</v>
      </c>
      <c r="AH611" s="5" t="s">
        <v>4488</v>
      </c>
      <c r="AI611" s="5" t="s">
        <v>4072</v>
      </c>
      <c r="AJ611" s="5" t="s">
        <v>4073</v>
      </c>
      <c r="AK611" s="5" t="s">
        <v>4074</v>
      </c>
      <c r="AL611" s="5" t="s">
        <v>3858</v>
      </c>
    </row>
    <row r="612" spans="1:38" x14ac:dyDescent="0.3">
      <c r="A612" s="4">
        <v>45716</v>
      </c>
      <c r="B612" s="5" t="s">
        <v>2197</v>
      </c>
      <c r="C612" s="5" t="s">
        <v>2198</v>
      </c>
      <c r="D612" s="5" t="s">
        <v>2199</v>
      </c>
      <c r="E612" s="5" t="s">
        <v>4494</v>
      </c>
      <c r="G612" s="5" t="s">
        <v>88</v>
      </c>
      <c r="H612" s="5" t="s">
        <v>456</v>
      </c>
      <c r="I612" s="5" t="s">
        <v>2020</v>
      </c>
      <c r="J612" s="5" t="s">
        <v>883</v>
      </c>
      <c r="K612" s="4">
        <v>41036</v>
      </c>
      <c r="L612" s="4">
        <v>41036</v>
      </c>
      <c r="M612" s="9">
        <f t="shared" si="81"/>
        <v>12</v>
      </c>
      <c r="N612" s="4" t="str">
        <f t="shared" si="83"/>
        <v>] 10 ; 15 ]</v>
      </c>
      <c r="O612" s="5" t="s">
        <v>3780</v>
      </c>
      <c r="P612" s="5" t="s">
        <v>3780</v>
      </c>
      <c r="Q612" s="5">
        <v>3</v>
      </c>
      <c r="R612" s="5" t="str">
        <f t="shared" si="84"/>
        <v>Qualification</v>
      </c>
      <c r="S612" s="5" t="s">
        <v>3790</v>
      </c>
      <c r="T612" s="4">
        <v>29845</v>
      </c>
      <c r="U612" s="5">
        <f t="shared" si="85"/>
        <v>1981</v>
      </c>
      <c r="V612" s="5" t="s">
        <v>3793</v>
      </c>
      <c r="W612" s="9">
        <f t="shared" si="82"/>
        <v>43</v>
      </c>
      <c r="X612" s="5" t="str">
        <f t="shared" si="86"/>
        <v>[40 - 44 ans]</v>
      </c>
      <c r="Y612" s="5" t="str">
        <f t="shared" si="87"/>
        <v xml:space="preserve"> Mellenials </v>
      </c>
      <c r="Z612" s="9">
        <f t="shared" si="88"/>
        <v>17</v>
      </c>
      <c r="AA612" s="5" t="str">
        <f t="shared" si="89"/>
        <v>RAS</v>
      </c>
      <c r="AB612" s="5" t="s">
        <v>3811</v>
      </c>
      <c r="AC612" s="6" t="s">
        <v>3801</v>
      </c>
      <c r="AE612" s="5" t="s">
        <v>3844</v>
      </c>
      <c r="AF612" s="5" t="s">
        <v>4482</v>
      </c>
      <c r="AG612" s="5" t="s">
        <v>4485</v>
      </c>
      <c r="AH612" s="5" t="s">
        <v>4488</v>
      </c>
      <c r="AI612" s="5" t="s">
        <v>4072</v>
      </c>
      <c r="AJ612" s="5" t="s">
        <v>4073</v>
      </c>
      <c r="AK612" s="5" t="s">
        <v>4074</v>
      </c>
      <c r="AL612" s="5" t="s">
        <v>3858</v>
      </c>
    </row>
    <row r="613" spans="1:38" x14ac:dyDescent="0.3">
      <c r="A613" s="4">
        <v>45716</v>
      </c>
      <c r="B613" s="5" t="s">
        <v>2200</v>
      </c>
      <c r="C613" s="5" t="s">
        <v>2201</v>
      </c>
      <c r="D613" s="5" t="s">
        <v>2202</v>
      </c>
      <c r="E613" s="5" t="s">
        <v>4494</v>
      </c>
      <c r="G613" s="5" t="s">
        <v>88</v>
      </c>
      <c r="H613" s="5" t="s">
        <v>456</v>
      </c>
      <c r="I613" s="5" t="s">
        <v>744</v>
      </c>
      <c r="J613" s="5" t="s">
        <v>883</v>
      </c>
      <c r="K613" s="4">
        <v>41036</v>
      </c>
      <c r="L613" s="4">
        <v>41036</v>
      </c>
      <c r="M613" s="9">
        <f t="shared" si="81"/>
        <v>12</v>
      </c>
      <c r="N613" s="4" t="str">
        <f t="shared" si="83"/>
        <v>] 10 ; 15 ]</v>
      </c>
      <c r="O613" s="5" t="s">
        <v>3780</v>
      </c>
      <c r="P613" s="5" t="s">
        <v>3786</v>
      </c>
      <c r="Q613" s="5">
        <v>1</v>
      </c>
      <c r="R613" s="5" t="str">
        <f t="shared" si="84"/>
        <v>Qualification</v>
      </c>
      <c r="S613" s="5" t="s">
        <v>3789</v>
      </c>
      <c r="T613" s="4">
        <v>29572</v>
      </c>
      <c r="U613" s="5">
        <f t="shared" si="85"/>
        <v>1980</v>
      </c>
      <c r="V613" s="5" t="s">
        <v>3793</v>
      </c>
      <c r="W613" s="9">
        <f t="shared" si="82"/>
        <v>44</v>
      </c>
      <c r="X613" s="5" t="str">
        <f t="shared" si="86"/>
        <v>[40 - 44 ans]</v>
      </c>
      <c r="Y613" s="5" t="str">
        <f t="shared" si="87"/>
        <v xml:space="preserve"> Generation X </v>
      </c>
      <c r="Z613" s="9">
        <f t="shared" si="88"/>
        <v>16</v>
      </c>
      <c r="AA613" s="5" t="str">
        <f t="shared" si="89"/>
        <v>RAS</v>
      </c>
      <c r="AB613" s="5" t="s">
        <v>3828</v>
      </c>
      <c r="AC613" s="6" t="s">
        <v>3799</v>
      </c>
      <c r="AE613" s="5" t="s">
        <v>3844</v>
      </c>
      <c r="AF613" s="5" t="s">
        <v>4482</v>
      </c>
      <c r="AG613" s="5" t="s">
        <v>4485</v>
      </c>
      <c r="AH613" s="5" t="s">
        <v>4488</v>
      </c>
      <c r="AI613" s="5" t="s">
        <v>4186</v>
      </c>
      <c r="AJ613" s="5" t="s">
        <v>4187</v>
      </c>
      <c r="AK613" s="5" t="s">
        <v>4183</v>
      </c>
      <c r="AL613" s="5" t="s">
        <v>3858</v>
      </c>
    </row>
    <row r="614" spans="1:38" x14ac:dyDescent="0.3">
      <c r="A614" s="4">
        <v>45716</v>
      </c>
      <c r="B614" s="5" t="s">
        <v>2203</v>
      </c>
      <c r="C614" s="5" t="s">
        <v>2204</v>
      </c>
      <c r="D614" s="5" t="s">
        <v>2205</v>
      </c>
      <c r="E614" s="5" t="s">
        <v>4494</v>
      </c>
      <c r="G614" s="5" t="s">
        <v>1762</v>
      </c>
      <c r="H614" s="5" t="s">
        <v>2206</v>
      </c>
      <c r="I614" s="5" t="s">
        <v>1857</v>
      </c>
      <c r="J614" s="5" t="s">
        <v>2841</v>
      </c>
      <c r="K614" s="4">
        <v>41044</v>
      </c>
      <c r="L614" s="4">
        <v>41044</v>
      </c>
      <c r="M614" s="9">
        <f t="shared" si="81"/>
        <v>12</v>
      </c>
      <c r="N614" s="4" t="str">
        <f t="shared" si="83"/>
        <v>] 10 ; 15 ]</v>
      </c>
      <c r="O614" s="5" t="s">
        <v>3784</v>
      </c>
      <c r="P614" s="5" t="s">
        <v>3784</v>
      </c>
      <c r="Q614" s="5">
        <v>1</v>
      </c>
      <c r="R614" s="5" t="str">
        <f t="shared" si="84"/>
        <v>Management &amp; Expertise</v>
      </c>
      <c r="S614" s="5" t="s">
        <v>3790</v>
      </c>
      <c r="T614" s="4">
        <v>29381</v>
      </c>
      <c r="U614" s="5">
        <f t="shared" si="85"/>
        <v>1980</v>
      </c>
      <c r="V614" s="5" t="s">
        <v>3793</v>
      </c>
      <c r="W614" s="9">
        <f t="shared" si="82"/>
        <v>44</v>
      </c>
      <c r="X614" s="5" t="str">
        <f t="shared" si="86"/>
        <v>[40 - 44 ans]</v>
      </c>
      <c r="Y614" s="5" t="str">
        <f t="shared" si="87"/>
        <v xml:space="preserve"> Generation X </v>
      </c>
      <c r="Z614" s="9">
        <f t="shared" si="88"/>
        <v>16</v>
      </c>
      <c r="AA614" s="5" t="str">
        <f t="shared" si="89"/>
        <v>RAS</v>
      </c>
      <c r="AB614" s="5" t="s">
        <v>3806</v>
      </c>
      <c r="AC614" s="6" t="s">
        <v>3799</v>
      </c>
      <c r="AE614" s="5" t="s">
        <v>3845</v>
      </c>
      <c r="AF614" s="5" t="s">
        <v>4481</v>
      </c>
      <c r="AG614" s="5" t="s">
        <v>4485</v>
      </c>
      <c r="AH614" s="5" t="s">
        <v>4488</v>
      </c>
      <c r="AI614" s="5" t="s">
        <v>4355</v>
      </c>
      <c r="AJ614" s="5" t="s">
        <v>4356</v>
      </c>
      <c r="AK614" s="5" t="s">
        <v>4392</v>
      </c>
      <c r="AL614" s="5" t="s">
        <v>3854</v>
      </c>
    </row>
    <row r="615" spans="1:38" x14ac:dyDescent="0.3">
      <c r="A615" s="4">
        <v>45716</v>
      </c>
      <c r="B615" s="5" t="s">
        <v>2207</v>
      </c>
      <c r="C615" s="5" t="s">
        <v>2208</v>
      </c>
      <c r="D615" s="5" t="s">
        <v>2209</v>
      </c>
      <c r="E615" s="5" t="s">
        <v>4494</v>
      </c>
      <c r="G615" s="5" t="s">
        <v>88</v>
      </c>
      <c r="H615" s="5" t="s">
        <v>456</v>
      </c>
      <c r="I615" s="5" t="s">
        <v>1814</v>
      </c>
      <c r="J615" s="5" t="s">
        <v>883</v>
      </c>
      <c r="K615" s="4">
        <v>41032</v>
      </c>
      <c r="L615" s="4">
        <v>41032</v>
      </c>
      <c r="M615" s="9">
        <f t="shared" si="81"/>
        <v>12</v>
      </c>
      <c r="N615" s="4" t="str">
        <f t="shared" si="83"/>
        <v>] 10 ; 15 ]</v>
      </c>
      <c r="O615" s="5" t="s">
        <v>3780</v>
      </c>
      <c r="P615" s="5" t="s">
        <v>3780</v>
      </c>
      <c r="Q615" s="5">
        <v>3</v>
      </c>
      <c r="R615" s="5" t="str">
        <f t="shared" si="84"/>
        <v>Qualification</v>
      </c>
      <c r="S615" s="5" t="s">
        <v>3789</v>
      </c>
      <c r="T615" s="4">
        <v>29532</v>
      </c>
      <c r="U615" s="5">
        <f t="shared" si="85"/>
        <v>1980</v>
      </c>
      <c r="V615" s="5" t="s">
        <v>3793</v>
      </c>
      <c r="W615" s="9">
        <f t="shared" si="82"/>
        <v>44</v>
      </c>
      <c r="X615" s="5" t="str">
        <f t="shared" si="86"/>
        <v>[40 - 44 ans]</v>
      </c>
      <c r="Y615" s="5" t="str">
        <f t="shared" si="87"/>
        <v xml:space="preserve"> Generation X </v>
      </c>
      <c r="Z615" s="9">
        <f t="shared" si="88"/>
        <v>16</v>
      </c>
      <c r="AA615" s="5" t="str">
        <f t="shared" si="89"/>
        <v>RAS</v>
      </c>
      <c r="AB615" s="5" t="s">
        <v>3813</v>
      </c>
      <c r="AC615" s="6" t="s">
        <v>3799</v>
      </c>
      <c r="AE615" s="5" t="s">
        <v>3844</v>
      </c>
      <c r="AF615" s="5" t="s">
        <v>4482</v>
      </c>
      <c r="AG615" s="5" t="s">
        <v>4485</v>
      </c>
      <c r="AH615" s="5" t="s">
        <v>4488</v>
      </c>
      <c r="AI615" s="5" t="s">
        <v>4188</v>
      </c>
      <c r="AJ615" s="5" t="s">
        <v>4068</v>
      </c>
      <c r="AK615" s="5" t="s">
        <v>4069</v>
      </c>
      <c r="AL615" s="5" t="s">
        <v>3858</v>
      </c>
    </row>
    <row r="616" spans="1:38" x14ac:dyDescent="0.3">
      <c r="A616" s="4">
        <v>45716</v>
      </c>
      <c r="B616" s="5" t="s">
        <v>2210</v>
      </c>
      <c r="C616" s="5" t="s">
        <v>2211</v>
      </c>
      <c r="D616" s="5" t="s">
        <v>2212</v>
      </c>
      <c r="E616" s="5" t="s">
        <v>4494</v>
      </c>
      <c r="G616" s="5" t="s">
        <v>39</v>
      </c>
      <c r="H616" s="5" t="s">
        <v>471</v>
      </c>
      <c r="I616" s="5" t="s">
        <v>1835</v>
      </c>
      <c r="J616" s="5" t="s">
        <v>48</v>
      </c>
      <c r="K616" s="4">
        <v>41044</v>
      </c>
      <c r="L616" s="4">
        <v>39767</v>
      </c>
      <c r="M616" s="9">
        <f t="shared" si="81"/>
        <v>16</v>
      </c>
      <c r="N616" s="4" t="str">
        <f t="shared" si="83"/>
        <v>] 15 ; +oo [</v>
      </c>
      <c r="O616" s="5" t="s">
        <v>3786</v>
      </c>
      <c r="P616" s="5" t="s">
        <v>3786</v>
      </c>
      <c r="Q616" s="5">
        <v>1</v>
      </c>
      <c r="R616" s="5" t="str">
        <f t="shared" si="84"/>
        <v>Specialisation</v>
      </c>
      <c r="S616" s="5" t="s">
        <v>3789</v>
      </c>
      <c r="T616" s="4">
        <v>29457</v>
      </c>
      <c r="U616" s="5">
        <f t="shared" si="85"/>
        <v>1980</v>
      </c>
      <c r="V616" s="5" t="s">
        <v>3793</v>
      </c>
      <c r="W616" s="9">
        <f t="shared" si="82"/>
        <v>44</v>
      </c>
      <c r="X616" s="5" t="str">
        <f t="shared" si="86"/>
        <v>[40 - 44 ans]</v>
      </c>
      <c r="Y616" s="5" t="str">
        <f t="shared" si="87"/>
        <v xml:space="preserve"> Generation X </v>
      </c>
      <c r="Z616" s="9">
        <f t="shared" si="88"/>
        <v>16</v>
      </c>
      <c r="AA616" s="5" t="str">
        <f t="shared" si="89"/>
        <v>RAS</v>
      </c>
      <c r="AB616" s="5" t="s">
        <v>3835</v>
      </c>
      <c r="AC616" s="6" t="s">
        <v>3800</v>
      </c>
      <c r="AE616" s="5" t="s">
        <v>3844</v>
      </c>
      <c r="AF616" s="5" t="s">
        <v>4482</v>
      </c>
      <c r="AG616" s="5" t="s">
        <v>4485</v>
      </c>
      <c r="AH616" s="5" t="s">
        <v>4489</v>
      </c>
      <c r="AI616" s="5" t="s">
        <v>4078</v>
      </c>
      <c r="AJ616" s="5" t="s">
        <v>4079</v>
      </c>
      <c r="AK616" s="5" t="s">
        <v>4080</v>
      </c>
      <c r="AL616" s="5" t="s">
        <v>3858</v>
      </c>
    </row>
    <row r="617" spans="1:38" x14ac:dyDescent="0.3">
      <c r="A617" s="4">
        <v>45716</v>
      </c>
      <c r="B617" s="5" t="s">
        <v>2213</v>
      </c>
      <c r="C617" s="5" t="s">
        <v>2214</v>
      </c>
      <c r="D617" s="5" t="s">
        <v>2215</v>
      </c>
      <c r="E617" s="5" t="s">
        <v>4494</v>
      </c>
      <c r="G617" s="5" t="s">
        <v>39</v>
      </c>
      <c r="H617" s="5" t="s">
        <v>2216</v>
      </c>
      <c r="I617" s="5" t="s">
        <v>120</v>
      </c>
      <c r="J617" s="5" t="s">
        <v>2821</v>
      </c>
      <c r="K617" s="4">
        <v>41061</v>
      </c>
      <c r="L617" s="4">
        <v>40112</v>
      </c>
      <c r="M617" s="9">
        <f t="shared" si="81"/>
        <v>15</v>
      </c>
      <c r="N617" s="4" t="str">
        <f t="shared" si="83"/>
        <v>] 10 ; 15 ]</v>
      </c>
      <c r="O617" s="5" t="s">
        <v>3782</v>
      </c>
      <c r="P617" s="5" t="s">
        <v>3782</v>
      </c>
      <c r="Q617" s="5">
        <v>1</v>
      </c>
      <c r="R617" s="5" t="str">
        <f t="shared" si="84"/>
        <v>Management &amp; Expertise</v>
      </c>
      <c r="S617" s="5" t="s">
        <v>3789</v>
      </c>
      <c r="T617" s="4">
        <v>29452</v>
      </c>
      <c r="U617" s="5">
        <f t="shared" si="85"/>
        <v>1980</v>
      </c>
      <c r="V617" s="5" t="s">
        <v>3793</v>
      </c>
      <c r="W617" s="9">
        <f t="shared" si="82"/>
        <v>44</v>
      </c>
      <c r="X617" s="5" t="str">
        <f t="shared" si="86"/>
        <v>[40 - 44 ans]</v>
      </c>
      <c r="Y617" s="5" t="str">
        <f t="shared" si="87"/>
        <v xml:space="preserve"> Generation X </v>
      </c>
      <c r="Z617" s="9">
        <f t="shared" si="88"/>
        <v>16</v>
      </c>
      <c r="AA617" s="5" t="str">
        <f t="shared" si="89"/>
        <v>RAS</v>
      </c>
      <c r="AB617" s="5" t="s">
        <v>3807</v>
      </c>
      <c r="AC617" s="6" t="s">
        <v>3799</v>
      </c>
      <c r="AE617" s="5" t="s">
        <v>3845</v>
      </c>
      <c r="AF617" s="5" t="s">
        <v>4481</v>
      </c>
      <c r="AG617" s="5" t="s">
        <v>4485</v>
      </c>
      <c r="AH617" s="5" t="s">
        <v>4489</v>
      </c>
      <c r="AI617" s="5" t="s">
        <v>4011</v>
      </c>
      <c r="AJ617" s="5" t="s">
        <v>4012</v>
      </c>
      <c r="AK617" s="5" t="s">
        <v>3959</v>
      </c>
      <c r="AL617" s="5" t="s">
        <v>3858</v>
      </c>
    </row>
    <row r="618" spans="1:38" x14ac:dyDescent="0.3">
      <c r="A618" s="4">
        <v>45716</v>
      </c>
      <c r="B618" s="5" t="s">
        <v>2217</v>
      </c>
      <c r="C618" s="5" t="s">
        <v>2218</v>
      </c>
      <c r="D618" s="5" t="s">
        <v>2219</v>
      </c>
      <c r="E618" s="5" t="s">
        <v>4494</v>
      </c>
      <c r="G618" s="5" t="s">
        <v>88</v>
      </c>
      <c r="H618" s="5" t="s">
        <v>456</v>
      </c>
      <c r="I618" s="5" t="s">
        <v>910</v>
      </c>
      <c r="J618" s="5" t="s">
        <v>883</v>
      </c>
      <c r="K618" s="4">
        <v>41056</v>
      </c>
      <c r="L618" s="4">
        <v>41061</v>
      </c>
      <c r="M618" s="9">
        <f t="shared" si="81"/>
        <v>12</v>
      </c>
      <c r="N618" s="4" t="str">
        <f t="shared" si="83"/>
        <v>] 10 ; 15 ]</v>
      </c>
      <c r="O618" s="5" t="s">
        <v>3780</v>
      </c>
      <c r="P618" s="5" t="s">
        <v>3780</v>
      </c>
      <c r="Q618" s="5">
        <v>3</v>
      </c>
      <c r="R618" s="5" t="str">
        <f t="shared" si="84"/>
        <v>Qualification</v>
      </c>
      <c r="S618" s="5" t="s">
        <v>3790</v>
      </c>
      <c r="T618" s="4">
        <v>29832</v>
      </c>
      <c r="U618" s="5">
        <f t="shared" si="85"/>
        <v>1981</v>
      </c>
      <c r="V618" s="5" t="s">
        <v>3792</v>
      </c>
      <c r="W618" s="9">
        <f t="shared" si="82"/>
        <v>43</v>
      </c>
      <c r="X618" s="5" t="str">
        <f t="shared" si="86"/>
        <v>[40 - 44 ans]</v>
      </c>
      <c r="Y618" s="5" t="str">
        <f t="shared" si="87"/>
        <v xml:space="preserve"> Mellenials </v>
      </c>
      <c r="Z618" s="9">
        <f t="shared" si="88"/>
        <v>17</v>
      </c>
      <c r="AA618" s="5" t="str">
        <f t="shared" si="89"/>
        <v>RAS</v>
      </c>
      <c r="AB618" s="5" t="s">
        <v>3815</v>
      </c>
      <c r="AC618" s="6" t="s">
        <v>3799</v>
      </c>
      <c r="AE618" s="5" t="s">
        <v>3844</v>
      </c>
      <c r="AF618" s="5" t="s">
        <v>4482</v>
      </c>
      <c r="AG618" s="5" t="s">
        <v>4485</v>
      </c>
      <c r="AH618" s="5" t="s">
        <v>4488</v>
      </c>
      <c r="AI618" s="5" t="s">
        <v>4152</v>
      </c>
      <c r="AJ618" s="5" t="s">
        <v>4153</v>
      </c>
      <c r="AK618" s="5" t="s">
        <v>4154</v>
      </c>
      <c r="AL618" s="5" t="s">
        <v>3858</v>
      </c>
    </row>
    <row r="619" spans="1:38" x14ac:dyDescent="0.3">
      <c r="A619" s="4">
        <v>45716</v>
      </c>
      <c r="B619" s="5" t="s">
        <v>2220</v>
      </c>
      <c r="C619" s="5" t="s">
        <v>2221</v>
      </c>
      <c r="D619" s="5" t="s">
        <v>2222</v>
      </c>
      <c r="E619" s="5" t="s">
        <v>4494</v>
      </c>
      <c r="G619" s="5" t="s">
        <v>88</v>
      </c>
      <c r="H619" s="5" t="s">
        <v>456</v>
      </c>
      <c r="I619" s="5" t="s">
        <v>1709</v>
      </c>
      <c r="J619" s="5" t="s">
        <v>883</v>
      </c>
      <c r="K619" s="4">
        <v>41093</v>
      </c>
      <c r="L619" s="4">
        <v>41093</v>
      </c>
      <c r="M619" s="9">
        <f t="shared" si="81"/>
        <v>12</v>
      </c>
      <c r="N619" s="4" t="str">
        <f t="shared" si="83"/>
        <v>] 10 ; 15 ]</v>
      </c>
      <c r="O619" s="5" t="s">
        <v>3780</v>
      </c>
      <c r="P619" s="5" t="s">
        <v>3780</v>
      </c>
      <c r="Q619" s="5">
        <v>2</v>
      </c>
      <c r="R619" s="5" t="str">
        <f t="shared" si="84"/>
        <v>Qualification</v>
      </c>
      <c r="S619" s="5" t="s">
        <v>3790</v>
      </c>
      <c r="T619" s="4">
        <v>30453</v>
      </c>
      <c r="U619" s="5">
        <f t="shared" si="85"/>
        <v>1983</v>
      </c>
      <c r="V619" s="5" t="s">
        <v>3793</v>
      </c>
      <c r="W619" s="9">
        <f t="shared" si="82"/>
        <v>41</v>
      </c>
      <c r="X619" s="5" t="str">
        <f t="shared" si="86"/>
        <v>[40 - 44 ans]</v>
      </c>
      <c r="Y619" s="5" t="str">
        <f t="shared" si="87"/>
        <v xml:space="preserve"> Mellenials </v>
      </c>
      <c r="Z619" s="9">
        <f t="shared" si="88"/>
        <v>19</v>
      </c>
      <c r="AA619" s="5" t="str">
        <f t="shared" si="89"/>
        <v>RAS</v>
      </c>
      <c r="AB619" s="5" t="s">
        <v>3835</v>
      </c>
      <c r="AC619" s="6" t="s">
        <v>3800</v>
      </c>
      <c r="AE619" s="5" t="s">
        <v>3844</v>
      </c>
      <c r="AF619" s="5" t="s">
        <v>4482</v>
      </c>
      <c r="AG619" s="5" t="s">
        <v>4485</v>
      </c>
      <c r="AH619" s="5" t="s">
        <v>4488</v>
      </c>
      <c r="AI619" s="5" t="s">
        <v>4350</v>
      </c>
      <c r="AJ619" s="5" t="s">
        <v>4351</v>
      </c>
      <c r="AK619" s="5" t="s">
        <v>4352</v>
      </c>
      <c r="AL619" s="5" t="s">
        <v>3858</v>
      </c>
    </row>
    <row r="620" spans="1:38" x14ac:dyDescent="0.3">
      <c r="A620" s="4">
        <v>45716</v>
      </c>
      <c r="B620" s="5" t="s">
        <v>2223</v>
      </c>
      <c r="C620" s="5" t="s">
        <v>2224</v>
      </c>
      <c r="D620" s="5" t="s">
        <v>2225</v>
      </c>
      <c r="E620" s="5" t="s">
        <v>4494</v>
      </c>
      <c r="G620" s="5" t="s">
        <v>243</v>
      </c>
      <c r="H620" s="5" t="s">
        <v>2226</v>
      </c>
      <c r="I620" s="5" t="s">
        <v>1272</v>
      </c>
      <c r="J620" s="5" t="s">
        <v>1857</v>
      </c>
      <c r="K620" s="4">
        <v>41106</v>
      </c>
      <c r="L620" s="4">
        <v>41106</v>
      </c>
      <c r="M620" s="9">
        <f t="shared" si="81"/>
        <v>12</v>
      </c>
      <c r="N620" s="4" t="str">
        <f t="shared" si="83"/>
        <v>] 10 ; 15 ]</v>
      </c>
      <c r="O620" s="5" t="s">
        <v>3782</v>
      </c>
      <c r="P620" s="5" t="s">
        <v>3782</v>
      </c>
      <c r="Q620" s="5">
        <v>1</v>
      </c>
      <c r="R620" s="5" t="str">
        <f t="shared" si="84"/>
        <v>Management &amp; Expertise</v>
      </c>
      <c r="S620" s="5" t="s">
        <v>3789</v>
      </c>
      <c r="T620" s="4">
        <v>31004</v>
      </c>
      <c r="U620" s="5">
        <f t="shared" si="85"/>
        <v>1984</v>
      </c>
      <c r="V620" s="5" t="s">
        <v>3792</v>
      </c>
      <c r="W620" s="9">
        <f t="shared" si="82"/>
        <v>40</v>
      </c>
      <c r="X620" s="5" t="str">
        <f t="shared" si="86"/>
        <v>[40 - 44 ans]</v>
      </c>
      <c r="Y620" s="5" t="str">
        <f t="shared" si="87"/>
        <v xml:space="preserve"> Mellenials </v>
      </c>
      <c r="Z620" s="9">
        <f t="shared" si="88"/>
        <v>20</v>
      </c>
      <c r="AA620" s="5" t="str">
        <f t="shared" si="89"/>
        <v>RAS</v>
      </c>
      <c r="AB620" s="5" t="s">
        <v>3806</v>
      </c>
      <c r="AC620" s="6" t="s">
        <v>3799</v>
      </c>
      <c r="AE620" s="5" t="s">
        <v>3845</v>
      </c>
      <c r="AF620" s="5" t="s">
        <v>4481</v>
      </c>
      <c r="AG620" s="5" t="s">
        <v>4485</v>
      </c>
      <c r="AH620" s="5" t="s">
        <v>4487</v>
      </c>
      <c r="AI620" s="5" t="s">
        <v>4109</v>
      </c>
      <c r="AJ620" s="5" t="s">
        <v>4110</v>
      </c>
      <c r="AK620" s="5" t="s">
        <v>3977</v>
      </c>
      <c r="AL620" s="5" t="s">
        <v>3854</v>
      </c>
    </row>
    <row r="621" spans="1:38" x14ac:dyDescent="0.3">
      <c r="A621" s="4">
        <v>45716</v>
      </c>
      <c r="B621" s="5" t="s">
        <v>2227</v>
      </c>
      <c r="C621" s="5" t="s">
        <v>2228</v>
      </c>
      <c r="D621" s="5" t="s">
        <v>2229</v>
      </c>
      <c r="E621" s="5" t="s">
        <v>4494</v>
      </c>
      <c r="G621" s="5" t="s">
        <v>88</v>
      </c>
      <c r="H621" s="5" t="s">
        <v>2230</v>
      </c>
      <c r="I621" s="5" t="s">
        <v>2724</v>
      </c>
      <c r="J621" s="5" t="s">
        <v>182</v>
      </c>
      <c r="K621" s="4">
        <v>41107</v>
      </c>
      <c r="L621" s="4">
        <v>41113</v>
      </c>
      <c r="M621" s="9">
        <f t="shared" si="81"/>
        <v>12</v>
      </c>
      <c r="N621" s="4" t="str">
        <f t="shared" si="83"/>
        <v>] 10 ; 15 ]</v>
      </c>
      <c r="O621" s="5" t="s">
        <v>3782</v>
      </c>
      <c r="P621" s="5" t="s">
        <v>3784</v>
      </c>
      <c r="Q621" s="5">
        <v>1</v>
      </c>
      <c r="R621" s="5" t="str">
        <f t="shared" si="84"/>
        <v>Management &amp; Expertise</v>
      </c>
      <c r="S621" s="5" t="s">
        <v>3789</v>
      </c>
      <c r="T621" s="4">
        <v>27907</v>
      </c>
      <c r="U621" s="5">
        <f t="shared" si="85"/>
        <v>1976</v>
      </c>
      <c r="V621" s="5" t="s">
        <v>3793</v>
      </c>
      <c r="W621" s="9">
        <f t="shared" si="82"/>
        <v>48</v>
      </c>
      <c r="X621" s="5" t="str">
        <f t="shared" si="86"/>
        <v>[45 - 49 ans]</v>
      </c>
      <c r="Y621" s="5" t="str">
        <f t="shared" si="87"/>
        <v xml:space="preserve"> Generation X </v>
      </c>
      <c r="Z621" s="9">
        <f t="shared" si="88"/>
        <v>12</v>
      </c>
      <c r="AA621" s="5" t="str">
        <f t="shared" si="89"/>
        <v>RAS</v>
      </c>
      <c r="AB621" s="5" t="s">
        <v>3806</v>
      </c>
      <c r="AC621" s="6" t="s">
        <v>3799</v>
      </c>
      <c r="AE621" s="5" t="s">
        <v>3845</v>
      </c>
      <c r="AF621" s="5" t="s">
        <v>4481</v>
      </c>
      <c r="AG621" s="5" t="s">
        <v>4485</v>
      </c>
      <c r="AH621" s="5" t="s">
        <v>4488</v>
      </c>
      <c r="AI621" s="5" t="s">
        <v>4214</v>
      </c>
      <c r="AJ621" s="5" t="s">
        <v>4369</v>
      </c>
      <c r="AK621" s="5" t="s">
        <v>4215</v>
      </c>
      <c r="AL621" s="5" t="s">
        <v>3854</v>
      </c>
    </row>
    <row r="622" spans="1:38" x14ac:dyDescent="0.3">
      <c r="A622" s="4">
        <v>45716</v>
      </c>
      <c r="B622" s="5" t="s">
        <v>2231</v>
      </c>
      <c r="C622" s="5" t="s">
        <v>2232</v>
      </c>
      <c r="D622" s="5" t="s">
        <v>2233</v>
      </c>
      <c r="E622" s="5" t="s">
        <v>4494</v>
      </c>
      <c r="G622" s="5" t="s">
        <v>78</v>
      </c>
      <c r="H622" s="5" t="s">
        <v>2066</v>
      </c>
      <c r="I622" s="5" t="s">
        <v>3225</v>
      </c>
      <c r="J622" s="5" t="s">
        <v>3762</v>
      </c>
      <c r="K622" s="4">
        <v>41091</v>
      </c>
      <c r="L622" s="4">
        <v>40117</v>
      </c>
      <c r="M622" s="9">
        <f t="shared" si="81"/>
        <v>15</v>
      </c>
      <c r="N622" s="4" t="str">
        <f t="shared" si="83"/>
        <v>] 10 ; 15 ]</v>
      </c>
      <c r="O622" s="5" t="s">
        <v>3788</v>
      </c>
      <c r="P622" s="5" t="s">
        <v>3780</v>
      </c>
      <c r="Q622" s="5">
        <v>1</v>
      </c>
      <c r="R622" s="5" t="str">
        <f t="shared" si="84"/>
        <v>Qualification</v>
      </c>
      <c r="S622" s="5" t="s">
        <v>3790</v>
      </c>
      <c r="T622" s="4">
        <v>30239</v>
      </c>
      <c r="U622" s="5">
        <f t="shared" si="85"/>
        <v>1982</v>
      </c>
      <c r="V622" s="5" t="s">
        <v>3793</v>
      </c>
      <c r="W622" s="9">
        <f t="shared" si="82"/>
        <v>42</v>
      </c>
      <c r="X622" s="5" t="str">
        <f t="shared" si="86"/>
        <v>[40 - 44 ans]</v>
      </c>
      <c r="Y622" s="5" t="str">
        <f t="shared" si="87"/>
        <v xml:space="preserve"> Mellenials </v>
      </c>
      <c r="Z622" s="9">
        <f t="shared" si="88"/>
        <v>18</v>
      </c>
      <c r="AA622" s="5" t="str">
        <f t="shared" si="89"/>
        <v>RAS</v>
      </c>
      <c r="AB622" s="5" t="s">
        <v>3808</v>
      </c>
      <c r="AC622" s="6" t="s">
        <v>3799</v>
      </c>
      <c r="AE622" s="5" t="s">
        <v>3844</v>
      </c>
      <c r="AF622" s="5" t="s">
        <v>4482</v>
      </c>
      <c r="AG622" s="5" t="s">
        <v>4485</v>
      </c>
      <c r="AH622" s="5" t="s">
        <v>4488</v>
      </c>
      <c r="AI622" s="5" t="s">
        <v>4257</v>
      </c>
      <c r="AJ622" s="5" t="s">
        <v>4258</v>
      </c>
      <c r="AK622" s="5" t="s">
        <v>4090</v>
      </c>
      <c r="AL622" s="5" t="s">
        <v>3858</v>
      </c>
    </row>
    <row r="623" spans="1:38" x14ac:dyDescent="0.3">
      <c r="A623" s="4">
        <v>45716</v>
      </c>
      <c r="B623" s="5" t="s">
        <v>2234</v>
      </c>
      <c r="C623" s="5" t="s">
        <v>2235</v>
      </c>
      <c r="D623" s="5" t="s">
        <v>2236</v>
      </c>
      <c r="E623" s="5" t="s">
        <v>4494</v>
      </c>
      <c r="G623" s="5" t="s">
        <v>39</v>
      </c>
      <c r="H623" s="5" t="s">
        <v>2237</v>
      </c>
      <c r="I623" s="5" t="s">
        <v>393</v>
      </c>
      <c r="J623" s="5" t="s">
        <v>153</v>
      </c>
      <c r="K623" s="4">
        <v>41122</v>
      </c>
      <c r="L623" s="4">
        <v>41122</v>
      </c>
      <c r="M623" s="9">
        <f t="shared" si="81"/>
        <v>12</v>
      </c>
      <c r="N623" s="4" t="str">
        <f t="shared" si="83"/>
        <v>] 10 ; 15 ]</v>
      </c>
      <c r="O623" s="5" t="s">
        <v>3782</v>
      </c>
      <c r="P623" s="5" t="s">
        <v>3782</v>
      </c>
      <c r="Q623" s="5">
        <v>1</v>
      </c>
      <c r="R623" s="5" t="str">
        <f t="shared" si="84"/>
        <v>Management &amp; Expertise</v>
      </c>
      <c r="S623" s="5" t="s">
        <v>3789</v>
      </c>
      <c r="T623" s="4">
        <v>32058</v>
      </c>
      <c r="U623" s="5">
        <f t="shared" si="85"/>
        <v>1987</v>
      </c>
      <c r="V623" s="5" t="s">
        <v>3793</v>
      </c>
      <c r="W623" s="9">
        <f t="shared" si="82"/>
        <v>37</v>
      </c>
      <c r="X623" s="5" t="str">
        <f t="shared" si="86"/>
        <v>[35 - 39 ans ]</v>
      </c>
      <c r="Y623" s="5" t="str">
        <f t="shared" si="87"/>
        <v xml:space="preserve"> Mellenials </v>
      </c>
      <c r="Z623" s="9">
        <f t="shared" si="88"/>
        <v>23</v>
      </c>
      <c r="AA623" s="5" t="str">
        <f t="shared" si="89"/>
        <v>RAS</v>
      </c>
      <c r="AB623" s="5" t="s">
        <v>3807</v>
      </c>
      <c r="AC623" s="6" t="s">
        <v>3799</v>
      </c>
      <c r="AE623" s="5" t="s">
        <v>3844</v>
      </c>
      <c r="AF623" s="5" t="s">
        <v>4481</v>
      </c>
      <c r="AG623" s="5" t="s">
        <v>4485</v>
      </c>
      <c r="AH623" s="5" t="s">
        <v>4489</v>
      </c>
      <c r="AI623" s="5" t="s">
        <v>4044</v>
      </c>
      <c r="AJ623" s="5" t="s">
        <v>4045</v>
      </c>
      <c r="AK623" s="5" t="s">
        <v>4046</v>
      </c>
      <c r="AL623" s="5" t="s">
        <v>3858</v>
      </c>
    </row>
    <row r="624" spans="1:38" x14ac:dyDescent="0.3">
      <c r="A624" s="4">
        <v>45716</v>
      </c>
      <c r="B624" s="5" t="s">
        <v>2238</v>
      </c>
      <c r="C624" s="5" t="s">
        <v>2239</v>
      </c>
      <c r="D624" s="5" t="s">
        <v>2240</v>
      </c>
      <c r="E624" s="5" t="s">
        <v>4494</v>
      </c>
      <c r="G624" s="5" t="s">
        <v>137</v>
      </c>
      <c r="H624" s="5" t="s">
        <v>2241</v>
      </c>
      <c r="I624" s="5" t="s">
        <v>290</v>
      </c>
      <c r="J624" s="5" t="s">
        <v>1346</v>
      </c>
      <c r="K624" s="4">
        <v>41122</v>
      </c>
      <c r="L624" s="4">
        <v>41122</v>
      </c>
      <c r="M624" s="9">
        <f t="shared" si="81"/>
        <v>12</v>
      </c>
      <c r="N624" s="4" t="str">
        <f t="shared" si="83"/>
        <v>] 10 ; 15 ]</v>
      </c>
      <c r="O624" s="5" t="s">
        <v>3785</v>
      </c>
      <c r="P624" s="5" t="s">
        <v>3785</v>
      </c>
      <c r="Q624" s="5">
        <v>1</v>
      </c>
      <c r="R624" s="5" t="str">
        <f t="shared" si="84"/>
        <v>Specialisation</v>
      </c>
      <c r="S624" s="5" t="s">
        <v>3789</v>
      </c>
      <c r="T624" s="4">
        <v>29308</v>
      </c>
      <c r="U624" s="5">
        <f t="shared" si="85"/>
        <v>1980</v>
      </c>
      <c r="V624" s="5" t="s">
        <v>3793</v>
      </c>
      <c r="W624" s="9">
        <f t="shared" si="82"/>
        <v>44</v>
      </c>
      <c r="X624" s="5" t="str">
        <f t="shared" si="86"/>
        <v>[40 - 44 ans]</v>
      </c>
      <c r="Y624" s="5" t="str">
        <f t="shared" si="87"/>
        <v xml:space="preserve"> Generation X </v>
      </c>
      <c r="Z624" s="9">
        <f t="shared" si="88"/>
        <v>16</v>
      </c>
      <c r="AA624" s="5" t="str">
        <f t="shared" si="89"/>
        <v>RAS</v>
      </c>
      <c r="AB624" s="5" t="s">
        <v>3812</v>
      </c>
      <c r="AC624" s="6" t="s">
        <v>3799</v>
      </c>
      <c r="AE624" s="5" t="s">
        <v>3845</v>
      </c>
      <c r="AF624" s="5" t="s">
        <v>4481</v>
      </c>
      <c r="AG624" s="5" t="s">
        <v>4485</v>
      </c>
      <c r="AH624" s="5" t="s">
        <v>4487</v>
      </c>
      <c r="AI624" s="5" t="s">
        <v>4337</v>
      </c>
      <c r="AJ624" s="5" t="s">
        <v>4338</v>
      </c>
      <c r="AK624" s="5" t="s">
        <v>4066</v>
      </c>
      <c r="AL624" s="5" t="s">
        <v>3854</v>
      </c>
    </row>
    <row r="625" spans="1:38" x14ac:dyDescent="0.3">
      <c r="A625" s="4">
        <v>45716</v>
      </c>
      <c r="B625" s="5" t="s">
        <v>2242</v>
      </c>
      <c r="C625" s="5" t="s">
        <v>2243</v>
      </c>
      <c r="D625" s="5" t="s">
        <v>2244</v>
      </c>
      <c r="E625" s="5" t="s">
        <v>4494</v>
      </c>
      <c r="G625" s="5" t="s">
        <v>88</v>
      </c>
      <c r="H625" s="5" t="s">
        <v>2245</v>
      </c>
      <c r="I625" s="5" t="s">
        <v>1020</v>
      </c>
      <c r="J625" s="5" t="s">
        <v>2739</v>
      </c>
      <c r="K625" s="4">
        <v>41155</v>
      </c>
      <c r="L625" s="4">
        <v>41155</v>
      </c>
      <c r="M625" s="9">
        <f t="shared" si="81"/>
        <v>12</v>
      </c>
      <c r="N625" s="4" t="str">
        <f t="shared" si="83"/>
        <v>] 10 ; 15 ]</v>
      </c>
      <c r="O625" s="5" t="s">
        <v>3786</v>
      </c>
      <c r="P625" s="5" t="s">
        <v>3783</v>
      </c>
      <c r="Q625" s="5">
        <v>1</v>
      </c>
      <c r="R625" s="5" t="str">
        <f t="shared" si="84"/>
        <v>Specialisation</v>
      </c>
      <c r="S625" s="5" t="s">
        <v>3790</v>
      </c>
      <c r="T625" s="4">
        <v>30100</v>
      </c>
      <c r="U625" s="5">
        <f t="shared" si="85"/>
        <v>1982</v>
      </c>
      <c r="V625" s="5" t="s">
        <v>3793</v>
      </c>
      <c r="W625" s="9">
        <f t="shared" si="82"/>
        <v>42</v>
      </c>
      <c r="X625" s="5" t="str">
        <f t="shared" si="86"/>
        <v>[40 - 44 ans]</v>
      </c>
      <c r="Y625" s="5" t="str">
        <f t="shared" si="87"/>
        <v xml:space="preserve"> Mellenials </v>
      </c>
      <c r="Z625" s="9">
        <f t="shared" si="88"/>
        <v>18</v>
      </c>
      <c r="AA625" s="5" t="str">
        <f t="shared" si="89"/>
        <v>RAS</v>
      </c>
      <c r="AB625" s="5" t="s">
        <v>3806</v>
      </c>
      <c r="AC625" s="6" t="s">
        <v>3799</v>
      </c>
      <c r="AE625" s="5" t="s">
        <v>3844</v>
      </c>
      <c r="AF625" s="5" t="s">
        <v>4482</v>
      </c>
      <c r="AG625" s="5" t="s">
        <v>4485</v>
      </c>
      <c r="AH625" s="5" t="s">
        <v>4488</v>
      </c>
      <c r="AI625" s="5" t="s">
        <v>4219</v>
      </c>
      <c r="AJ625" s="5" t="s">
        <v>4393</v>
      </c>
      <c r="AK625" s="5">
        <v>11140</v>
      </c>
      <c r="AL625" s="5" t="s">
        <v>3858</v>
      </c>
    </row>
    <row r="626" spans="1:38" x14ac:dyDescent="0.3">
      <c r="A626" s="4">
        <v>45716</v>
      </c>
      <c r="B626" s="5" t="s">
        <v>2246</v>
      </c>
      <c r="C626" s="5" t="s">
        <v>2247</v>
      </c>
      <c r="D626" s="5" t="s">
        <v>2248</v>
      </c>
      <c r="E626" s="5" t="s">
        <v>4494</v>
      </c>
      <c r="G626" s="5" t="s">
        <v>88</v>
      </c>
      <c r="H626" s="5" t="s">
        <v>760</v>
      </c>
      <c r="I626" s="5" t="s">
        <v>1986</v>
      </c>
      <c r="J626" s="5" t="s">
        <v>2724</v>
      </c>
      <c r="K626" s="4">
        <v>41155</v>
      </c>
      <c r="L626" s="4">
        <v>41155</v>
      </c>
      <c r="M626" s="9">
        <f t="shared" si="81"/>
        <v>12</v>
      </c>
      <c r="N626" s="4" t="str">
        <f t="shared" si="83"/>
        <v>] 10 ; 15 ]</v>
      </c>
      <c r="O626" s="5" t="s">
        <v>3783</v>
      </c>
      <c r="P626" s="5" t="s">
        <v>3783</v>
      </c>
      <c r="Q626" s="5">
        <v>2</v>
      </c>
      <c r="R626" s="5" t="str">
        <f t="shared" si="84"/>
        <v>Specialisation</v>
      </c>
      <c r="S626" s="5" t="s">
        <v>3789</v>
      </c>
      <c r="T626" s="4">
        <v>28335</v>
      </c>
      <c r="U626" s="5">
        <f t="shared" si="85"/>
        <v>1977</v>
      </c>
      <c r="V626" s="5" t="s">
        <v>3793</v>
      </c>
      <c r="W626" s="9">
        <f t="shared" si="82"/>
        <v>47</v>
      </c>
      <c r="X626" s="5" t="str">
        <f t="shared" si="86"/>
        <v>[45 - 49 ans]</v>
      </c>
      <c r="Y626" s="5" t="str">
        <f t="shared" si="87"/>
        <v xml:space="preserve"> Generation X </v>
      </c>
      <c r="Z626" s="9">
        <f t="shared" si="88"/>
        <v>13</v>
      </c>
      <c r="AA626" s="5" t="str">
        <f t="shared" si="89"/>
        <v>RAS</v>
      </c>
      <c r="AB626" s="5" t="s">
        <v>3806</v>
      </c>
      <c r="AC626" s="6" t="s">
        <v>3799</v>
      </c>
      <c r="AE626" s="5" t="s">
        <v>3844</v>
      </c>
      <c r="AF626" s="5" t="s">
        <v>4482</v>
      </c>
      <c r="AG626" s="5" t="s">
        <v>4485</v>
      </c>
      <c r="AH626" s="5" t="s">
        <v>4488</v>
      </c>
      <c r="AI626" s="5" t="s">
        <v>4189</v>
      </c>
      <c r="AJ626" s="5" t="s">
        <v>4190</v>
      </c>
      <c r="AK626" s="5" t="s">
        <v>3943</v>
      </c>
      <c r="AL626" s="5" t="s">
        <v>3858</v>
      </c>
    </row>
    <row r="627" spans="1:38" x14ac:dyDescent="0.3">
      <c r="A627" s="4">
        <v>45716</v>
      </c>
      <c r="B627" s="5" t="s">
        <v>2249</v>
      </c>
      <c r="C627" s="5" t="s">
        <v>2250</v>
      </c>
      <c r="D627" s="5" t="s">
        <v>2251</v>
      </c>
      <c r="E627" s="5" t="s">
        <v>4494</v>
      </c>
      <c r="G627" s="5" t="s">
        <v>39</v>
      </c>
      <c r="H627" s="5" t="s">
        <v>692</v>
      </c>
      <c r="I627" s="5" t="s">
        <v>2399</v>
      </c>
      <c r="J627" s="5" t="s">
        <v>48</v>
      </c>
      <c r="K627" s="4">
        <v>41162</v>
      </c>
      <c r="L627" s="4">
        <v>41162</v>
      </c>
      <c r="M627" s="9">
        <f t="shared" si="81"/>
        <v>12</v>
      </c>
      <c r="N627" s="4" t="str">
        <f t="shared" si="83"/>
        <v>] 10 ; 15 ]</v>
      </c>
      <c r="O627" s="5" t="s">
        <v>3786</v>
      </c>
      <c r="P627" s="5" t="s">
        <v>3786</v>
      </c>
      <c r="Q627" s="5">
        <v>1</v>
      </c>
      <c r="R627" s="5" t="str">
        <f t="shared" si="84"/>
        <v>Specialisation</v>
      </c>
      <c r="S627" s="5" t="s">
        <v>3789</v>
      </c>
      <c r="T627" s="4">
        <v>32346</v>
      </c>
      <c r="U627" s="5">
        <f t="shared" si="85"/>
        <v>1988</v>
      </c>
      <c r="V627" s="5" t="s">
        <v>3793</v>
      </c>
      <c r="W627" s="9">
        <f t="shared" si="82"/>
        <v>36</v>
      </c>
      <c r="X627" s="5" t="str">
        <f t="shared" si="86"/>
        <v>[35 - 39 ans ]</v>
      </c>
      <c r="Y627" s="5" t="str">
        <f t="shared" si="87"/>
        <v xml:space="preserve"> Mellenials </v>
      </c>
      <c r="Z627" s="9">
        <f t="shared" si="88"/>
        <v>24</v>
      </c>
      <c r="AA627" s="5" t="str">
        <f t="shared" si="89"/>
        <v>RAS</v>
      </c>
      <c r="AB627" s="5" t="s">
        <v>3807</v>
      </c>
      <c r="AC627" s="6" t="s">
        <v>3799</v>
      </c>
      <c r="AE627" s="5" t="s">
        <v>3844</v>
      </c>
      <c r="AF627" s="5" t="s">
        <v>4482</v>
      </c>
      <c r="AG627" s="5" t="s">
        <v>4485</v>
      </c>
      <c r="AH627" s="5" t="s">
        <v>4489</v>
      </c>
      <c r="AI627" s="5" t="s">
        <v>4172</v>
      </c>
      <c r="AJ627" s="5" t="s">
        <v>4173</v>
      </c>
      <c r="AK627" s="5" t="s">
        <v>4080</v>
      </c>
      <c r="AL627" s="5" t="s">
        <v>3858</v>
      </c>
    </row>
    <row r="628" spans="1:38" x14ac:dyDescent="0.3">
      <c r="A628" s="4">
        <v>45716</v>
      </c>
      <c r="B628" s="5" t="s">
        <v>2252</v>
      </c>
      <c r="C628" s="5" t="s">
        <v>2253</v>
      </c>
      <c r="D628" s="5" t="s">
        <v>2254</v>
      </c>
      <c r="E628" s="5" t="s">
        <v>4494</v>
      </c>
      <c r="G628" s="5" t="s">
        <v>787</v>
      </c>
      <c r="H628" s="5" t="s">
        <v>2255</v>
      </c>
      <c r="I628" s="5" t="s">
        <v>3419</v>
      </c>
      <c r="J628" s="5" t="s">
        <v>2841</v>
      </c>
      <c r="K628" s="4">
        <v>41153</v>
      </c>
      <c r="L628" s="4">
        <v>41153</v>
      </c>
      <c r="M628" s="9">
        <f t="shared" si="81"/>
        <v>12</v>
      </c>
      <c r="N628" s="4" t="str">
        <f t="shared" si="83"/>
        <v>] 10 ; 15 ]</v>
      </c>
      <c r="O628" s="5" t="s">
        <v>3785</v>
      </c>
      <c r="P628" s="5" t="s">
        <v>3785</v>
      </c>
      <c r="Q628" s="5">
        <v>1</v>
      </c>
      <c r="R628" s="5" t="str">
        <f t="shared" si="84"/>
        <v>Specialisation</v>
      </c>
      <c r="S628" s="5" t="s">
        <v>3789</v>
      </c>
      <c r="T628" s="4">
        <v>31078</v>
      </c>
      <c r="U628" s="5">
        <f t="shared" si="85"/>
        <v>1985</v>
      </c>
      <c r="V628" s="5" t="s">
        <v>3793</v>
      </c>
      <c r="W628" s="9">
        <f t="shared" si="82"/>
        <v>40</v>
      </c>
      <c r="X628" s="5" t="str">
        <f t="shared" si="86"/>
        <v>[40 - 44 ans]</v>
      </c>
      <c r="Y628" s="5" t="str">
        <f t="shared" si="87"/>
        <v xml:space="preserve"> Mellenials </v>
      </c>
      <c r="Z628" s="9">
        <f t="shared" si="88"/>
        <v>20</v>
      </c>
      <c r="AA628" s="5" t="str">
        <f t="shared" si="89"/>
        <v>RAS</v>
      </c>
      <c r="AB628" s="5" t="s">
        <v>3806</v>
      </c>
      <c r="AC628" s="6" t="s">
        <v>3799</v>
      </c>
      <c r="AE628" s="5" t="s">
        <v>3845</v>
      </c>
      <c r="AF628" s="5" t="s">
        <v>4481</v>
      </c>
      <c r="AG628" s="5" t="s">
        <v>4485</v>
      </c>
      <c r="AH628" s="5" t="s">
        <v>4487</v>
      </c>
      <c r="AI628" s="5" t="s">
        <v>4259</v>
      </c>
      <c r="AJ628" s="5" t="s">
        <v>4260</v>
      </c>
      <c r="AK628" s="5" t="s">
        <v>4195</v>
      </c>
      <c r="AL628" s="5" t="s">
        <v>3854</v>
      </c>
    </row>
    <row r="629" spans="1:38" x14ac:dyDescent="0.3">
      <c r="A629" s="4">
        <v>45716</v>
      </c>
      <c r="B629" s="5" t="s">
        <v>2256</v>
      </c>
      <c r="C629" s="5" t="s">
        <v>2257</v>
      </c>
      <c r="D629" s="5" t="s">
        <v>2258</v>
      </c>
      <c r="E629" s="5" t="s">
        <v>4494</v>
      </c>
      <c r="G629" s="5" t="s">
        <v>39</v>
      </c>
      <c r="H629" s="5" t="s">
        <v>2259</v>
      </c>
      <c r="I629" s="5" t="s">
        <v>1218</v>
      </c>
      <c r="J629" s="5" t="s">
        <v>2821</v>
      </c>
      <c r="K629" s="4">
        <v>41169</v>
      </c>
      <c r="L629" s="4">
        <v>41169</v>
      </c>
      <c r="M629" s="9">
        <f t="shared" si="81"/>
        <v>12</v>
      </c>
      <c r="N629" s="4" t="str">
        <f t="shared" si="83"/>
        <v>] 10 ; 15 ]</v>
      </c>
      <c r="O629" s="5" t="s">
        <v>3782</v>
      </c>
      <c r="P629" s="5" t="s">
        <v>3782</v>
      </c>
      <c r="Q629" s="5">
        <v>2</v>
      </c>
      <c r="R629" s="5" t="str">
        <f t="shared" si="84"/>
        <v>Management &amp; Expertise</v>
      </c>
      <c r="S629" s="5" t="s">
        <v>3789</v>
      </c>
      <c r="T629" s="4">
        <v>31099</v>
      </c>
      <c r="U629" s="5">
        <f t="shared" si="85"/>
        <v>1985</v>
      </c>
      <c r="V629" s="5" t="s">
        <v>3793</v>
      </c>
      <c r="W629" s="9">
        <f t="shared" si="82"/>
        <v>40</v>
      </c>
      <c r="X629" s="5" t="str">
        <f t="shared" si="86"/>
        <v>[40 - 44 ans]</v>
      </c>
      <c r="Y629" s="5" t="str">
        <f t="shared" si="87"/>
        <v xml:space="preserve"> Mellenials </v>
      </c>
      <c r="Z629" s="9">
        <f t="shared" si="88"/>
        <v>20</v>
      </c>
      <c r="AA629" s="5" t="str">
        <f t="shared" si="89"/>
        <v>RAS</v>
      </c>
      <c r="AB629" s="5" t="s">
        <v>3807</v>
      </c>
      <c r="AC629" s="6" t="s">
        <v>3799</v>
      </c>
      <c r="AE629" s="5" t="s">
        <v>3845</v>
      </c>
      <c r="AF629" s="5" t="s">
        <v>4481</v>
      </c>
      <c r="AG629" s="5" t="s">
        <v>4485</v>
      </c>
      <c r="AH629" s="5" t="s">
        <v>4489</v>
      </c>
      <c r="AI629" s="5" t="s">
        <v>4394</v>
      </c>
      <c r="AJ629" s="5" t="s">
        <v>4395</v>
      </c>
      <c r="AK629" s="5" t="s">
        <v>4396</v>
      </c>
      <c r="AL629" s="5" t="s">
        <v>3854</v>
      </c>
    </row>
    <row r="630" spans="1:38" x14ac:dyDescent="0.3">
      <c r="A630" s="4">
        <v>45716</v>
      </c>
      <c r="B630" s="5" t="s">
        <v>2260</v>
      </c>
      <c r="C630" s="5" t="s">
        <v>2261</v>
      </c>
      <c r="D630" s="5" t="s">
        <v>2262</v>
      </c>
      <c r="E630" s="5" t="s">
        <v>4494</v>
      </c>
      <c r="G630" s="5" t="s">
        <v>88</v>
      </c>
      <c r="H630" s="5" t="s">
        <v>760</v>
      </c>
      <c r="I630" s="5" t="s">
        <v>2172</v>
      </c>
      <c r="J630" s="5" t="s">
        <v>2724</v>
      </c>
      <c r="K630" s="4">
        <v>41183</v>
      </c>
      <c r="L630" s="4">
        <v>41183</v>
      </c>
      <c r="M630" s="9">
        <f t="shared" si="81"/>
        <v>12</v>
      </c>
      <c r="N630" s="4" t="str">
        <f t="shared" si="83"/>
        <v>] 10 ; 15 ]</v>
      </c>
      <c r="O630" s="5" t="s">
        <v>3783</v>
      </c>
      <c r="P630" s="5" t="s">
        <v>3783</v>
      </c>
      <c r="Q630" s="5">
        <v>1</v>
      </c>
      <c r="R630" s="5" t="str">
        <f t="shared" si="84"/>
        <v>Specialisation</v>
      </c>
      <c r="S630" s="5" t="s">
        <v>3789</v>
      </c>
      <c r="T630" s="4">
        <v>29039</v>
      </c>
      <c r="U630" s="5">
        <f t="shared" si="85"/>
        <v>1979</v>
      </c>
      <c r="V630" s="5" t="s">
        <v>3793</v>
      </c>
      <c r="W630" s="9">
        <f t="shared" si="82"/>
        <v>45</v>
      </c>
      <c r="X630" s="5" t="str">
        <f t="shared" si="86"/>
        <v>[45 - 49 ans]</v>
      </c>
      <c r="Y630" s="5" t="str">
        <f t="shared" si="87"/>
        <v xml:space="preserve"> Generation X </v>
      </c>
      <c r="Z630" s="9">
        <f t="shared" si="88"/>
        <v>15</v>
      </c>
      <c r="AA630" s="5" t="str">
        <f t="shared" si="89"/>
        <v>RAS</v>
      </c>
      <c r="AB630" s="5" t="s">
        <v>3836</v>
      </c>
      <c r="AC630" s="6" t="s">
        <v>3800</v>
      </c>
      <c r="AE630" s="5" t="s">
        <v>3844</v>
      </c>
      <c r="AF630" s="5" t="s">
        <v>4482</v>
      </c>
      <c r="AG630" s="5" t="s">
        <v>4485</v>
      </c>
      <c r="AH630" s="5" t="s">
        <v>4488</v>
      </c>
      <c r="AI630" s="5" t="s">
        <v>4246</v>
      </c>
      <c r="AJ630" s="5" t="s">
        <v>4247</v>
      </c>
      <c r="AK630" s="5" t="s">
        <v>4211</v>
      </c>
      <c r="AL630" s="5" t="s">
        <v>3858</v>
      </c>
    </row>
    <row r="631" spans="1:38" x14ac:dyDescent="0.3">
      <c r="A631" s="4">
        <v>45716</v>
      </c>
      <c r="B631" s="5" t="s">
        <v>2263</v>
      </c>
      <c r="C631" s="5" t="s">
        <v>2264</v>
      </c>
      <c r="D631" s="5" t="s">
        <v>2265</v>
      </c>
      <c r="E631" s="5" t="s">
        <v>4494</v>
      </c>
      <c r="G631" s="5" t="s">
        <v>88</v>
      </c>
      <c r="H631" s="5" t="s">
        <v>653</v>
      </c>
      <c r="I631" s="5" t="s">
        <v>883</v>
      </c>
      <c r="J631" s="5" t="s">
        <v>182</v>
      </c>
      <c r="K631" s="4">
        <v>41183</v>
      </c>
      <c r="L631" s="4">
        <v>41183</v>
      </c>
      <c r="M631" s="9">
        <f t="shared" si="81"/>
        <v>12</v>
      </c>
      <c r="N631" s="4" t="str">
        <f t="shared" si="83"/>
        <v>] 10 ; 15 ]</v>
      </c>
      <c r="O631" s="5" t="s">
        <v>3785</v>
      </c>
      <c r="P631" s="5" t="s">
        <v>3782</v>
      </c>
      <c r="Q631" s="5">
        <v>1</v>
      </c>
      <c r="R631" s="5" t="str">
        <f t="shared" si="84"/>
        <v>Specialisation</v>
      </c>
      <c r="S631" s="5" t="s">
        <v>3789</v>
      </c>
      <c r="T631" s="4">
        <v>28960</v>
      </c>
      <c r="U631" s="5">
        <f t="shared" si="85"/>
        <v>1979</v>
      </c>
      <c r="V631" s="5" t="s">
        <v>3793</v>
      </c>
      <c r="W631" s="9">
        <f t="shared" si="82"/>
        <v>45</v>
      </c>
      <c r="X631" s="5" t="str">
        <f t="shared" si="86"/>
        <v>[45 - 49 ans]</v>
      </c>
      <c r="Y631" s="5" t="str">
        <f t="shared" si="87"/>
        <v xml:space="preserve"> Generation X </v>
      </c>
      <c r="Z631" s="9">
        <f t="shared" si="88"/>
        <v>15</v>
      </c>
      <c r="AA631" s="5" t="str">
        <f t="shared" si="89"/>
        <v>RAS</v>
      </c>
      <c r="AB631" s="5" t="s">
        <v>3816</v>
      </c>
      <c r="AC631" s="6" t="s">
        <v>3802</v>
      </c>
      <c r="AE631" s="5" t="s">
        <v>3845</v>
      </c>
      <c r="AF631" s="5" t="s">
        <v>4481</v>
      </c>
      <c r="AG631" s="5" t="s">
        <v>4485</v>
      </c>
      <c r="AH631" s="5" t="s">
        <v>4488</v>
      </c>
      <c r="AI631" s="5" t="s">
        <v>4101</v>
      </c>
      <c r="AJ631" s="5" t="s">
        <v>4102</v>
      </c>
      <c r="AK631" s="5" t="s">
        <v>4103</v>
      </c>
      <c r="AL631" s="5" t="s">
        <v>3854</v>
      </c>
    </row>
    <row r="632" spans="1:38" x14ac:dyDescent="0.3">
      <c r="A632" s="4">
        <v>45716</v>
      </c>
      <c r="B632" s="5" t="s">
        <v>2266</v>
      </c>
      <c r="C632" s="5" t="s">
        <v>2267</v>
      </c>
      <c r="D632" s="5" t="s">
        <v>2268</v>
      </c>
      <c r="E632" s="5" t="s">
        <v>4494</v>
      </c>
      <c r="G632" s="5" t="s">
        <v>83</v>
      </c>
      <c r="H632" s="5" t="s">
        <v>2269</v>
      </c>
      <c r="I632" s="5" t="s">
        <v>970</v>
      </c>
      <c r="J632" s="5" t="s">
        <v>1222</v>
      </c>
      <c r="K632" s="4">
        <v>41218</v>
      </c>
      <c r="L632" s="4">
        <v>41218</v>
      </c>
      <c r="M632" s="9">
        <f t="shared" si="81"/>
        <v>12</v>
      </c>
      <c r="N632" s="4" t="str">
        <f t="shared" si="83"/>
        <v>] 10 ; 15 ]</v>
      </c>
      <c r="O632" s="5" t="s">
        <v>3782</v>
      </c>
      <c r="P632" s="5" t="s">
        <v>3782</v>
      </c>
      <c r="Q632" s="5">
        <v>2</v>
      </c>
      <c r="R632" s="5" t="str">
        <f t="shared" si="84"/>
        <v>Management &amp; Expertise</v>
      </c>
      <c r="S632" s="5" t="s">
        <v>3789</v>
      </c>
      <c r="T632" s="4">
        <v>30461</v>
      </c>
      <c r="U632" s="5">
        <f t="shared" si="85"/>
        <v>1983</v>
      </c>
      <c r="V632" s="5" t="s">
        <v>3793</v>
      </c>
      <c r="W632" s="9">
        <f t="shared" si="82"/>
        <v>41</v>
      </c>
      <c r="X632" s="5" t="str">
        <f t="shared" si="86"/>
        <v>[40 - 44 ans]</v>
      </c>
      <c r="Y632" s="5" t="str">
        <f t="shared" si="87"/>
        <v xml:space="preserve"> Mellenials </v>
      </c>
      <c r="Z632" s="9">
        <f t="shared" si="88"/>
        <v>19</v>
      </c>
      <c r="AA632" s="5" t="str">
        <f t="shared" si="89"/>
        <v>RAS</v>
      </c>
      <c r="AB632" s="5" t="s">
        <v>3807</v>
      </c>
      <c r="AC632" s="6" t="s">
        <v>3799</v>
      </c>
      <c r="AE632" s="5" t="s">
        <v>3844</v>
      </c>
      <c r="AF632" s="5" t="s">
        <v>4481</v>
      </c>
      <c r="AG632" s="5" t="s">
        <v>4485</v>
      </c>
      <c r="AH632" s="5" t="s">
        <v>4489</v>
      </c>
      <c r="AI632" s="5" t="s">
        <v>4225</v>
      </c>
      <c r="AJ632" s="5" t="s">
        <v>4397</v>
      </c>
      <c r="AK632" s="5" t="s">
        <v>4226</v>
      </c>
      <c r="AL632" s="5" t="s">
        <v>3858</v>
      </c>
    </row>
    <row r="633" spans="1:38" x14ac:dyDescent="0.3">
      <c r="A633" s="4">
        <v>45716</v>
      </c>
      <c r="B633" s="5" t="s">
        <v>2270</v>
      </c>
      <c r="C633" s="5" t="s">
        <v>2271</v>
      </c>
      <c r="D633" s="5" t="s">
        <v>2272</v>
      </c>
      <c r="E633" s="5" t="s">
        <v>4494</v>
      </c>
      <c r="G633" s="5" t="s">
        <v>137</v>
      </c>
      <c r="H633" s="5" t="s">
        <v>2273</v>
      </c>
      <c r="I633" s="5" t="s">
        <v>1429</v>
      </c>
      <c r="J633" s="5" t="s">
        <v>381</v>
      </c>
      <c r="K633" s="4">
        <v>41214</v>
      </c>
      <c r="L633" s="4">
        <v>40126</v>
      </c>
      <c r="M633" s="9">
        <f t="shared" si="81"/>
        <v>15</v>
      </c>
      <c r="N633" s="4" t="str">
        <f t="shared" si="83"/>
        <v>] 10 ; 15 ]</v>
      </c>
      <c r="O633" s="5" t="s">
        <v>3786</v>
      </c>
      <c r="P633" s="5" t="s">
        <v>3786</v>
      </c>
      <c r="Q633" s="5">
        <v>2</v>
      </c>
      <c r="R633" s="5" t="str">
        <f t="shared" si="84"/>
        <v>Specialisation</v>
      </c>
      <c r="S633" s="5" t="s">
        <v>3790</v>
      </c>
      <c r="T633" s="4">
        <v>30554</v>
      </c>
      <c r="U633" s="5">
        <f t="shared" si="85"/>
        <v>1983</v>
      </c>
      <c r="V633" s="5" t="s">
        <v>3793</v>
      </c>
      <c r="W633" s="9">
        <f t="shared" si="82"/>
        <v>41</v>
      </c>
      <c r="X633" s="5" t="str">
        <f t="shared" si="86"/>
        <v>[40 - 44 ans]</v>
      </c>
      <c r="Y633" s="5" t="str">
        <f t="shared" si="87"/>
        <v xml:space="preserve"> Mellenials </v>
      </c>
      <c r="Z633" s="9">
        <f t="shared" si="88"/>
        <v>19</v>
      </c>
      <c r="AA633" s="5" t="str">
        <f t="shared" si="89"/>
        <v>RAS</v>
      </c>
      <c r="AB633" s="5" t="s">
        <v>3806</v>
      </c>
      <c r="AC633" s="6" t="s">
        <v>3799</v>
      </c>
      <c r="AE633" s="5" t="s">
        <v>3844</v>
      </c>
      <c r="AF633" s="5" t="s">
        <v>4482</v>
      </c>
      <c r="AG633" s="5" t="s">
        <v>4485</v>
      </c>
      <c r="AH633" s="5" t="s">
        <v>4487</v>
      </c>
      <c r="AI633" s="5" t="s">
        <v>4307</v>
      </c>
      <c r="AJ633" s="5" t="s">
        <v>4308</v>
      </c>
      <c r="AK633" s="5" t="s">
        <v>4309</v>
      </c>
      <c r="AL633" s="5" t="s">
        <v>3858</v>
      </c>
    </row>
    <row r="634" spans="1:38" x14ac:dyDescent="0.3">
      <c r="A634" s="4">
        <v>45716</v>
      </c>
      <c r="B634" s="5" t="s">
        <v>2274</v>
      </c>
      <c r="C634" s="5" t="s">
        <v>2275</v>
      </c>
      <c r="D634" s="5" t="s">
        <v>2276</v>
      </c>
      <c r="E634" s="5" t="s">
        <v>4494</v>
      </c>
      <c r="G634" s="5" t="s">
        <v>88</v>
      </c>
      <c r="H634" s="5" t="s">
        <v>456</v>
      </c>
      <c r="I634" s="5" t="s">
        <v>1397</v>
      </c>
      <c r="J634" s="5" t="s">
        <v>883</v>
      </c>
      <c r="K634" s="4">
        <v>41239</v>
      </c>
      <c r="L634" s="4">
        <v>41239</v>
      </c>
      <c r="M634" s="9">
        <f t="shared" si="81"/>
        <v>12</v>
      </c>
      <c r="N634" s="4" t="str">
        <f t="shared" si="83"/>
        <v>] 10 ; 15 ]</v>
      </c>
      <c r="O634" s="5" t="s">
        <v>3780</v>
      </c>
      <c r="P634" s="5" t="s">
        <v>3780</v>
      </c>
      <c r="Q634" s="5">
        <v>2</v>
      </c>
      <c r="R634" s="5" t="str">
        <f t="shared" si="84"/>
        <v>Qualification</v>
      </c>
      <c r="S634" s="5" t="s">
        <v>3789</v>
      </c>
      <c r="T634" s="4">
        <v>30660</v>
      </c>
      <c r="U634" s="5">
        <f t="shared" si="85"/>
        <v>1983</v>
      </c>
      <c r="V634" s="5" t="s">
        <v>3793</v>
      </c>
      <c r="W634" s="9">
        <f t="shared" si="82"/>
        <v>41</v>
      </c>
      <c r="X634" s="5" t="str">
        <f t="shared" si="86"/>
        <v>[40 - 44 ans]</v>
      </c>
      <c r="Y634" s="5" t="str">
        <f t="shared" si="87"/>
        <v xml:space="preserve"> Mellenials </v>
      </c>
      <c r="Z634" s="9">
        <f t="shared" si="88"/>
        <v>19</v>
      </c>
      <c r="AA634" s="5" t="str">
        <f t="shared" si="89"/>
        <v>RAS</v>
      </c>
      <c r="AB634" s="5" t="s">
        <v>3833</v>
      </c>
      <c r="AC634" s="6" t="s">
        <v>3801</v>
      </c>
      <c r="AE634" s="5" t="s">
        <v>3844</v>
      </c>
      <c r="AF634" s="5" t="s">
        <v>4482</v>
      </c>
      <c r="AG634" s="5" t="s">
        <v>4485</v>
      </c>
      <c r="AH634" s="5" t="s">
        <v>4488</v>
      </c>
      <c r="AI634" s="5" t="s">
        <v>4301</v>
      </c>
      <c r="AJ634" s="5" t="s">
        <v>4302</v>
      </c>
      <c r="AK634" s="5" t="s">
        <v>4303</v>
      </c>
      <c r="AL634" s="5" t="s">
        <v>3858</v>
      </c>
    </row>
    <row r="635" spans="1:38" x14ac:dyDescent="0.3">
      <c r="A635" s="4">
        <v>45716</v>
      </c>
      <c r="B635" s="5" t="s">
        <v>2277</v>
      </c>
      <c r="C635" s="5" t="s">
        <v>2278</v>
      </c>
      <c r="D635" s="5" t="s">
        <v>2279</v>
      </c>
      <c r="E635" s="5" t="s">
        <v>4494</v>
      </c>
      <c r="G635" s="5" t="s">
        <v>29</v>
      </c>
      <c r="H635" s="5" t="s">
        <v>783</v>
      </c>
      <c r="I635" s="5" t="s">
        <v>65</v>
      </c>
      <c r="J635" s="5" t="s">
        <v>69</v>
      </c>
      <c r="K635" s="4">
        <v>41276</v>
      </c>
      <c r="L635" s="4">
        <v>41276</v>
      </c>
      <c r="M635" s="9">
        <f t="shared" si="81"/>
        <v>12</v>
      </c>
      <c r="N635" s="4" t="str">
        <f t="shared" si="83"/>
        <v>] 10 ; 15 ]</v>
      </c>
      <c r="O635" s="5" t="s">
        <v>3786</v>
      </c>
      <c r="P635" s="5" t="s">
        <v>3783</v>
      </c>
      <c r="Q635" s="5">
        <v>1</v>
      </c>
      <c r="R635" s="5" t="str">
        <f t="shared" si="84"/>
        <v>Specialisation</v>
      </c>
      <c r="S635" s="5" t="s">
        <v>3790</v>
      </c>
      <c r="T635" s="4">
        <v>31351</v>
      </c>
      <c r="U635" s="5">
        <f t="shared" si="85"/>
        <v>1985</v>
      </c>
      <c r="V635" s="5" t="s">
        <v>3793</v>
      </c>
      <c r="W635" s="9">
        <f t="shared" si="82"/>
        <v>39</v>
      </c>
      <c r="X635" s="5" t="str">
        <f t="shared" si="86"/>
        <v>[35 - 39 ans ]</v>
      </c>
      <c r="Y635" s="5" t="str">
        <f t="shared" si="87"/>
        <v xml:space="preserve"> Mellenials </v>
      </c>
      <c r="Z635" s="9">
        <f t="shared" si="88"/>
        <v>21</v>
      </c>
      <c r="AA635" s="5" t="str">
        <f t="shared" si="89"/>
        <v>RAS</v>
      </c>
      <c r="AB635" s="5" t="s">
        <v>3806</v>
      </c>
      <c r="AC635" s="6" t="s">
        <v>3799</v>
      </c>
      <c r="AE635" s="5" t="s">
        <v>3844</v>
      </c>
      <c r="AF635" s="5" t="s">
        <v>4482</v>
      </c>
      <c r="AG635" s="5" t="s">
        <v>4485</v>
      </c>
      <c r="AH635" s="5" t="s">
        <v>4487</v>
      </c>
      <c r="AI635" s="5" t="s">
        <v>3880</v>
      </c>
      <c r="AJ635" s="5" t="s">
        <v>3881</v>
      </c>
      <c r="AK635" s="5" t="s">
        <v>3882</v>
      </c>
      <c r="AL635" s="5" t="s">
        <v>3858</v>
      </c>
    </row>
    <row r="636" spans="1:38" x14ac:dyDescent="0.3">
      <c r="A636" s="4">
        <v>45716</v>
      </c>
      <c r="B636" s="5" t="s">
        <v>2280</v>
      </c>
      <c r="C636" s="5" t="s">
        <v>2281</v>
      </c>
      <c r="D636" s="5" t="s">
        <v>2282</v>
      </c>
      <c r="E636" s="5" t="s">
        <v>4494</v>
      </c>
      <c r="G636" s="5" t="s">
        <v>88</v>
      </c>
      <c r="H636" s="5" t="s">
        <v>456</v>
      </c>
      <c r="I636" s="5" t="s">
        <v>2034</v>
      </c>
      <c r="J636" s="5" t="s">
        <v>883</v>
      </c>
      <c r="K636" s="4">
        <v>41260</v>
      </c>
      <c r="L636" s="4">
        <v>41260</v>
      </c>
      <c r="M636" s="9">
        <f t="shared" si="81"/>
        <v>12</v>
      </c>
      <c r="N636" s="4" t="str">
        <f t="shared" si="83"/>
        <v>] 10 ; 15 ]</v>
      </c>
      <c r="O636" s="5" t="s">
        <v>3780</v>
      </c>
      <c r="P636" s="5" t="s">
        <v>3786</v>
      </c>
      <c r="Q636" s="5">
        <v>1</v>
      </c>
      <c r="R636" s="5" t="str">
        <f t="shared" si="84"/>
        <v>Qualification</v>
      </c>
      <c r="S636" s="5" t="s">
        <v>3789</v>
      </c>
      <c r="T636" s="4">
        <v>31250</v>
      </c>
      <c r="U636" s="5">
        <f t="shared" si="85"/>
        <v>1985</v>
      </c>
      <c r="V636" s="5" t="s">
        <v>3793</v>
      </c>
      <c r="W636" s="9">
        <f t="shared" si="82"/>
        <v>39</v>
      </c>
      <c r="X636" s="5" t="str">
        <f t="shared" si="86"/>
        <v>[35 - 39 ans ]</v>
      </c>
      <c r="Y636" s="5" t="str">
        <f t="shared" si="87"/>
        <v xml:space="preserve"> Mellenials </v>
      </c>
      <c r="Z636" s="9">
        <f t="shared" si="88"/>
        <v>21</v>
      </c>
      <c r="AA636" s="5" t="str">
        <f t="shared" si="89"/>
        <v>RAS</v>
      </c>
      <c r="AB636" s="5" t="s">
        <v>3836</v>
      </c>
      <c r="AC636" s="6" t="s">
        <v>3800</v>
      </c>
      <c r="AE636" s="5" t="s">
        <v>3844</v>
      </c>
      <c r="AF636" s="5" t="s">
        <v>4482</v>
      </c>
      <c r="AG636" s="5" t="s">
        <v>4485</v>
      </c>
      <c r="AH636" s="5" t="s">
        <v>4488</v>
      </c>
      <c r="AI636" s="5" t="s">
        <v>4386</v>
      </c>
      <c r="AJ636" s="5" t="s">
        <v>3839</v>
      </c>
      <c r="AK636" s="5" t="s">
        <v>4387</v>
      </c>
      <c r="AL636" s="5" t="s">
        <v>3858</v>
      </c>
    </row>
    <row r="637" spans="1:38" x14ac:dyDescent="0.3">
      <c r="A637" s="4">
        <v>45716</v>
      </c>
      <c r="B637" s="5" t="s">
        <v>2283</v>
      </c>
      <c r="C637" s="5" t="s">
        <v>2284</v>
      </c>
      <c r="D637" s="5" t="s">
        <v>2285</v>
      </c>
      <c r="E637" s="5" t="s">
        <v>4494</v>
      </c>
      <c r="G637" s="5" t="s">
        <v>88</v>
      </c>
      <c r="H637" s="5" t="s">
        <v>456</v>
      </c>
      <c r="I637" s="5" t="s">
        <v>2034</v>
      </c>
      <c r="J637" s="5" t="s">
        <v>883</v>
      </c>
      <c r="K637" s="4">
        <v>41260</v>
      </c>
      <c r="L637" s="4">
        <v>41260</v>
      </c>
      <c r="M637" s="9">
        <f t="shared" si="81"/>
        <v>12</v>
      </c>
      <c r="N637" s="4" t="str">
        <f t="shared" si="83"/>
        <v>] 10 ; 15 ]</v>
      </c>
      <c r="O637" s="5" t="s">
        <v>3780</v>
      </c>
      <c r="P637" s="5" t="s">
        <v>3780</v>
      </c>
      <c r="Q637" s="5">
        <v>3</v>
      </c>
      <c r="R637" s="5" t="str">
        <f t="shared" si="84"/>
        <v>Qualification</v>
      </c>
      <c r="S637" s="5" t="s">
        <v>3790</v>
      </c>
      <c r="T637" s="4">
        <v>32683</v>
      </c>
      <c r="U637" s="5">
        <f t="shared" si="85"/>
        <v>1989</v>
      </c>
      <c r="V637" s="5" t="s">
        <v>3793</v>
      </c>
      <c r="W637" s="9">
        <f t="shared" si="82"/>
        <v>35</v>
      </c>
      <c r="X637" s="5" t="str">
        <f t="shared" si="86"/>
        <v>[35 - 39 ans ]</v>
      </c>
      <c r="Y637" s="5" t="str">
        <f t="shared" si="87"/>
        <v xml:space="preserve"> Mellenials </v>
      </c>
      <c r="Z637" s="9">
        <f t="shared" si="88"/>
        <v>25</v>
      </c>
      <c r="AA637" s="5" t="str">
        <f t="shared" si="89"/>
        <v>RAS</v>
      </c>
      <c r="AB637" s="5" t="s">
        <v>3836</v>
      </c>
      <c r="AC637" s="6" t="s">
        <v>3800</v>
      </c>
      <c r="AE637" s="5" t="s">
        <v>3844</v>
      </c>
      <c r="AF637" s="5" t="s">
        <v>4482</v>
      </c>
      <c r="AG637" s="5" t="s">
        <v>4485</v>
      </c>
      <c r="AH637" s="5" t="s">
        <v>4488</v>
      </c>
      <c r="AI637" s="5" t="s">
        <v>4386</v>
      </c>
      <c r="AJ637" s="5" t="s">
        <v>3839</v>
      </c>
      <c r="AK637" s="5" t="s">
        <v>4387</v>
      </c>
      <c r="AL637" s="5" t="s">
        <v>3858</v>
      </c>
    </row>
    <row r="638" spans="1:38" x14ac:dyDescent="0.3">
      <c r="A638" s="4">
        <v>45716</v>
      </c>
      <c r="B638" s="5" t="s">
        <v>2286</v>
      </c>
      <c r="C638" s="5" t="s">
        <v>2287</v>
      </c>
      <c r="D638" s="5" t="s">
        <v>2288</v>
      </c>
      <c r="E638" s="5" t="s">
        <v>4494</v>
      </c>
      <c r="G638" s="5" t="s">
        <v>78</v>
      </c>
      <c r="H638" s="5" t="s">
        <v>2289</v>
      </c>
      <c r="I638" s="5" t="s">
        <v>1823</v>
      </c>
      <c r="J638" s="5" t="s">
        <v>1357</v>
      </c>
      <c r="K638" s="4">
        <v>41275</v>
      </c>
      <c r="L638" s="4">
        <v>41275</v>
      </c>
      <c r="M638" s="9">
        <f t="shared" si="81"/>
        <v>12</v>
      </c>
      <c r="N638" s="4" t="str">
        <f t="shared" si="83"/>
        <v>] 10 ; 15 ]</v>
      </c>
      <c r="O638" s="5" t="s">
        <v>3785</v>
      </c>
      <c r="P638" s="5" t="s">
        <v>3785</v>
      </c>
      <c r="Q638" s="5">
        <v>1</v>
      </c>
      <c r="R638" s="5" t="str">
        <f t="shared" si="84"/>
        <v>Specialisation</v>
      </c>
      <c r="S638" s="5" t="s">
        <v>3789</v>
      </c>
      <c r="T638" s="4">
        <v>31853</v>
      </c>
      <c r="U638" s="5">
        <f t="shared" si="85"/>
        <v>1987</v>
      </c>
      <c r="V638" s="5" t="s">
        <v>3793</v>
      </c>
      <c r="W638" s="9">
        <f t="shared" si="82"/>
        <v>37</v>
      </c>
      <c r="X638" s="5" t="str">
        <f t="shared" si="86"/>
        <v>[35 - 39 ans ]</v>
      </c>
      <c r="Y638" s="5" t="str">
        <f t="shared" si="87"/>
        <v xml:space="preserve"> Mellenials </v>
      </c>
      <c r="Z638" s="9">
        <f t="shared" si="88"/>
        <v>23</v>
      </c>
      <c r="AA638" s="5" t="str">
        <f t="shared" si="89"/>
        <v>RAS</v>
      </c>
      <c r="AB638" s="5" t="s">
        <v>3808</v>
      </c>
      <c r="AC638" s="6" t="s">
        <v>3799</v>
      </c>
      <c r="AE638" s="5" t="s">
        <v>3845</v>
      </c>
      <c r="AF638" s="5" t="s">
        <v>4481</v>
      </c>
      <c r="AG638" s="5" t="s">
        <v>4485</v>
      </c>
      <c r="AH638" s="5" t="s">
        <v>4488</v>
      </c>
      <c r="AI638" s="5" t="s">
        <v>4271</v>
      </c>
      <c r="AJ638" s="5" t="s">
        <v>4061</v>
      </c>
      <c r="AK638" s="5" t="s">
        <v>3980</v>
      </c>
      <c r="AL638" s="5" t="s">
        <v>3854</v>
      </c>
    </row>
    <row r="639" spans="1:38" x14ac:dyDescent="0.3">
      <c r="A639" s="4">
        <v>45716</v>
      </c>
      <c r="B639" s="5" t="s">
        <v>2290</v>
      </c>
      <c r="C639" s="5" t="s">
        <v>2291</v>
      </c>
      <c r="D639" s="5" t="s">
        <v>2292</v>
      </c>
      <c r="E639" s="5" t="s">
        <v>4494</v>
      </c>
      <c r="G639" s="5" t="s">
        <v>78</v>
      </c>
      <c r="H639" s="5" t="s">
        <v>543</v>
      </c>
      <c r="I639" s="5" t="s">
        <v>1069</v>
      </c>
      <c r="J639" s="5" t="s">
        <v>298</v>
      </c>
      <c r="K639" s="4">
        <v>41275</v>
      </c>
      <c r="L639" s="4">
        <v>41275</v>
      </c>
      <c r="M639" s="9">
        <f t="shared" si="81"/>
        <v>12</v>
      </c>
      <c r="N639" s="4" t="str">
        <f t="shared" si="83"/>
        <v>] 10 ; 15 ]</v>
      </c>
      <c r="O639" s="5" t="s">
        <v>3788</v>
      </c>
      <c r="P639" s="5" t="s">
        <v>3788</v>
      </c>
      <c r="Q639" s="5">
        <v>3</v>
      </c>
      <c r="R639" s="5" t="str">
        <f t="shared" si="84"/>
        <v>Qualification</v>
      </c>
      <c r="S639" s="5" t="s">
        <v>3790</v>
      </c>
      <c r="T639" s="4">
        <v>31612</v>
      </c>
      <c r="U639" s="5">
        <f t="shared" si="85"/>
        <v>1986</v>
      </c>
      <c r="V639" s="5" t="s">
        <v>3792</v>
      </c>
      <c r="W639" s="9">
        <f t="shared" si="82"/>
        <v>38</v>
      </c>
      <c r="X639" s="5" t="str">
        <f t="shared" si="86"/>
        <v>[35 - 39 ans ]</v>
      </c>
      <c r="Y639" s="5" t="str">
        <f t="shared" si="87"/>
        <v xml:space="preserve"> Mellenials </v>
      </c>
      <c r="Z639" s="9">
        <f t="shared" si="88"/>
        <v>22</v>
      </c>
      <c r="AA639" s="5" t="str">
        <f t="shared" si="89"/>
        <v>RAS</v>
      </c>
      <c r="AB639" s="5" t="s">
        <v>3808</v>
      </c>
      <c r="AC639" s="6" t="s">
        <v>3799</v>
      </c>
      <c r="AE639" s="5" t="s">
        <v>3844</v>
      </c>
      <c r="AF639" s="5" t="s">
        <v>4482</v>
      </c>
      <c r="AG639" s="5" t="s">
        <v>4485</v>
      </c>
      <c r="AH639" s="5" t="s">
        <v>4488</v>
      </c>
      <c r="AI639" s="5" t="s">
        <v>4240</v>
      </c>
      <c r="AJ639" s="5" t="s">
        <v>4264</v>
      </c>
      <c r="AK639" s="5" t="s">
        <v>4090</v>
      </c>
      <c r="AL639" s="5" t="s">
        <v>3858</v>
      </c>
    </row>
    <row r="640" spans="1:38" x14ac:dyDescent="0.3">
      <c r="A640" s="4">
        <v>45716</v>
      </c>
      <c r="B640" s="5" t="s">
        <v>2293</v>
      </c>
      <c r="C640" s="5" t="s">
        <v>2294</v>
      </c>
      <c r="D640" s="5" t="s">
        <v>2295</v>
      </c>
      <c r="E640" s="5" t="s">
        <v>4494</v>
      </c>
      <c r="G640" s="5" t="s">
        <v>44</v>
      </c>
      <c r="H640" s="5" t="s">
        <v>595</v>
      </c>
      <c r="I640" s="5" t="s">
        <v>270</v>
      </c>
      <c r="J640" s="5" t="s">
        <v>92</v>
      </c>
      <c r="K640" s="4">
        <v>41275</v>
      </c>
      <c r="L640" s="4">
        <v>41275</v>
      </c>
      <c r="M640" s="9">
        <f t="shared" si="81"/>
        <v>12</v>
      </c>
      <c r="N640" s="4" t="str">
        <f t="shared" si="83"/>
        <v>] 10 ; 15 ]</v>
      </c>
      <c r="O640" s="5" t="s">
        <v>3786</v>
      </c>
      <c r="P640" s="5" t="s">
        <v>3786</v>
      </c>
      <c r="Q640" s="5">
        <v>2</v>
      </c>
      <c r="R640" s="5" t="str">
        <f t="shared" si="84"/>
        <v>Specialisation</v>
      </c>
      <c r="S640" s="5" t="s">
        <v>3789</v>
      </c>
      <c r="T640" s="4">
        <v>31613</v>
      </c>
      <c r="U640" s="5">
        <f t="shared" si="85"/>
        <v>1986</v>
      </c>
      <c r="V640" s="5" t="s">
        <v>3793</v>
      </c>
      <c r="W640" s="9">
        <f t="shared" si="82"/>
        <v>38</v>
      </c>
      <c r="X640" s="5" t="str">
        <f t="shared" si="86"/>
        <v>[35 - 39 ans ]</v>
      </c>
      <c r="Y640" s="5" t="str">
        <f t="shared" si="87"/>
        <v xml:space="preserve"> Mellenials </v>
      </c>
      <c r="Z640" s="9">
        <f t="shared" si="88"/>
        <v>22</v>
      </c>
      <c r="AA640" s="5" t="str">
        <f t="shared" si="89"/>
        <v>RAS</v>
      </c>
      <c r="AB640" s="5" t="s">
        <v>3806</v>
      </c>
      <c r="AC640" s="6" t="s">
        <v>3799</v>
      </c>
      <c r="AE640" s="5" t="s">
        <v>3844</v>
      </c>
      <c r="AF640" s="5" t="s">
        <v>4482</v>
      </c>
      <c r="AG640" s="5" t="s">
        <v>4485</v>
      </c>
      <c r="AH640" s="5" t="s">
        <v>4487</v>
      </c>
      <c r="AI640" s="5" t="s">
        <v>3989</v>
      </c>
      <c r="AJ640" s="5" t="s">
        <v>3990</v>
      </c>
      <c r="AK640" s="5">
        <v>31200</v>
      </c>
      <c r="AL640" s="5" t="s">
        <v>3858</v>
      </c>
    </row>
    <row r="641" spans="1:38" x14ac:dyDescent="0.3">
      <c r="A641" s="4">
        <v>45716</v>
      </c>
      <c r="B641" s="5" t="s">
        <v>2296</v>
      </c>
      <c r="C641" s="5" t="s">
        <v>2297</v>
      </c>
      <c r="D641" s="5" t="s">
        <v>2298</v>
      </c>
      <c r="E641" s="5" t="s">
        <v>4494</v>
      </c>
      <c r="G641" s="5" t="s">
        <v>88</v>
      </c>
      <c r="H641" s="5" t="s">
        <v>456</v>
      </c>
      <c r="I641" s="5" t="s">
        <v>770</v>
      </c>
      <c r="J641" s="5" t="s">
        <v>883</v>
      </c>
      <c r="K641" s="4">
        <v>41275</v>
      </c>
      <c r="L641" s="4">
        <v>40220</v>
      </c>
      <c r="M641" s="9">
        <f t="shared" ref="M641:M704" si="90">DATEDIF(L641,A641,"y")</f>
        <v>15</v>
      </c>
      <c r="N641" s="4" t="str">
        <f t="shared" si="83"/>
        <v>] 10 ; 15 ]</v>
      </c>
      <c r="O641" s="5" t="s">
        <v>3780</v>
      </c>
      <c r="P641" s="5" t="s">
        <v>3780</v>
      </c>
      <c r="Q641" s="5">
        <v>1</v>
      </c>
      <c r="R641" s="5" t="str">
        <f t="shared" si="84"/>
        <v>Qualification</v>
      </c>
      <c r="S641" s="5" t="s">
        <v>3789</v>
      </c>
      <c r="T641" s="4">
        <v>30167</v>
      </c>
      <c r="U641" s="5">
        <f t="shared" si="85"/>
        <v>1982</v>
      </c>
      <c r="V641" s="5" t="s">
        <v>3793</v>
      </c>
      <c r="W641" s="9">
        <f t="shared" ref="W641:W704" si="91">DATEDIF(T641,A641,"y")</f>
        <v>42</v>
      </c>
      <c r="X641" s="5" t="str">
        <f t="shared" si="86"/>
        <v>[40 - 44 ans]</v>
      </c>
      <c r="Y641" s="5" t="str">
        <f t="shared" si="87"/>
        <v xml:space="preserve"> Mellenials </v>
      </c>
      <c r="Z641" s="9">
        <f t="shared" si="88"/>
        <v>18</v>
      </c>
      <c r="AA641" s="5" t="str">
        <f t="shared" si="89"/>
        <v>RAS</v>
      </c>
      <c r="AB641" s="5" t="s">
        <v>3814</v>
      </c>
      <c r="AC641" s="6" t="s">
        <v>3799</v>
      </c>
      <c r="AE641" s="5" t="s">
        <v>3844</v>
      </c>
      <c r="AF641" s="5" t="s">
        <v>4482</v>
      </c>
      <c r="AG641" s="5" t="s">
        <v>4485</v>
      </c>
      <c r="AH641" s="5" t="s">
        <v>4488</v>
      </c>
      <c r="AI641" s="5" t="s">
        <v>4075</v>
      </c>
      <c r="AJ641" s="5" t="s">
        <v>4076</v>
      </c>
      <c r="AK641" s="5" t="s">
        <v>4077</v>
      </c>
      <c r="AL641" s="5" t="s">
        <v>3858</v>
      </c>
    </row>
    <row r="642" spans="1:38" x14ac:dyDescent="0.3">
      <c r="A642" s="4">
        <v>45716</v>
      </c>
      <c r="B642" s="5" t="s">
        <v>2299</v>
      </c>
      <c r="C642" s="5" t="s">
        <v>2300</v>
      </c>
      <c r="D642" s="5" t="s">
        <v>2301</v>
      </c>
      <c r="E642" s="5" t="s">
        <v>4494</v>
      </c>
      <c r="G642" s="5" t="s">
        <v>78</v>
      </c>
      <c r="H642" s="5" t="s">
        <v>2302</v>
      </c>
      <c r="I642" s="5" t="s">
        <v>3225</v>
      </c>
      <c r="J642" s="5" t="s">
        <v>3762</v>
      </c>
      <c r="K642" s="4">
        <v>41275</v>
      </c>
      <c r="L642" s="4">
        <v>41275</v>
      </c>
      <c r="M642" s="9">
        <f t="shared" si="90"/>
        <v>12</v>
      </c>
      <c r="N642" s="4" t="str">
        <f t="shared" ref="N642:N705" si="92">IF(M642&lt;=2," ] 0 ; 2 ]",IF(AND(M642&gt;2,M642&lt;=5),"] 2 ; 5 ]",IF(AND(M642&gt;5,M642&lt;=8),"] 5 ; 8 ]",IF(AND(M642&gt;8,M642&lt;=10),"] 8 ; 10 ]",IF(AND(M642&gt;10,M642&lt;=15),"] 10 ; 15 ]","] 15 ; +oo [")))))</f>
        <v>] 10 ; 15 ]</v>
      </c>
      <c r="O642" s="5" t="s">
        <v>3788</v>
      </c>
      <c r="P642" s="5" t="s">
        <v>3788</v>
      </c>
      <c r="Q642" s="5">
        <v>3</v>
      </c>
      <c r="R642" s="5" t="str">
        <f t="shared" ref="R642:R705" si="93">IF(OR(O642="A",O642="B",O642="C",O642="D"),"Qualification",IF(OR(O642="E",O642="F",O642="G"),"Specialisation","Management &amp; Expertise"))</f>
        <v>Qualification</v>
      </c>
      <c r="S642" s="5" t="s">
        <v>3790</v>
      </c>
      <c r="T642" s="4">
        <v>31418</v>
      </c>
      <c r="U642" s="5">
        <f t="shared" ref="U642:U705" si="94">YEAR(T642)</f>
        <v>1986</v>
      </c>
      <c r="V642" s="5" t="s">
        <v>3793</v>
      </c>
      <c r="W642" s="9">
        <f t="shared" si="91"/>
        <v>39</v>
      </c>
      <c r="X642" s="5" t="str">
        <f t="shared" ref="X642:X705" si="95">IF(W642&lt;30,"[20 - 29 ans[",IF(AND(W642&gt;=30,W642&lt;35),"[30 - 34 ans]",IF(AND(W642&gt;=35,W642&lt;40),"[35 - 39 ans ]",IF(AND(W642&gt;=40,W642&lt;45),"[40 - 44 ans]",IF(AND(W642&gt;=45,W642&lt;50),"[45 - 49 ans]","[50 ans, +oo [")))))</f>
        <v>[35 - 39 ans ]</v>
      </c>
      <c r="Y642" s="5" t="str">
        <f t="shared" ref="Y642:Y705" si="96">IF(AND(U642&gt;1946,U642&lt;=1965)," Baby - Boomers ",IF(AND(U642&gt;1965,U642&lt;=1980)," Generation X ",IF(AND(U642&gt;1980,U642&lt;1996)," Mellenials ",IF(AND(U642&gt;1996,U642&lt;2012)," Gen Z "," Gen Alpha"))))</f>
        <v xml:space="preserve"> Mellenials </v>
      </c>
      <c r="Z642" s="9">
        <f t="shared" ref="Z642:Z705" si="97">60-W642</f>
        <v>21</v>
      </c>
      <c r="AA642" s="5" t="str">
        <f t="shared" ref="AA642:AA705" si="98">IF(Z642&lt;=5,"Départ à la Retraite 5ans","RAS")</f>
        <v>RAS</v>
      </c>
      <c r="AB642" s="5" t="s">
        <v>3808</v>
      </c>
      <c r="AC642" s="6" t="s">
        <v>3799</v>
      </c>
      <c r="AE642" s="5" t="s">
        <v>3844</v>
      </c>
      <c r="AF642" s="5" t="s">
        <v>4482</v>
      </c>
      <c r="AG642" s="5" t="s">
        <v>4485</v>
      </c>
      <c r="AH642" s="5" t="s">
        <v>4488</v>
      </c>
      <c r="AI642" s="5" t="s">
        <v>4257</v>
      </c>
      <c r="AJ642" s="5" t="s">
        <v>4258</v>
      </c>
      <c r="AK642" s="5" t="s">
        <v>4090</v>
      </c>
      <c r="AL642" s="5" t="s">
        <v>3858</v>
      </c>
    </row>
    <row r="643" spans="1:38" x14ac:dyDescent="0.3">
      <c r="A643" s="4">
        <v>45716</v>
      </c>
      <c r="B643" s="5" t="s">
        <v>2303</v>
      </c>
      <c r="C643" s="5" t="s">
        <v>2304</v>
      </c>
      <c r="D643" s="5" t="s">
        <v>2305</v>
      </c>
      <c r="E643" s="5" t="s">
        <v>4494</v>
      </c>
      <c r="G643" s="5" t="s">
        <v>1762</v>
      </c>
      <c r="H643" s="5" t="s">
        <v>2306</v>
      </c>
      <c r="I643" s="5" t="s">
        <v>2640</v>
      </c>
      <c r="J643" s="5" t="s">
        <v>2205</v>
      </c>
      <c r="K643" s="4">
        <v>41275</v>
      </c>
      <c r="L643" s="4">
        <v>41275</v>
      </c>
      <c r="M643" s="9">
        <f t="shared" si="90"/>
        <v>12</v>
      </c>
      <c r="N643" s="4" t="str">
        <f t="shared" si="92"/>
        <v>] 10 ; 15 ]</v>
      </c>
      <c r="O643" s="5" t="s">
        <v>3783</v>
      </c>
      <c r="P643" s="5" t="s">
        <v>3783</v>
      </c>
      <c r="Q643" s="5">
        <v>1</v>
      </c>
      <c r="R643" s="5" t="str">
        <f t="shared" si="93"/>
        <v>Specialisation</v>
      </c>
      <c r="S643" s="5" t="s">
        <v>3789</v>
      </c>
      <c r="T643" s="4">
        <v>31285</v>
      </c>
      <c r="U643" s="5">
        <f t="shared" si="94"/>
        <v>1985</v>
      </c>
      <c r="V643" s="5" t="s">
        <v>3793</v>
      </c>
      <c r="W643" s="9">
        <f t="shared" si="91"/>
        <v>39</v>
      </c>
      <c r="X643" s="5" t="str">
        <f t="shared" si="95"/>
        <v>[35 - 39 ans ]</v>
      </c>
      <c r="Y643" s="5" t="str">
        <f t="shared" si="96"/>
        <v xml:space="preserve"> Mellenials </v>
      </c>
      <c r="Z643" s="9">
        <f t="shared" si="97"/>
        <v>21</v>
      </c>
      <c r="AA643" s="5" t="str">
        <f t="shared" si="98"/>
        <v>RAS</v>
      </c>
      <c r="AB643" s="5" t="s">
        <v>3806</v>
      </c>
      <c r="AC643" s="6" t="s">
        <v>3799</v>
      </c>
      <c r="AE643" s="5" t="s">
        <v>3844</v>
      </c>
      <c r="AF643" s="5" t="s">
        <v>4482</v>
      </c>
      <c r="AG643" s="5" t="s">
        <v>4485</v>
      </c>
      <c r="AH643" s="5" t="s">
        <v>4488</v>
      </c>
      <c r="AI643" s="5" t="s">
        <v>4398</v>
      </c>
      <c r="AJ643" s="5" t="s">
        <v>4399</v>
      </c>
      <c r="AK643" s="5" t="s">
        <v>4392</v>
      </c>
      <c r="AL643" s="5" t="s">
        <v>3858</v>
      </c>
    </row>
    <row r="644" spans="1:38" x14ac:dyDescent="0.3">
      <c r="A644" s="4">
        <v>45716</v>
      </c>
      <c r="B644" s="5" t="s">
        <v>2307</v>
      </c>
      <c r="C644" s="5" t="s">
        <v>2308</v>
      </c>
      <c r="D644" s="5" t="s">
        <v>2309</v>
      </c>
      <c r="E644" s="5" t="s">
        <v>4494</v>
      </c>
      <c r="G644" s="5" t="s">
        <v>88</v>
      </c>
      <c r="H644" s="5" t="s">
        <v>456</v>
      </c>
      <c r="I644" s="5" t="s">
        <v>1814</v>
      </c>
      <c r="J644" s="5" t="s">
        <v>883</v>
      </c>
      <c r="K644" s="4">
        <v>41276</v>
      </c>
      <c r="L644" s="4">
        <v>41276</v>
      </c>
      <c r="M644" s="9">
        <f t="shared" si="90"/>
        <v>12</v>
      </c>
      <c r="N644" s="4" t="str">
        <f t="shared" si="92"/>
        <v>] 10 ; 15 ]</v>
      </c>
      <c r="O644" s="5" t="s">
        <v>3780</v>
      </c>
      <c r="P644" s="5" t="s">
        <v>3780</v>
      </c>
      <c r="Q644" s="5">
        <v>3</v>
      </c>
      <c r="R644" s="5" t="str">
        <f t="shared" si="93"/>
        <v>Qualification</v>
      </c>
      <c r="S644" s="5" t="s">
        <v>3790</v>
      </c>
      <c r="T644" s="4">
        <v>30823</v>
      </c>
      <c r="U644" s="5">
        <f t="shared" si="94"/>
        <v>1984</v>
      </c>
      <c r="V644" s="5" t="s">
        <v>3793</v>
      </c>
      <c r="W644" s="9">
        <f t="shared" si="91"/>
        <v>40</v>
      </c>
      <c r="X644" s="5" t="str">
        <f t="shared" si="95"/>
        <v>[40 - 44 ans]</v>
      </c>
      <c r="Y644" s="5" t="str">
        <f t="shared" si="96"/>
        <v xml:space="preserve"> Mellenials </v>
      </c>
      <c r="Z644" s="9">
        <f t="shared" si="97"/>
        <v>20</v>
      </c>
      <c r="AA644" s="5" t="str">
        <f t="shared" si="98"/>
        <v>RAS</v>
      </c>
      <c r="AB644" s="5" t="s">
        <v>3813</v>
      </c>
      <c r="AC644" s="6" t="s">
        <v>3799</v>
      </c>
      <c r="AE644" s="5" t="s">
        <v>3844</v>
      </c>
      <c r="AF644" s="5" t="s">
        <v>4482</v>
      </c>
      <c r="AG644" s="5" t="s">
        <v>4485</v>
      </c>
      <c r="AH644" s="5" t="s">
        <v>4488</v>
      </c>
      <c r="AI644" s="5" t="s">
        <v>4188</v>
      </c>
      <c r="AJ644" s="5" t="s">
        <v>4068</v>
      </c>
      <c r="AK644" s="5" t="s">
        <v>4069</v>
      </c>
      <c r="AL644" s="5" t="s">
        <v>3858</v>
      </c>
    </row>
    <row r="645" spans="1:38" x14ac:dyDescent="0.3">
      <c r="A645" s="4">
        <v>45716</v>
      </c>
      <c r="B645" s="5" t="s">
        <v>2310</v>
      </c>
      <c r="C645" s="5" t="s">
        <v>2311</v>
      </c>
      <c r="D645" s="5" t="s">
        <v>2312</v>
      </c>
      <c r="E645" s="5" t="s">
        <v>4494</v>
      </c>
      <c r="G645" s="5" t="s">
        <v>78</v>
      </c>
      <c r="H645" s="5" t="s">
        <v>2313</v>
      </c>
      <c r="I645" s="5" t="s">
        <v>298</v>
      </c>
      <c r="J645" s="5" t="s">
        <v>169</v>
      </c>
      <c r="K645" s="4">
        <v>41276</v>
      </c>
      <c r="L645" s="4">
        <v>41276</v>
      </c>
      <c r="M645" s="9">
        <f t="shared" si="90"/>
        <v>12</v>
      </c>
      <c r="N645" s="4" t="str">
        <f t="shared" si="92"/>
        <v>] 10 ; 15 ]</v>
      </c>
      <c r="O645" s="5" t="s">
        <v>3783</v>
      </c>
      <c r="P645" s="5" t="s">
        <v>3783</v>
      </c>
      <c r="Q645" s="5">
        <v>1</v>
      </c>
      <c r="R645" s="5" t="str">
        <f t="shared" si="93"/>
        <v>Specialisation</v>
      </c>
      <c r="S645" s="5" t="s">
        <v>3789</v>
      </c>
      <c r="T645" s="4">
        <v>27394</v>
      </c>
      <c r="U645" s="5">
        <f t="shared" si="94"/>
        <v>1974</v>
      </c>
      <c r="V645" s="5" t="s">
        <v>3793</v>
      </c>
      <c r="W645" s="9">
        <f t="shared" si="91"/>
        <v>50</v>
      </c>
      <c r="X645" s="5" t="str">
        <f t="shared" si="95"/>
        <v>[50 ans, +oo [</v>
      </c>
      <c r="Y645" s="5" t="str">
        <f t="shared" si="96"/>
        <v xml:space="preserve"> Generation X </v>
      </c>
      <c r="Z645" s="9">
        <f t="shared" si="97"/>
        <v>10</v>
      </c>
      <c r="AA645" s="5" t="str">
        <f t="shared" si="98"/>
        <v>RAS</v>
      </c>
      <c r="AB645" s="5" t="s">
        <v>3808</v>
      </c>
      <c r="AC645" s="6" t="s">
        <v>3799</v>
      </c>
      <c r="AE645" s="5" t="s">
        <v>3845</v>
      </c>
      <c r="AF645" s="5" t="s">
        <v>4482</v>
      </c>
      <c r="AG645" s="5" t="s">
        <v>4485</v>
      </c>
      <c r="AH645" s="5" t="s">
        <v>4488</v>
      </c>
      <c r="AI645" s="5" t="s">
        <v>4381</v>
      </c>
      <c r="AJ645" s="5" t="s">
        <v>4382</v>
      </c>
      <c r="AK645" s="5" t="s">
        <v>3946</v>
      </c>
      <c r="AL645" s="5" t="s">
        <v>3854</v>
      </c>
    </row>
    <row r="646" spans="1:38" x14ac:dyDescent="0.3">
      <c r="A646" s="4">
        <v>45716</v>
      </c>
      <c r="B646" s="5" t="s">
        <v>2314</v>
      </c>
      <c r="C646" s="5" t="s">
        <v>2315</v>
      </c>
      <c r="D646" s="5" t="s">
        <v>2316</v>
      </c>
      <c r="E646" s="5" t="s">
        <v>4494</v>
      </c>
      <c r="G646" s="5" t="s">
        <v>88</v>
      </c>
      <c r="H646" s="5" t="s">
        <v>2317</v>
      </c>
      <c r="I646" s="5" t="s">
        <v>230</v>
      </c>
      <c r="J646" s="5" t="s">
        <v>2739</v>
      </c>
      <c r="K646" s="4">
        <v>41316</v>
      </c>
      <c r="L646" s="4">
        <v>41316</v>
      </c>
      <c r="M646" s="9">
        <f t="shared" si="90"/>
        <v>12</v>
      </c>
      <c r="N646" s="4" t="str">
        <f t="shared" si="92"/>
        <v>] 10 ; 15 ]</v>
      </c>
      <c r="O646" s="5" t="s">
        <v>3786</v>
      </c>
      <c r="P646" s="5" t="s">
        <v>3783</v>
      </c>
      <c r="Q646" s="5">
        <v>1</v>
      </c>
      <c r="R646" s="5" t="str">
        <f t="shared" si="93"/>
        <v>Specialisation</v>
      </c>
      <c r="S646" s="5" t="s">
        <v>3790</v>
      </c>
      <c r="T646" s="4">
        <v>31272</v>
      </c>
      <c r="U646" s="5">
        <f t="shared" si="94"/>
        <v>1985</v>
      </c>
      <c r="V646" s="5" t="s">
        <v>3793</v>
      </c>
      <c r="W646" s="9">
        <f t="shared" si="91"/>
        <v>39</v>
      </c>
      <c r="X646" s="5" t="str">
        <f t="shared" si="95"/>
        <v>[35 - 39 ans ]</v>
      </c>
      <c r="Y646" s="5" t="str">
        <f t="shared" si="96"/>
        <v xml:space="preserve"> Mellenials </v>
      </c>
      <c r="Z646" s="9">
        <f t="shared" si="97"/>
        <v>21</v>
      </c>
      <c r="AA646" s="5" t="str">
        <f t="shared" si="98"/>
        <v>RAS</v>
      </c>
      <c r="AB646" s="5" t="s">
        <v>3806</v>
      </c>
      <c r="AC646" s="6" t="s">
        <v>3799</v>
      </c>
      <c r="AE646" s="5" t="s">
        <v>3844</v>
      </c>
      <c r="AF646" s="5" t="s">
        <v>4482</v>
      </c>
      <c r="AG646" s="5" t="s">
        <v>4485</v>
      </c>
      <c r="AH646" s="5" t="s">
        <v>4488</v>
      </c>
      <c r="AI646" s="5" t="s">
        <v>3968</v>
      </c>
      <c r="AJ646" s="5" t="s">
        <v>3969</v>
      </c>
      <c r="AK646" s="5" t="s">
        <v>3970</v>
      </c>
      <c r="AL646" s="5" t="s">
        <v>3858</v>
      </c>
    </row>
    <row r="647" spans="1:38" x14ac:dyDescent="0.3">
      <c r="A647" s="4">
        <v>45716</v>
      </c>
      <c r="B647" s="5" t="s">
        <v>2318</v>
      </c>
      <c r="C647" s="5" t="s">
        <v>2319</v>
      </c>
      <c r="D647" s="5" t="s">
        <v>2320</v>
      </c>
      <c r="E647" s="5" t="s">
        <v>4494</v>
      </c>
      <c r="G647" s="5" t="s">
        <v>88</v>
      </c>
      <c r="H647" s="5" t="s">
        <v>456</v>
      </c>
      <c r="I647" s="5" t="s">
        <v>652</v>
      </c>
      <c r="J647" s="5" t="s">
        <v>883</v>
      </c>
      <c r="K647" s="4">
        <v>41297</v>
      </c>
      <c r="L647" s="4">
        <v>41297</v>
      </c>
      <c r="M647" s="9">
        <f t="shared" si="90"/>
        <v>12</v>
      </c>
      <c r="N647" s="4" t="str">
        <f t="shared" si="92"/>
        <v>] 10 ; 15 ]</v>
      </c>
      <c r="O647" s="5" t="s">
        <v>3780</v>
      </c>
      <c r="P647" s="5" t="s">
        <v>3786</v>
      </c>
      <c r="Q647" s="5">
        <v>1</v>
      </c>
      <c r="R647" s="5" t="str">
        <f t="shared" si="93"/>
        <v>Qualification</v>
      </c>
      <c r="S647" s="5" t="s">
        <v>3789</v>
      </c>
      <c r="T647" s="4">
        <v>30243</v>
      </c>
      <c r="U647" s="5">
        <f t="shared" si="94"/>
        <v>1982</v>
      </c>
      <c r="V647" s="5" t="s">
        <v>3792</v>
      </c>
      <c r="W647" s="9">
        <f t="shared" si="91"/>
        <v>42</v>
      </c>
      <c r="X647" s="5" t="str">
        <f t="shared" si="95"/>
        <v>[40 - 44 ans]</v>
      </c>
      <c r="Y647" s="5" t="str">
        <f t="shared" si="96"/>
        <v xml:space="preserve"> Mellenials </v>
      </c>
      <c r="Z647" s="9">
        <f t="shared" si="97"/>
        <v>18</v>
      </c>
      <c r="AA647" s="5" t="str">
        <f t="shared" si="98"/>
        <v>RAS</v>
      </c>
      <c r="AB647" s="5" t="s">
        <v>3822</v>
      </c>
      <c r="AC647" s="6" t="s">
        <v>3802</v>
      </c>
      <c r="AE647" s="5" t="s">
        <v>3844</v>
      </c>
      <c r="AF647" s="5" t="s">
        <v>4482</v>
      </c>
      <c r="AG647" s="5" t="s">
        <v>4485</v>
      </c>
      <c r="AH647" s="5" t="s">
        <v>4488</v>
      </c>
      <c r="AI647" s="5" t="s">
        <v>4166</v>
      </c>
      <c r="AJ647" s="5" t="s">
        <v>4167</v>
      </c>
      <c r="AK647" s="5" t="s">
        <v>4168</v>
      </c>
      <c r="AL647" s="5" t="s">
        <v>3858</v>
      </c>
    </row>
    <row r="648" spans="1:38" x14ac:dyDescent="0.3">
      <c r="A648" s="4">
        <v>45716</v>
      </c>
      <c r="B648" s="5" t="s">
        <v>2321</v>
      </c>
      <c r="C648" s="5" t="s">
        <v>2322</v>
      </c>
      <c r="D648" s="5" t="s">
        <v>2323</v>
      </c>
      <c r="E648" s="5" t="s">
        <v>4494</v>
      </c>
      <c r="G648" s="5" t="s">
        <v>44</v>
      </c>
      <c r="H648" s="5" t="s">
        <v>2324</v>
      </c>
      <c r="I648" s="5" t="s">
        <v>173</v>
      </c>
      <c r="J648" s="5" t="s">
        <v>92</v>
      </c>
      <c r="K648" s="4">
        <v>41297</v>
      </c>
      <c r="L648" s="4">
        <v>41297</v>
      </c>
      <c r="M648" s="9">
        <f t="shared" si="90"/>
        <v>12</v>
      </c>
      <c r="N648" s="4" t="str">
        <f t="shared" si="92"/>
        <v>] 10 ; 15 ]</v>
      </c>
      <c r="O648" s="5" t="s">
        <v>3783</v>
      </c>
      <c r="P648" s="5" t="s">
        <v>3783</v>
      </c>
      <c r="Q648" s="5">
        <v>1</v>
      </c>
      <c r="R648" s="5" t="str">
        <f t="shared" si="93"/>
        <v>Specialisation</v>
      </c>
      <c r="S648" s="5" t="s">
        <v>3790</v>
      </c>
      <c r="T648" s="4">
        <v>32699</v>
      </c>
      <c r="U648" s="5">
        <f t="shared" si="94"/>
        <v>1989</v>
      </c>
      <c r="V648" s="5" t="s">
        <v>3793</v>
      </c>
      <c r="W648" s="9">
        <f t="shared" si="91"/>
        <v>35</v>
      </c>
      <c r="X648" s="5" t="str">
        <f t="shared" si="95"/>
        <v>[35 - 39 ans ]</v>
      </c>
      <c r="Y648" s="5" t="str">
        <f t="shared" si="96"/>
        <v xml:space="preserve"> Mellenials </v>
      </c>
      <c r="Z648" s="9">
        <f t="shared" si="97"/>
        <v>25</v>
      </c>
      <c r="AA648" s="5" t="str">
        <f t="shared" si="98"/>
        <v>RAS</v>
      </c>
      <c r="AB648" s="5" t="s">
        <v>3806</v>
      </c>
      <c r="AC648" s="6" t="s">
        <v>3799</v>
      </c>
      <c r="AE648" s="5" t="s">
        <v>3844</v>
      </c>
      <c r="AF648" s="5" t="s">
        <v>4482</v>
      </c>
      <c r="AG648" s="5" t="s">
        <v>4485</v>
      </c>
      <c r="AH648" s="5" t="s">
        <v>4487</v>
      </c>
      <c r="AI648" s="5" t="s">
        <v>3947</v>
      </c>
      <c r="AJ648" s="5" t="s">
        <v>3948</v>
      </c>
      <c r="AK648" s="5" t="s">
        <v>3900</v>
      </c>
      <c r="AL648" s="5" t="s">
        <v>3858</v>
      </c>
    </row>
    <row r="649" spans="1:38" x14ac:dyDescent="0.3">
      <c r="A649" s="4">
        <v>45716</v>
      </c>
      <c r="B649" s="5" t="s">
        <v>2325</v>
      </c>
      <c r="C649" s="5" t="s">
        <v>2326</v>
      </c>
      <c r="D649" s="5" t="s">
        <v>2327</v>
      </c>
      <c r="E649" s="5" t="s">
        <v>4494</v>
      </c>
      <c r="G649" s="5" t="s">
        <v>39</v>
      </c>
      <c r="H649" s="5" t="s">
        <v>1832</v>
      </c>
      <c r="I649" s="5" t="s">
        <v>1264</v>
      </c>
      <c r="J649" s="5" t="s">
        <v>149</v>
      </c>
      <c r="K649" s="4">
        <v>41297</v>
      </c>
      <c r="L649" s="4">
        <v>41297</v>
      </c>
      <c r="M649" s="9">
        <f t="shared" si="90"/>
        <v>12</v>
      </c>
      <c r="N649" s="4" t="str">
        <f t="shared" si="92"/>
        <v>] 10 ; 15 ]</v>
      </c>
      <c r="O649" s="5" t="s">
        <v>3786</v>
      </c>
      <c r="P649" s="5" t="s">
        <v>3786</v>
      </c>
      <c r="Q649" s="5">
        <v>2</v>
      </c>
      <c r="R649" s="5" t="str">
        <f t="shared" si="93"/>
        <v>Specialisation</v>
      </c>
      <c r="S649" s="5" t="s">
        <v>3789</v>
      </c>
      <c r="T649" s="4">
        <v>32089</v>
      </c>
      <c r="U649" s="5">
        <f t="shared" si="94"/>
        <v>1987</v>
      </c>
      <c r="V649" s="5" t="s">
        <v>3792</v>
      </c>
      <c r="W649" s="9">
        <f t="shared" si="91"/>
        <v>37</v>
      </c>
      <c r="X649" s="5" t="str">
        <f t="shared" si="95"/>
        <v>[35 - 39 ans ]</v>
      </c>
      <c r="Y649" s="5" t="str">
        <f t="shared" si="96"/>
        <v xml:space="preserve"> Mellenials </v>
      </c>
      <c r="Z649" s="9">
        <f t="shared" si="97"/>
        <v>23</v>
      </c>
      <c r="AA649" s="5" t="str">
        <f t="shared" si="98"/>
        <v>RAS</v>
      </c>
      <c r="AB649" s="5" t="s">
        <v>3807</v>
      </c>
      <c r="AC649" s="6" t="s">
        <v>3799</v>
      </c>
      <c r="AE649" s="5" t="s">
        <v>3844</v>
      </c>
      <c r="AF649" s="5" t="s">
        <v>4482</v>
      </c>
      <c r="AG649" s="5" t="s">
        <v>4485</v>
      </c>
      <c r="AH649" s="5" t="s">
        <v>4489</v>
      </c>
      <c r="AI649" s="5" t="s">
        <v>4365</v>
      </c>
      <c r="AJ649" s="5" t="s">
        <v>4366</v>
      </c>
      <c r="AK649" s="5" t="s">
        <v>4280</v>
      </c>
      <c r="AL649" s="5" t="s">
        <v>3858</v>
      </c>
    </row>
    <row r="650" spans="1:38" x14ac:dyDescent="0.3">
      <c r="A650" s="4">
        <v>45716</v>
      </c>
      <c r="B650" s="5" t="s">
        <v>2328</v>
      </c>
      <c r="C650" s="5" t="s">
        <v>2329</v>
      </c>
      <c r="D650" s="5" t="s">
        <v>2330</v>
      </c>
      <c r="E650" s="5" t="s">
        <v>4494</v>
      </c>
      <c r="G650" s="5" t="s">
        <v>88</v>
      </c>
      <c r="H650" s="5" t="s">
        <v>456</v>
      </c>
      <c r="I650" s="5" t="s">
        <v>2020</v>
      </c>
      <c r="J650" s="5" t="s">
        <v>883</v>
      </c>
      <c r="K650" s="4">
        <v>41297</v>
      </c>
      <c r="L650" s="4">
        <v>41297</v>
      </c>
      <c r="M650" s="9">
        <f t="shared" si="90"/>
        <v>12</v>
      </c>
      <c r="N650" s="4" t="str">
        <f t="shared" si="92"/>
        <v>] 10 ; 15 ]</v>
      </c>
      <c r="O650" s="5" t="s">
        <v>3780</v>
      </c>
      <c r="P650" s="5" t="s">
        <v>3786</v>
      </c>
      <c r="Q650" s="5">
        <v>1</v>
      </c>
      <c r="R650" s="5" t="str">
        <f t="shared" si="93"/>
        <v>Qualification</v>
      </c>
      <c r="S650" s="5" t="s">
        <v>3790</v>
      </c>
      <c r="T650" s="4">
        <v>31024</v>
      </c>
      <c r="U650" s="5">
        <f t="shared" si="94"/>
        <v>1984</v>
      </c>
      <c r="V650" s="5" t="s">
        <v>3793</v>
      </c>
      <c r="W650" s="9">
        <f t="shared" si="91"/>
        <v>40</v>
      </c>
      <c r="X650" s="5" t="str">
        <f t="shared" si="95"/>
        <v>[40 - 44 ans]</v>
      </c>
      <c r="Y650" s="5" t="str">
        <f t="shared" si="96"/>
        <v xml:space="preserve"> Mellenials </v>
      </c>
      <c r="Z650" s="9">
        <f t="shared" si="97"/>
        <v>20</v>
      </c>
      <c r="AA650" s="5" t="str">
        <f t="shared" si="98"/>
        <v>RAS</v>
      </c>
      <c r="AB650" s="5" t="s">
        <v>3811</v>
      </c>
      <c r="AC650" s="6" t="s">
        <v>3801</v>
      </c>
      <c r="AE650" s="5" t="s">
        <v>3844</v>
      </c>
      <c r="AF650" s="5" t="s">
        <v>4482</v>
      </c>
      <c r="AG650" s="5" t="s">
        <v>4485</v>
      </c>
      <c r="AH650" s="5" t="s">
        <v>4488</v>
      </c>
      <c r="AI650" s="5" t="s">
        <v>4072</v>
      </c>
      <c r="AJ650" s="5" t="s">
        <v>4073</v>
      </c>
      <c r="AK650" s="5" t="s">
        <v>4074</v>
      </c>
      <c r="AL650" s="5" t="s">
        <v>3858</v>
      </c>
    </row>
    <row r="651" spans="1:38" x14ac:dyDescent="0.3">
      <c r="A651" s="4">
        <v>45716</v>
      </c>
      <c r="B651" s="5" t="s">
        <v>2331</v>
      </c>
      <c r="C651" s="5" t="s">
        <v>2332</v>
      </c>
      <c r="D651" s="5" t="s">
        <v>2333</v>
      </c>
      <c r="E651" s="5" t="s">
        <v>4494</v>
      </c>
      <c r="G651" s="5" t="s">
        <v>222</v>
      </c>
      <c r="H651" s="5" t="s">
        <v>2334</v>
      </c>
      <c r="I651" s="5" t="s">
        <v>2086</v>
      </c>
      <c r="J651" s="5" t="s">
        <v>2841</v>
      </c>
      <c r="K651" s="4">
        <v>41344</v>
      </c>
      <c r="L651" s="4">
        <v>41344</v>
      </c>
      <c r="M651" s="9">
        <f t="shared" si="90"/>
        <v>11</v>
      </c>
      <c r="N651" s="4" t="str">
        <f t="shared" si="92"/>
        <v>] 10 ; 15 ]</v>
      </c>
      <c r="O651" s="5" t="s">
        <v>3782</v>
      </c>
      <c r="P651" s="5" t="s">
        <v>3784</v>
      </c>
      <c r="Q651" s="5">
        <v>1</v>
      </c>
      <c r="R651" s="5" t="str">
        <f t="shared" si="93"/>
        <v>Management &amp; Expertise</v>
      </c>
      <c r="S651" s="5" t="s">
        <v>3790</v>
      </c>
      <c r="T651" s="4">
        <v>28673</v>
      </c>
      <c r="U651" s="5">
        <f t="shared" si="94"/>
        <v>1978</v>
      </c>
      <c r="V651" s="5" t="s">
        <v>3794</v>
      </c>
      <c r="W651" s="9">
        <f t="shared" si="91"/>
        <v>46</v>
      </c>
      <c r="X651" s="5" t="str">
        <f t="shared" si="95"/>
        <v>[45 - 49 ans]</v>
      </c>
      <c r="Y651" s="5" t="str">
        <f t="shared" si="96"/>
        <v xml:space="preserve"> Generation X </v>
      </c>
      <c r="Z651" s="9">
        <f t="shared" si="97"/>
        <v>14</v>
      </c>
      <c r="AA651" s="5" t="str">
        <f t="shared" si="98"/>
        <v>RAS</v>
      </c>
      <c r="AB651" s="5" t="s">
        <v>3806</v>
      </c>
      <c r="AC651" s="6" t="s">
        <v>3799</v>
      </c>
      <c r="AE651" s="5" t="s">
        <v>3845</v>
      </c>
      <c r="AF651" s="5" t="s">
        <v>4481</v>
      </c>
      <c r="AG651" s="5" t="s">
        <v>4485</v>
      </c>
      <c r="AH651" s="5" t="s">
        <v>4487</v>
      </c>
      <c r="AI651" s="5" t="s">
        <v>4400</v>
      </c>
      <c r="AJ651" s="5" t="s">
        <v>4401</v>
      </c>
      <c r="AK651" s="5" t="s">
        <v>3967</v>
      </c>
      <c r="AL651" s="5" t="s">
        <v>3854</v>
      </c>
    </row>
    <row r="652" spans="1:38" x14ac:dyDescent="0.3">
      <c r="A652" s="4">
        <v>45716</v>
      </c>
      <c r="B652" s="5" t="s">
        <v>2335</v>
      </c>
      <c r="C652" s="5" t="s">
        <v>2336</v>
      </c>
      <c r="D652" s="5" t="s">
        <v>2337</v>
      </c>
      <c r="E652" s="5" t="s">
        <v>4494</v>
      </c>
      <c r="G652" s="5" t="s">
        <v>44</v>
      </c>
      <c r="H652" s="5" t="s">
        <v>2338</v>
      </c>
      <c r="I652" s="5" t="s">
        <v>2841</v>
      </c>
      <c r="J652" s="5" t="s">
        <v>2841</v>
      </c>
      <c r="K652" s="4">
        <v>41346</v>
      </c>
      <c r="L652" s="4">
        <v>41346</v>
      </c>
      <c r="M652" s="9">
        <f t="shared" si="90"/>
        <v>11</v>
      </c>
      <c r="N652" s="4" t="str">
        <f t="shared" si="92"/>
        <v>] 10 ; 15 ]</v>
      </c>
      <c r="O652" s="5" t="s">
        <v>3779</v>
      </c>
      <c r="P652" s="5" t="s">
        <v>3779</v>
      </c>
      <c r="Q652" s="5">
        <v>1</v>
      </c>
      <c r="R652" s="5" t="str">
        <f t="shared" si="93"/>
        <v>Management &amp; Expertise</v>
      </c>
      <c r="S652" s="5" t="s">
        <v>3789</v>
      </c>
      <c r="T652" s="4">
        <v>26828</v>
      </c>
      <c r="U652" s="5">
        <f t="shared" si="94"/>
        <v>1973</v>
      </c>
      <c r="V652" s="5" t="s">
        <v>3793</v>
      </c>
      <c r="W652" s="9">
        <f t="shared" si="91"/>
        <v>51</v>
      </c>
      <c r="X652" s="5" t="str">
        <f t="shared" si="95"/>
        <v>[50 ans, +oo [</v>
      </c>
      <c r="Y652" s="5" t="str">
        <f t="shared" si="96"/>
        <v xml:space="preserve"> Generation X </v>
      </c>
      <c r="Z652" s="9">
        <f t="shared" si="97"/>
        <v>9</v>
      </c>
      <c r="AA652" s="5" t="str">
        <f t="shared" si="98"/>
        <v>RAS</v>
      </c>
      <c r="AB652" s="5" t="s">
        <v>3806</v>
      </c>
      <c r="AC652" s="6" t="s">
        <v>3799</v>
      </c>
      <c r="AE652" s="5" t="s">
        <v>3845</v>
      </c>
      <c r="AF652" s="5" t="s">
        <v>4481</v>
      </c>
      <c r="AG652" s="5" t="s">
        <v>4484</v>
      </c>
      <c r="AH652" s="5" t="s">
        <v>4487</v>
      </c>
      <c r="AI652" s="5" t="s">
        <v>4402</v>
      </c>
      <c r="AJ652" s="5" t="s">
        <v>4403</v>
      </c>
      <c r="AK652" s="5" t="s">
        <v>4404</v>
      </c>
      <c r="AL652" s="5" t="s">
        <v>3854</v>
      </c>
    </row>
    <row r="653" spans="1:38" x14ac:dyDescent="0.3">
      <c r="A653" s="4">
        <v>45716</v>
      </c>
      <c r="B653" s="5" t="s">
        <v>2339</v>
      </c>
      <c r="C653" s="5" t="s">
        <v>2340</v>
      </c>
      <c r="D653" s="5" t="s">
        <v>2341</v>
      </c>
      <c r="E653" s="5" t="s">
        <v>4494</v>
      </c>
      <c r="G653" s="5" t="s">
        <v>88</v>
      </c>
      <c r="H653" s="5" t="s">
        <v>456</v>
      </c>
      <c r="I653" s="5" t="s">
        <v>744</v>
      </c>
      <c r="J653" s="5" t="s">
        <v>883</v>
      </c>
      <c r="K653" s="4">
        <v>41351</v>
      </c>
      <c r="L653" s="4">
        <v>41351</v>
      </c>
      <c r="M653" s="9">
        <f t="shared" si="90"/>
        <v>11</v>
      </c>
      <c r="N653" s="4" t="str">
        <f t="shared" si="92"/>
        <v>] 10 ; 15 ]</v>
      </c>
      <c r="O653" s="5" t="s">
        <v>3780</v>
      </c>
      <c r="P653" s="5" t="s">
        <v>3780</v>
      </c>
      <c r="Q653" s="5">
        <v>3</v>
      </c>
      <c r="R653" s="5" t="str">
        <f t="shared" si="93"/>
        <v>Qualification</v>
      </c>
      <c r="S653" s="5" t="s">
        <v>3789</v>
      </c>
      <c r="T653" s="4">
        <v>32601</v>
      </c>
      <c r="U653" s="5">
        <f t="shared" si="94"/>
        <v>1989</v>
      </c>
      <c r="V653" s="5" t="s">
        <v>3793</v>
      </c>
      <c r="W653" s="9">
        <f t="shared" si="91"/>
        <v>35</v>
      </c>
      <c r="X653" s="5" t="str">
        <f t="shared" si="95"/>
        <v>[35 - 39 ans ]</v>
      </c>
      <c r="Y653" s="5" t="str">
        <f t="shared" si="96"/>
        <v xml:space="preserve"> Mellenials </v>
      </c>
      <c r="Z653" s="9">
        <f t="shared" si="97"/>
        <v>25</v>
      </c>
      <c r="AA653" s="5" t="str">
        <f t="shared" si="98"/>
        <v>RAS</v>
      </c>
      <c r="AB653" s="5" t="s">
        <v>3828</v>
      </c>
      <c r="AC653" s="6" t="s">
        <v>3799</v>
      </c>
      <c r="AE653" s="5" t="s">
        <v>3844</v>
      </c>
      <c r="AF653" s="5" t="s">
        <v>4482</v>
      </c>
      <c r="AG653" s="5" t="s">
        <v>4485</v>
      </c>
      <c r="AH653" s="5" t="s">
        <v>4488</v>
      </c>
      <c r="AI653" s="5" t="s">
        <v>4186</v>
      </c>
      <c r="AJ653" s="5" t="s">
        <v>4187</v>
      </c>
      <c r="AK653" s="5" t="s">
        <v>4183</v>
      </c>
      <c r="AL653" s="5" t="s">
        <v>3858</v>
      </c>
    </row>
    <row r="654" spans="1:38" x14ac:dyDescent="0.3">
      <c r="A654" s="4">
        <v>45716</v>
      </c>
      <c r="B654" s="5" t="s">
        <v>2342</v>
      </c>
      <c r="C654" s="5" t="s">
        <v>2343</v>
      </c>
      <c r="D654" s="5" t="s">
        <v>2344</v>
      </c>
      <c r="E654" s="5" t="s">
        <v>4494</v>
      </c>
      <c r="G654" s="5" t="s">
        <v>29</v>
      </c>
      <c r="H654" s="5" t="s">
        <v>74</v>
      </c>
      <c r="I654" s="5" t="s">
        <v>128</v>
      </c>
      <c r="J654" s="5" t="s">
        <v>2355</v>
      </c>
      <c r="K654" s="4">
        <v>41365</v>
      </c>
      <c r="L654" s="4">
        <v>41365</v>
      </c>
      <c r="M654" s="9">
        <f t="shared" si="90"/>
        <v>11</v>
      </c>
      <c r="N654" s="4" t="str">
        <f t="shared" si="92"/>
        <v>] 10 ; 15 ]</v>
      </c>
      <c r="O654" s="5" t="s">
        <v>3782</v>
      </c>
      <c r="P654" s="5" t="s">
        <v>3782</v>
      </c>
      <c r="Q654" s="5">
        <v>1</v>
      </c>
      <c r="R654" s="5" t="str">
        <f t="shared" si="93"/>
        <v>Management &amp; Expertise</v>
      </c>
      <c r="S654" s="5" t="s">
        <v>3789</v>
      </c>
      <c r="T654" s="4">
        <v>30410</v>
      </c>
      <c r="U654" s="5">
        <f t="shared" si="94"/>
        <v>1983</v>
      </c>
      <c r="V654" s="5" t="s">
        <v>3793</v>
      </c>
      <c r="W654" s="9">
        <f t="shared" si="91"/>
        <v>41</v>
      </c>
      <c r="X654" s="5" t="str">
        <f t="shared" si="95"/>
        <v>[40 - 44 ans]</v>
      </c>
      <c r="Y654" s="5" t="str">
        <f t="shared" si="96"/>
        <v xml:space="preserve"> Mellenials </v>
      </c>
      <c r="Z654" s="9">
        <f t="shared" si="97"/>
        <v>19</v>
      </c>
      <c r="AA654" s="5" t="str">
        <f t="shared" si="98"/>
        <v>RAS</v>
      </c>
      <c r="AB654" s="5" t="s">
        <v>3806</v>
      </c>
      <c r="AC654" s="6" t="s">
        <v>3799</v>
      </c>
      <c r="AE654" s="5" t="s">
        <v>3845</v>
      </c>
      <c r="AF654" s="5" t="s">
        <v>4481</v>
      </c>
      <c r="AG654" s="5" t="s">
        <v>4485</v>
      </c>
      <c r="AH654" s="5" t="s">
        <v>4487</v>
      </c>
      <c r="AI654" s="5" t="s">
        <v>4333</v>
      </c>
      <c r="AJ654" s="5" t="s">
        <v>4334</v>
      </c>
      <c r="AK654" s="5" t="s">
        <v>4335</v>
      </c>
      <c r="AL654" s="5" t="s">
        <v>3854</v>
      </c>
    </row>
    <row r="655" spans="1:38" x14ac:dyDescent="0.3">
      <c r="A655" s="4">
        <v>45716</v>
      </c>
      <c r="B655" s="5" t="s">
        <v>2345</v>
      </c>
      <c r="C655" s="5" t="s">
        <v>2346</v>
      </c>
      <c r="D655" s="5" t="s">
        <v>2347</v>
      </c>
      <c r="E655" s="5" t="s">
        <v>4494</v>
      </c>
      <c r="G655" s="5" t="s">
        <v>178</v>
      </c>
      <c r="H655" s="5" t="s">
        <v>2348</v>
      </c>
      <c r="I655" s="5" t="s">
        <v>3312</v>
      </c>
      <c r="J655" s="5" t="s">
        <v>1393</v>
      </c>
      <c r="K655" s="4">
        <v>41365</v>
      </c>
      <c r="L655" s="4">
        <v>41365</v>
      </c>
      <c r="M655" s="9">
        <f t="shared" si="90"/>
        <v>11</v>
      </c>
      <c r="N655" s="4" t="str">
        <f t="shared" si="92"/>
        <v>] 10 ; 15 ]</v>
      </c>
      <c r="O655" s="5" t="s">
        <v>3783</v>
      </c>
      <c r="P655" s="5" t="s">
        <v>3785</v>
      </c>
      <c r="Q655" s="5">
        <v>1</v>
      </c>
      <c r="R655" s="5" t="str">
        <f t="shared" si="93"/>
        <v>Specialisation</v>
      </c>
      <c r="S655" s="5" t="s">
        <v>3790</v>
      </c>
      <c r="T655" s="4">
        <v>26480</v>
      </c>
      <c r="U655" s="5">
        <f t="shared" si="94"/>
        <v>1972</v>
      </c>
      <c r="V655" s="5" t="s">
        <v>3792</v>
      </c>
      <c r="W655" s="9">
        <f t="shared" si="91"/>
        <v>52</v>
      </c>
      <c r="X655" s="5" t="str">
        <f t="shared" si="95"/>
        <v>[50 ans, +oo [</v>
      </c>
      <c r="Y655" s="5" t="str">
        <f t="shared" si="96"/>
        <v xml:space="preserve"> Generation X </v>
      </c>
      <c r="Z655" s="9">
        <f t="shared" si="97"/>
        <v>8</v>
      </c>
      <c r="AA655" s="5" t="str">
        <f t="shared" si="98"/>
        <v>RAS</v>
      </c>
      <c r="AB655" s="5" t="s">
        <v>3806</v>
      </c>
      <c r="AC655" s="6" t="s">
        <v>3799</v>
      </c>
      <c r="AE655" s="5" t="s">
        <v>3844</v>
      </c>
      <c r="AF655" s="5" t="s">
        <v>4482</v>
      </c>
      <c r="AG655" s="5" t="s">
        <v>4485</v>
      </c>
      <c r="AH655" s="5" t="s">
        <v>4488</v>
      </c>
      <c r="AI655" s="5" t="s">
        <v>4255</v>
      </c>
      <c r="AJ655" s="5" t="s">
        <v>4256</v>
      </c>
      <c r="AK655" s="5" t="s">
        <v>3980</v>
      </c>
      <c r="AL655" s="5" t="s">
        <v>3858</v>
      </c>
    </row>
    <row r="656" spans="1:38" x14ac:dyDescent="0.3">
      <c r="A656" s="4">
        <v>45716</v>
      </c>
      <c r="B656" s="5" t="s">
        <v>2349</v>
      </c>
      <c r="C656" s="5" t="s">
        <v>2350</v>
      </c>
      <c r="D656" s="5" t="s">
        <v>2351</v>
      </c>
      <c r="E656" s="5" t="s">
        <v>4494</v>
      </c>
      <c r="G656" s="5" t="s">
        <v>178</v>
      </c>
      <c r="H656" s="5" t="s">
        <v>2352</v>
      </c>
      <c r="I656" s="5" t="s">
        <v>3397</v>
      </c>
      <c r="J656" s="5" t="s">
        <v>435</v>
      </c>
      <c r="K656" s="4">
        <v>41365</v>
      </c>
      <c r="L656" s="4">
        <v>41365</v>
      </c>
      <c r="M656" s="9">
        <f t="shared" si="90"/>
        <v>11</v>
      </c>
      <c r="N656" s="4" t="str">
        <f t="shared" si="92"/>
        <v>] 10 ; 15 ]</v>
      </c>
      <c r="O656" s="5" t="s">
        <v>3783</v>
      </c>
      <c r="P656" s="5" t="s">
        <v>3783</v>
      </c>
      <c r="Q656" s="5">
        <v>2</v>
      </c>
      <c r="R656" s="5" t="str">
        <f t="shared" si="93"/>
        <v>Specialisation</v>
      </c>
      <c r="S656" s="5" t="s">
        <v>3790</v>
      </c>
      <c r="T656" s="4">
        <v>32135</v>
      </c>
      <c r="U656" s="5">
        <f t="shared" si="94"/>
        <v>1987</v>
      </c>
      <c r="V656" s="5" t="s">
        <v>3793</v>
      </c>
      <c r="W656" s="9">
        <f t="shared" si="91"/>
        <v>37</v>
      </c>
      <c r="X656" s="5" t="str">
        <f t="shared" si="95"/>
        <v>[35 - 39 ans ]</v>
      </c>
      <c r="Y656" s="5" t="str">
        <f t="shared" si="96"/>
        <v xml:space="preserve"> Mellenials </v>
      </c>
      <c r="Z656" s="9">
        <f t="shared" si="97"/>
        <v>23</v>
      </c>
      <c r="AA656" s="5" t="str">
        <f t="shared" si="98"/>
        <v>RAS</v>
      </c>
      <c r="AB656" s="5" t="s">
        <v>3806</v>
      </c>
      <c r="AC656" s="6" t="s">
        <v>3799</v>
      </c>
      <c r="AE656" s="5" t="s">
        <v>3844</v>
      </c>
      <c r="AF656" s="5" t="s">
        <v>4482</v>
      </c>
      <c r="AG656" s="5" t="s">
        <v>4485</v>
      </c>
      <c r="AH656" s="5" t="s">
        <v>4488</v>
      </c>
      <c r="AI656" s="5" t="s">
        <v>4034</v>
      </c>
      <c r="AJ656" s="5" t="s">
        <v>4035</v>
      </c>
      <c r="AK656" s="5" t="s">
        <v>3962</v>
      </c>
      <c r="AL656" s="5" t="s">
        <v>3858</v>
      </c>
    </row>
    <row r="657" spans="1:38" x14ac:dyDescent="0.3">
      <c r="A657" s="4">
        <v>45716</v>
      </c>
      <c r="B657" s="5" t="s">
        <v>2353</v>
      </c>
      <c r="C657" s="5" t="s">
        <v>2354</v>
      </c>
      <c r="D657" s="5" t="s">
        <v>2355</v>
      </c>
      <c r="E657" s="5" t="s">
        <v>4494</v>
      </c>
      <c r="G657" s="5" t="s">
        <v>29</v>
      </c>
      <c r="H657" s="5" t="s">
        <v>2356</v>
      </c>
      <c r="I657" s="5" t="s">
        <v>2841</v>
      </c>
      <c r="J657" s="5" t="s">
        <v>2841</v>
      </c>
      <c r="K657" s="4">
        <v>41374</v>
      </c>
      <c r="L657" s="4">
        <v>41374</v>
      </c>
      <c r="M657" s="9">
        <f t="shared" si="90"/>
        <v>11</v>
      </c>
      <c r="N657" s="4" t="str">
        <f t="shared" si="92"/>
        <v>] 10 ; 15 ]</v>
      </c>
      <c r="O657" s="5" t="s">
        <v>3779</v>
      </c>
      <c r="P657" s="5" t="s">
        <v>3779</v>
      </c>
      <c r="Q657" s="5">
        <v>2</v>
      </c>
      <c r="R657" s="5" t="str">
        <f t="shared" si="93"/>
        <v>Management &amp; Expertise</v>
      </c>
      <c r="S657" s="5" t="s">
        <v>3790</v>
      </c>
      <c r="T657" s="4">
        <v>26001</v>
      </c>
      <c r="U657" s="5">
        <f t="shared" si="94"/>
        <v>1971</v>
      </c>
      <c r="V657" s="5" t="s">
        <v>3793</v>
      </c>
      <c r="W657" s="9">
        <f t="shared" si="91"/>
        <v>53</v>
      </c>
      <c r="X657" s="5" t="str">
        <f t="shared" si="95"/>
        <v>[50 ans, +oo [</v>
      </c>
      <c r="Y657" s="5" t="str">
        <f t="shared" si="96"/>
        <v xml:space="preserve"> Generation X </v>
      </c>
      <c r="Z657" s="9">
        <f t="shared" si="97"/>
        <v>7</v>
      </c>
      <c r="AA657" s="5" t="str">
        <f t="shared" si="98"/>
        <v>RAS</v>
      </c>
      <c r="AB657" s="5" t="s">
        <v>3806</v>
      </c>
      <c r="AC657" s="6" t="s">
        <v>3799</v>
      </c>
      <c r="AE657" s="5" t="s">
        <v>3845</v>
      </c>
      <c r="AF657" s="5" t="s">
        <v>4481</v>
      </c>
      <c r="AG657" s="5" t="s">
        <v>4484</v>
      </c>
      <c r="AH657" s="5" t="s">
        <v>4487</v>
      </c>
      <c r="AI657" s="5" t="s">
        <v>4405</v>
      </c>
      <c r="AJ657" s="5" t="s">
        <v>4406</v>
      </c>
      <c r="AK657" s="5" t="s">
        <v>4201</v>
      </c>
      <c r="AL657" s="5" t="s">
        <v>3854</v>
      </c>
    </row>
    <row r="658" spans="1:38" x14ac:dyDescent="0.3">
      <c r="A658" s="4">
        <v>45716</v>
      </c>
      <c r="B658" s="5" t="s">
        <v>2357</v>
      </c>
      <c r="C658" s="5" t="s">
        <v>2358</v>
      </c>
      <c r="D658" s="5" t="s">
        <v>2359</v>
      </c>
      <c r="E658" s="5" t="s">
        <v>4494</v>
      </c>
      <c r="G658" s="5" t="s">
        <v>88</v>
      </c>
      <c r="H658" s="5" t="s">
        <v>456</v>
      </c>
      <c r="I658" s="5" t="s">
        <v>770</v>
      </c>
      <c r="J658" s="5" t="s">
        <v>883</v>
      </c>
      <c r="K658" s="4">
        <v>41351</v>
      </c>
      <c r="L658" s="4">
        <v>41351</v>
      </c>
      <c r="M658" s="9">
        <f t="shared" si="90"/>
        <v>11</v>
      </c>
      <c r="N658" s="4" t="str">
        <f t="shared" si="92"/>
        <v>] 10 ; 15 ]</v>
      </c>
      <c r="O658" s="5" t="s">
        <v>3780</v>
      </c>
      <c r="P658" s="5" t="s">
        <v>3780</v>
      </c>
      <c r="Q658" s="5">
        <v>3</v>
      </c>
      <c r="R658" s="5" t="str">
        <f t="shared" si="93"/>
        <v>Qualification</v>
      </c>
      <c r="S658" s="5" t="s">
        <v>3790</v>
      </c>
      <c r="T658" s="4">
        <v>32360</v>
      </c>
      <c r="U658" s="5">
        <f t="shared" si="94"/>
        <v>1988</v>
      </c>
      <c r="V658" s="5" t="s">
        <v>3793</v>
      </c>
      <c r="W658" s="9">
        <f t="shared" si="91"/>
        <v>36</v>
      </c>
      <c r="X658" s="5" t="str">
        <f t="shared" si="95"/>
        <v>[35 - 39 ans ]</v>
      </c>
      <c r="Y658" s="5" t="str">
        <f t="shared" si="96"/>
        <v xml:space="preserve"> Mellenials </v>
      </c>
      <c r="Z658" s="9">
        <f t="shared" si="97"/>
        <v>24</v>
      </c>
      <c r="AA658" s="5" t="str">
        <f t="shared" si="98"/>
        <v>RAS</v>
      </c>
      <c r="AB658" s="5" t="s">
        <v>3814</v>
      </c>
      <c r="AC658" s="6" t="s">
        <v>3799</v>
      </c>
      <c r="AE658" s="5" t="s">
        <v>3844</v>
      </c>
      <c r="AF658" s="5" t="s">
        <v>4482</v>
      </c>
      <c r="AG658" s="5" t="s">
        <v>4485</v>
      </c>
      <c r="AH658" s="5" t="s">
        <v>4488</v>
      </c>
      <c r="AI658" s="5" t="s">
        <v>4075</v>
      </c>
      <c r="AJ658" s="5" t="s">
        <v>4076</v>
      </c>
      <c r="AK658" s="5" t="s">
        <v>4077</v>
      </c>
      <c r="AL658" s="5" t="s">
        <v>3858</v>
      </c>
    </row>
    <row r="659" spans="1:38" x14ac:dyDescent="0.3">
      <c r="A659" s="4">
        <v>45716</v>
      </c>
      <c r="B659" s="5" t="s">
        <v>2360</v>
      </c>
      <c r="C659" s="5" t="s">
        <v>2361</v>
      </c>
      <c r="D659" s="5" t="s">
        <v>2362</v>
      </c>
      <c r="E659" s="5" t="s">
        <v>4494</v>
      </c>
      <c r="G659" s="5" t="s">
        <v>39</v>
      </c>
      <c r="H659" s="5" t="s">
        <v>2363</v>
      </c>
      <c r="I659" s="5" t="s">
        <v>2991</v>
      </c>
      <c r="J659" s="5" t="s">
        <v>278</v>
      </c>
      <c r="K659" s="4">
        <v>41388</v>
      </c>
      <c r="L659" s="4">
        <v>41388</v>
      </c>
      <c r="M659" s="9">
        <f t="shared" si="90"/>
        <v>11</v>
      </c>
      <c r="N659" s="4" t="str">
        <f t="shared" si="92"/>
        <v>] 10 ; 15 ]</v>
      </c>
      <c r="O659" s="5" t="s">
        <v>3782</v>
      </c>
      <c r="P659" s="5" t="s">
        <v>3782</v>
      </c>
      <c r="Q659" s="5">
        <v>2</v>
      </c>
      <c r="R659" s="5" t="str">
        <f t="shared" si="93"/>
        <v>Management &amp; Expertise</v>
      </c>
      <c r="S659" s="5" t="s">
        <v>3790</v>
      </c>
      <c r="T659" s="4">
        <v>32469</v>
      </c>
      <c r="U659" s="5">
        <f t="shared" si="94"/>
        <v>1988</v>
      </c>
      <c r="V659" s="5" t="s">
        <v>3793</v>
      </c>
      <c r="W659" s="9">
        <f t="shared" si="91"/>
        <v>36</v>
      </c>
      <c r="X659" s="5" t="str">
        <f t="shared" si="95"/>
        <v>[35 - 39 ans ]</v>
      </c>
      <c r="Y659" s="5" t="str">
        <f t="shared" si="96"/>
        <v xml:space="preserve"> Mellenials </v>
      </c>
      <c r="Z659" s="9">
        <f t="shared" si="97"/>
        <v>24</v>
      </c>
      <c r="AA659" s="5" t="str">
        <f t="shared" si="98"/>
        <v>RAS</v>
      </c>
      <c r="AB659" s="5" t="s">
        <v>3807</v>
      </c>
      <c r="AC659" s="6" t="s">
        <v>3799</v>
      </c>
      <c r="AE659" s="5" t="s">
        <v>3844</v>
      </c>
      <c r="AF659" s="5" t="s">
        <v>4481</v>
      </c>
      <c r="AG659" s="5" t="s">
        <v>4485</v>
      </c>
      <c r="AH659" s="5" t="s">
        <v>4489</v>
      </c>
      <c r="AI659" s="5" t="s">
        <v>4407</v>
      </c>
      <c r="AJ659" s="5" t="s">
        <v>4408</v>
      </c>
      <c r="AK659" s="5" t="s">
        <v>4409</v>
      </c>
      <c r="AL659" s="5" t="s">
        <v>3858</v>
      </c>
    </row>
    <row r="660" spans="1:38" x14ac:dyDescent="0.3">
      <c r="A660" s="4">
        <v>45716</v>
      </c>
      <c r="B660" s="5" t="s">
        <v>2364</v>
      </c>
      <c r="C660" s="5" t="s">
        <v>2365</v>
      </c>
      <c r="D660" s="5" t="s">
        <v>2366</v>
      </c>
      <c r="E660" s="5" t="s">
        <v>4494</v>
      </c>
      <c r="G660" s="5" t="s">
        <v>39</v>
      </c>
      <c r="H660" s="5" t="s">
        <v>2367</v>
      </c>
      <c r="I660" s="5" t="s">
        <v>3262</v>
      </c>
      <c r="J660" s="5" t="s">
        <v>149</v>
      </c>
      <c r="K660" s="4">
        <v>41428</v>
      </c>
      <c r="L660" s="4">
        <v>41428</v>
      </c>
      <c r="M660" s="9">
        <f t="shared" si="90"/>
        <v>11</v>
      </c>
      <c r="N660" s="4" t="str">
        <f t="shared" si="92"/>
        <v>] 10 ; 15 ]</v>
      </c>
      <c r="O660" s="5" t="s">
        <v>3782</v>
      </c>
      <c r="P660" s="5" t="s">
        <v>3782</v>
      </c>
      <c r="Q660" s="5">
        <v>1</v>
      </c>
      <c r="R660" s="5" t="str">
        <f t="shared" si="93"/>
        <v>Management &amp; Expertise</v>
      </c>
      <c r="S660" s="5" t="s">
        <v>3789</v>
      </c>
      <c r="T660" s="4">
        <v>32152</v>
      </c>
      <c r="U660" s="5">
        <f t="shared" si="94"/>
        <v>1988</v>
      </c>
      <c r="V660" s="5" t="s">
        <v>3793</v>
      </c>
      <c r="W660" s="9">
        <f t="shared" si="91"/>
        <v>37</v>
      </c>
      <c r="X660" s="5" t="str">
        <f t="shared" si="95"/>
        <v>[35 - 39 ans ]</v>
      </c>
      <c r="Y660" s="5" t="str">
        <f t="shared" si="96"/>
        <v xml:space="preserve"> Mellenials </v>
      </c>
      <c r="Z660" s="9">
        <f t="shared" si="97"/>
        <v>23</v>
      </c>
      <c r="AA660" s="5" t="str">
        <f t="shared" si="98"/>
        <v>RAS</v>
      </c>
      <c r="AB660" s="5" t="s">
        <v>3807</v>
      </c>
      <c r="AC660" s="6" t="s">
        <v>3799</v>
      </c>
      <c r="AE660" s="5" t="s">
        <v>3844</v>
      </c>
      <c r="AF660" s="5" t="s">
        <v>4481</v>
      </c>
      <c r="AG660" s="5" t="s">
        <v>4485</v>
      </c>
      <c r="AH660" s="5" t="s">
        <v>4489</v>
      </c>
      <c r="AI660" s="5" t="s">
        <v>3871</v>
      </c>
      <c r="AJ660" s="5" t="s">
        <v>3872</v>
      </c>
      <c r="AK660" s="5" t="s">
        <v>3873</v>
      </c>
      <c r="AL660" s="5" t="s">
        <v>3858</v>
      </c>
    </row>
    <row r="661" spans="1:38" x14ac:dyDescent="0.3">
      <c r="A661" s="4">
        <v>45716</v>
      </c>
      <c r="B661" s="5" t="s">
        <v>2368</v>
      </c>
      <c r="C661" s="5" t="s">
        <v>2369</v>
      </c>
      <c r="D661" s="5" t="s">
        <v>2370</v>
      </c>
      <c r="E661" s="5" t="s">
        <v>4494</v>
      </c>
      <c r="G661" s="5" t="s">
        <v>24</v>
      </c>
      <c r="H661" s="5" t="s">
        <v>1138</v>
      </c>
      <c r="I661" s="5" t="s">
        <v>998</v>
      </c>
      <c r="J661" s="5" t="s">
        <v>23</v>
      </c>
      <c r="K661" s="4">
        <v>41442</v>
      </c>
      <c r="L661" s="4">
        <v>41442</v>
      </c>
      <c r="M661" s="9">
        <f t="shared" si="90"/>
        <v>11</v>
      </c>
      <c r="N661" s="4" t="str">
        <f t="shared" si="92"/>
        <v>] 10 ; 15 ]</v>
      </c>
      <c r="O661" s="5" t="s">
        <v>3785</v>
      </c>
      <c r="P661" s="5" t="s">
        <v>3785</v>
      </c>
      <c r="Q661" s="5">
        <v>1</v>
      </c>
      <c r="R661" s="5" t="str">
        <f t="shared" si="93"/>
        <v>Specialisation</v>
      </c>
      <c r="S661" s="5" t="s">
        <v>3789</v>
      </c>
      <c r="T661" s="4">
        <v>30232</v>
      </c>
      <c r="U661" s="5">
        <f t="shared" si="94"/>
        <v>1982</v>
      </c>
      <c r="V661" s="5" t="s">
        <v>3792</v>
      </c>
      <c r="W661" s="9">
        <f t="shared" si="91"/>
        <v>42</v>
      </c>
      <c r="X661" s="5" t="str">
        <f t="shared" si="95"/>
        <v>[40 - 44 ans]</v>
      </c>
      <c r="Y661" s="5" t="str">
        <f t="shared" si="96"/>
        <v xml:space="preserve"> Mellenials </v>
      </c>
      <c r="Z661" s="9">
        <f t="shared" si="97"/>
        <v>18</v>
      </c>
      <c r="AA661" s="5" t="str">
        <f t="shared" si="98"/>
        <v>RAS</v>
      </c>
      <c r="AB661" s="5" t="s">
        <v>3836</v>
      </c>
      <c r="AC661" s="6" t="s">
        <v>3800</v>
      </c>
      <c r="AE661" s="5" t="s">
        <v>3844</v>
      </c>
      <c r="AF661" s="5" t="s">
        <v>4481</v>
      </c>
      <c r="AG661" s="5" t="s">
        <v>4485</v>
      </c>
      <c r="AH661" s="5" t="s">
        <v>4488</v>
      </c>
      <c r="AI661" s="5" t="s">
        <v>3981</v>
      </c>
      <c r="AJ661" s="5" t="s">
        <v>3982</v>
      </c>
      <c r="AK661" s="5" t="s">
        <v>3983</v>
      </c>
      <c r="AL661" s="5" t="s">
        <v>3858</v>
      </c>
    </row>
    <row r="662" spans="1:38" x14ac:dyDescent="0.3">
      <c r="A662" s="4">
        <v>45716</v>
      </c>
      <c r="B662" s="5" t="s">
        <v>2371</v>
      </c>
      <c r="C662" s="5" t="s">
        <v>2372</v>
      </c>
      <c r="D662" s="5" t="s">
        <v>2373</v>
      </c>
      <c r="E662" s="5" t="s">
        <v>4494</v>
      </c>
      <c r="G662" s="5" t="s">
        <v>222</v>
      </c>
      <c r="H662" s="5" t="s">
        <v>2374</v>
      </c>
      <c r="I662" s="5" t="s">
        <v>1226</v>
      </c>
      <c r="J662" s="5" t="s">
        <v>2086</v>
      </c>
      <c r="K662" s="4">
        <v>41472</v>
      </c>
      <c r="L662" s="4">
        <v>39931</v>
      </c>
      <c r="M662" s="9">
        <f t="shared" si="90"/>
        <v>15</v>
      </c>
      <c r="N662" s="4" t="str">
        <f t="shared" si="92"/>
        <v>] 10 ; 15 ]</v>
      </c>
      <c r="O662" s="5" t="s">
        <v>3785</v>
      </c>
      <c r="P662" s="5" t="s">
        <v>3785</v>
      </c>
      <c r="Q662" s="5">
        <v>1</v>
      </c>
      <c r="R662" s="5" t="str">
        <f t="shared" si="93"/>
        <v>Specialisation</v>
      </c>
      <c r="S662" s="5" t="s">
        <v>3789</v>
      </c>
      <c r="T662" s="4">
        <v>30384</v>
      </c>
      <c r="U662" s="5">
        <f t="shared" si="94"/>
        <v>1983</v>
      </c>
      <c r="V662" s="5" t="s">
        <v>3792</v>
      </c>
      <c r="W662" s="9">
        <f t="shared" si="91"/>
        <v>41</v>
      </c>
      <c r="X662" s="5" t="str">
        <f t="shared" si="95"/>
        <v>[40 - 44 ans]</v>
      </c>
      <c r="Y662" s="5" t="str">
        <f t="shared" si="96"/>
        <v xml:space="preserve"> Mellenials </v>
      </c>
      <c r="Z662" s="9">
        <f t="shared" si="97"/>
        <v>19</v>
      </c>
      <c r="AA662" s="5" t="str">
        <f t="shared" si="98"/>
        <v>RAS</v>
      </c>
      <c r="AB662" s="5" t="s">
        <v>3806</v>
      </c>
      <c r="AC662" s="6" t="s">
        <v>3799</v>
      </c>
      <c r="AE662" s="5" t="s">
        <v>3844</v>
      </c>
      <c r="AF662" s="5" t="s">
        <v>4481</v>
      </c>
      <c r="AG662" s="5" t="s">
        <v>4485</v>
      </c>
      <c r="AH662" s="5" t="s">
        <v>4487</v>
      </c>
      <c r="AI662" s="5" t="s">
        <v>4269</v>
      </c>
      <c r="AJ662" s="5" t="s">
        <v>4270</v>
      </c>
      <c r="AK662" s="5" t="s">
        <v>4239</v>
      </c>
      <c r="AL662" s="5" t="s">
        <v>3858</v>
      </c>
    </row>
    <row r="663" spans="1:38" x14ac:dyDescent="0.3">
      <c r="A663" s="4">
        <v>45716</v>
      </c>
      <c r="B663" s="5" t="s">
        <v>2375</v>
      </c>
      <c r="C663" s="5" t="s">
        <v>2376</v>
      </c>
      <c r="D663" s="5" t="s">
        <v>2377</v>
      </c>
      <c r="E663" s="5" t="s">
        <v>4494</v>
      </c>
      <c r="G663" s="5" t="s">
        <v>39</v>
      </c>
      <c r="H663" s="5" t="s">
        <v>2378</v>
      </c>
      <c r="I663" s="5" t="s">
        <v>2821</v>
      </c>
      <c r="J663" s="5" t="s">
        <v>2841</v>
      </c>
      <c r="K663" s="4">
        <v>41487</v>
      </c>
      <c r="L663" s="4">
        <v>41487</v>
      </c>
      <c r="M663" s="9">
        <f t="shared" si="90"/>
        <v>11</v>
      </c>
      <c r="N663" s="4" t="str">
        <f t="shared" si="92"/>
        <v>] 10 ; 15 ]</v>
      </c>
      <c r="O663" s="5" t="s">
        <v>3782</v>
      </c>
      <c r="P663" s="5" t="s">
        <v>3782</v>
      </c>
      <c r="Q663" s="5">
        <v>1</v>
      </c>
      <c r="R663" s="5" t="str">
        <f t="shared" si="93"/>
        <v>Management &amp; Expertise</v>
      </c>
      <c r="S663" s="5" t="s">
        <v>3790</v>
      </c>
      <c r="T663" s="4">
        <v>30401</v>
      </c>
      <c r="U663" s="5">
        <f t="shared" si="94"/>
        <v>1983</v>
      </c>
      <c r="V663" s="5" t="s">
        <v>3793</v>
      </c>
      <c r="W663" s="9">
        <f t="shared" si="91"/>
        <v>41</v>
      </c>
      <c r="X663" s="5" t="str">
        <f t="shared" si="95"/>
        <v>[40 - 44 ans]</v>
      </c>
      <c r="Y663" s="5" t="str">
        <f t="shared" si="96"/>
        <v xml:space="preserve"> Mellenials </v>
      </c>
      <c r="Z663" s="9">
        <f t="shared" si="97"/>
        <v>19</v>
      </c>
      <c r="AA663" s="5" t="str">
        <f t="shared" si="98"/>
        <v>RAS</v>
      </c>
      <c r="AB663" s="5" t="s">
        <v>3807</v>
      </c>
      <c r="AC663" s="6" t="s">
        <v>3799</v>
      </c>
      <c r="AE663" s="5" t="s">
        <v>3844</v>
      </c>
      <c r="AF663" s="5" t="s">
        <v>4481</v>
      </c>
      <c r="AG663" s="5" t="s">
        <v>4485</v>
      </c>
      <c r="AH663" s="5" t="s">
        <v>4489</v>
      </c>
      <c r="AI663" s="5" t="s">
        <v>4289</v>
      </c>
      <c r="AJ663" s="5" t="s">
        <v>4290</v>
      </c>
      <c r="AK663" s="5" t="s">
        <v>4242</v>
      </c>
      <c r="AL663" s="5" t="s">
        <v>3858</v>
      </c>
    </row>
    <row r="664" spans="1:38" x14ac:dyDescent="0.3">
      <c r="A664" s="4">
        <v>45716</v>
      </c>
      <c r="B664" s="5" t="s">
        <v>2379</v>
      </c>
      <c r="C664" s="5" t="s">
        <v>2380</v>
      </c>
      <c r="D664" s="5" t="s">
        <v>2381</v>
      </c>
      <c r="E664" s="5" t="s">
        <v>4494</v>
      </c>
      <c r="G664" s="5" t="s">
        <v>39</v>
      </c>
      <c r="H664" s="5" t="s">
        <v>471</v>
      </c>
      <c r="I664" s="5" t="s">
        <v>1835</v>
      </c>
      <c r="J664" s="5" t="s">
        <v>48</v>
      </c>
      <c r="K664" s="4">
        <v>41484</v>
      </c>
      <c r="L664" s="4">
        <v>40112</v>
      </c>
      <c r="M664" s="9">
        <f t="shared" si="90"/>
        <v>15</v>
      </c>
      <c r="N664" s="4" t="str">
        <f t="shared" si="92"/>
        <v>] 10 ; 15 ]</v>
      </c>
      <c r="O664" s="5" t="s">
        <v>3786</v>
      </c>
      <c r="P664" s="5" t="s">
        <v>3786</v>
      </c>
      <c r="Q664" s="5">
        <v>1</v>
      </c>
      <c r="R664" s="5" t="str">
        <f t="shared" si="93"/>
        <v>Specialisation</v>
      </c>
      <c r="S664" s="5" t="s">
        <v>3789</v>
      </c>
      <c r="T664" s="4">
        <v>30803</v>
      </c>
      <c r="U664" s="5">
        <f t="shared" si="94"/>
        <v>1984</v>
      </c>
      <c r="V664" s="5" t="s">
        <v>3793</v>
      </c>
      <c r="W664" s="9">
        <f t="shared" si="91"/>
        <v>40</v>
      </c>
      <c r="X664" s="5" t="str">
        <f t="shared" si="95"/>
        <v>[40 - 44 ans]</v>
      </c>
      <c r="Y664" s="5" t="str">
        <f t="shared" si="96"/>
        <v xml:space="preserve"> Mellenials </v>
      </c>
      <c r="Z664" s="9">
        <f t="shared" si="97"/>
        <v>20</v>
      </c>
      <c r="AA664" s="5" t="str">
        <f t="shared" si="98"/>
        <v>RAS</v>
      </c>
      <c r="AB664" s="5" t="s">
        <v>3807</v>
      </c>
      <c r="AC664" s="6" t="s">
        <v>3799</v>
      </c>
      <c r="AE664" s="5" t="s">
        <v>3844</v>
      </c>
      <c r="AF664" s="5" t="s">
        <v>4482</v>
      </c>
      <c r="AG664" s="5" t="s">
        <v>4485</v>
      </c>
      <c r="AH664" s="5" t="s">
        <v>4489</v>
      </c>
      <c r="AI664" s="5" t="s">
        <v>4078</v>
      </c>
      <c r="AJ664" s="5" t="s">
        <v>4079</v>
      </c>
      <c r="AK664" s="5" t="s">
        <v>4080</v>
      </c>
      <c r="AL664" s="5" t="s">
        <v>3858</v>
      </c>
    </row>
    <row r="665" spans="1:38" x14ac:dyDescent="0.3">
      <c r="A665" s="4">
        <v>45716</v>
      </c>
      <c r="B665" s="5" t="s">
        <v>2382</v>
      </c>
      <c r="C665" s="5" t="s">
        <v>2383</v>
      </c>
      <c r="D665" s="5" t="s">
        <v>2384</v>
      </c>
      <c r="E665" s="5" t="s">
        <v>4494</v>
      </c>
      <c r="G665" s="5" t="s">
        <v>39</v>
      </c>
      <c r="H665" s="5" t="s">
        <v>4505</v>
      </c>
      <c r="I665" s="5" t="s">
        <v>1702</v>
      </c>
      <c r="J665" s="5" t="s">
        <v>120</v>
      </c>
      <c r="K665" s="4">
        <v>41484</v>
      </c>
      <c r="L665" s="4">
        <v>40112</v>
      </c>
      <c r="M665" s="9">
        <f t="shared" si="90"/>
        <v>15</v>
      </c>
      <c r="N665" s="4" t="str">
        <f t="shared" si="92"/>
        <v>] 10 ; 15 ]</v>
      </c>
      <c r="O665" s="5" t="s">
        <v>3785</v>
      </c>
      <c r="P665" s="5" t="s">
        <v>3785</v>
      </c>
      <c r="Q665" s="5">
        <v>1</v>
      </c>
      <c r="R665" s="5" t="str">
        <f t="shared" si="93"/>
        <v>Specialisation</v>
      </c>
      <c r="S665" s="5" t="s">
        <v>3790</v>
      </c>
      <c r="T665" s="4">
        <v>30492</v>
      </c>
      <c r="U665" s="5">
        <f t="shared" si="94"/>
        <v>1983</v>
      </c>
      <c r="V665" s="5" t="s">
        <v>3792</v>
      </c>
      <c r="W665" s="9">
        <f t="shared" si="91"/>
        <v>41</v>
      </c>
      <c r="X665" s="5" t="str">
        <f t="shared" si="95"/>
        <v>[40 - 44 ans]</v>
      </c>
      <c r="Y665" s="5" t="str">
        <f t="shared" si="96"/>
        <v xml:space="preserve"> Mellenials </v>
      </c>
      <c r="Z665" s="9">
        <f t="shared" si="97"/>
        <v>19</v>
      </c>
      <c r="AA665" s="5" t="str">
        <f t="shared" si="98"/>
        <v>RAS</v>
      </c>
      <c r="AB665" s="5" t="s">
        <v>3807</v>
      </c>
      <c r="AC665" s="6" t="s">
        <v>3799</v>
      </c>
      <c r="AE665" s="5" t="s">
        <v>3844</v>
      </c>
      <c r="AF665" s="5" t="s">
        <v>4481</v>
      </c>
      <c r="AG665" s="5" t="s">
        <v>4485</v>
      </c>
      <c r="AH665" s="5" t="s">
        <v>4489</v>
      </c>
      <c r="AI665" s="5" t="s">
        <v>4203</v>
      </c>
      <c r="AJ665" s="5" t="s">
        <v>4249</v>
      </c>
      <c r="AK665" s="5" t="s">
        <v>3917</v>
      </c>
      <c r="AL665" s="5" t="s">
        <v>3858</v>
      </c>
    </row>
    <row r="666" spans="1:38" x14ac:dyDescent="0.3">
      <c r="A666" s="4">
        <v>45716</v>
      </c>
      <c r="B666" s="5" t="s">
        <v>2385</v>
      </c>
      <c r="C666" s="5" t="s">
        <v>2386</v>
      </c>
      <c r="D666" s="5" t="s">
        <v>2387</v>
      </c>
      <c r="E666" s="5" t="s">
        <v>4494</v>
      </c>
      <c r="G666" s="5" t="s">
        <v>88</v>
      </c>
      <c r="H666" s="5" t="s">
        <v>456</v>
      </c>
      <c r="I666" s="5" t="s">
        <v>2020</v>
      </c>
      <c r="J666" s="5" t="s">
        <v>883</v>
      </c>
      <c r="K666" s="4">
        <v>41484</v>
      </c>
      <c r="L666" s="4">
        <v>41484</v>
      </c>
      <c r="M666" s="9">
        <f t="shared" si="90"/>
        <v>11</v>
      </c>
      <c r="N666" s="4" t="str">
        <f t="shared" si="92"/>
        <v>] 10 ; 15 ]</v>
      </c>
      <c r="O666" s="5" t="s">
        <v>3780</v>
      </c>
      <c r="P666" s="5" t="s">
        <v>3780</v>
      </c>
      <c r="Q666" s="5">
        <v>3</v>
      </c>
      <c r="R666" s="5" t="str">
        <f t="shared" si="93"/>
        <v>Qualification</v>
      </c>
      <c r="S666" s="5" t="s">
        <v>3790</v>
      </c>
      <c r="T666" s="4">
        <v>32386</v>
      </c>
      <c r="U666" s="5">
        <f t="shared" si="94"/>
        <v>1988</v>
      </c>
      <c r="V666" s="5" t="s">
        <v>3793</v>
      </c>
      <c r="W666" s="9">
        <f t="shared" si="91"/>
        <v>36</v>
      </c>
      <c r="X666" s="5" t="str">
        <f t="shared" si="95"/>
        <v>[35 - 39 ans ]</v>
      </c>
      <c r="Y666" s="5" t="str">
        <f t="shared" si="96"/>
        <v xml:space="preserve"> Mellenials </v>
      </c>
      <c r="Z666" s="9">
        <f t="shared" si="97"/>
        <v>24</v>
      </c>
      <c r="AA666" s="5" t="str">
        <f t="shared" si="98"/>
        <v>RAS</v>
      </c>
      <c r="AB666" s="5" t="s">
        <v>3811</v>
      </c>
      <c r="AC666" s="6" t="s">
        <v>3801</v>
      </c>
      <c r="AE666" s="5" t="s">
        <v>3844</v>
      </c>
      <c r="AF666" s="5" t="s">
        <v>4482</v>
      </c>
      <c r="AG666" s="5" t="s">
        <v>4485</v>
      </c>
      <c r="AH666" s="5" t="s">
        <v>4488</v>
      </c>
      <c r="AI666" s="5" t="s">
        <v>4072</v>
      </c>
      <c r="AJ666" s="5" t="s">
        <v>4073</v>
      </c>
      <c r="AK666" s="5" t="s">
        <v>4074</v>
      </c>
      <c r="AL666" s="5" t="s">
        <v>3858</v>
      </c>
    </row>
    <row r="667" spans="1:38" x14ac:dyDescent="0.3">
      <c r="A667" s="4">
        <v>45716</v>
      </c>
      <c r="B667" s="5" t="s">
        <v>2388</v>
      </c>
      <c r="C667" s="5" t="s">
        <v>2389</v>
      </c>
      <c r="D667" s="5" t="s">
        <v>2390</v>
      </c>
      <c r="E667" s="5" t="s">
        <v>4494</v>
      </c>
      <c r="G667" s="5" t="s">
        <v>88</v>
      </c>
      <c r="H667" s="5" t="s">
        <v>456</v>
      </c>
      <c r="I667" s="5" t="s">
        <v>1957</v>
      </c>
      <c r="J667" s="5" t="s">
        <v>883</v>
      </c>
      <c r="K667" s="4">
        <v>41484</v>
      </c>
      <c r="L667" s="4">
        <v>41484</v>
      </c>
      <c r="M667" s="9">
        <f t="shared" si="90"/>
        <v>11</v>
      </c>
      <c r="N667" s="4" t="str">
        <f t="shared" si="92"/>
        <v>] 10 ; 15 ]</v>
      </c>
      <c r="O667" s="5" t="s">
        <v>3780</v>
      </c>
      <c r="P667" s="5" t="s">
        <v>3780</v>
      </c>
      <c r="Q667" s="5">
        <v>3</v>
      </c>
      <c r="R667" s="5" t="str">
        <f t="shared" si="93"/>
        <v>Qualification</v>
      </c>
      <c r="S667" s="5" t="s">
        <v>3789</v>
      </c>
      <c r="T667" s="4">
        <v>31974</v>
      </c>
      <c r="U667" s="5">
        <f t="shared" si="94"/>
        <v>1987</v>
      </c>
      <c r="V667" s="5" t="s">
        <v>3793</v>
      </c>
      <c r="W667" s="9">
        <f t="shared" si="91"/>
        <v>37</v>
      </c>
      <c r="X667" s="5" t="str">
        <f t="shared" si="95"/>
        <v>[35 - 39 ans ]</v>
      </c>
      <c r="Y667" s="5" t="str">
        <f t="shared" si="96"/>
        <v xml:space="preserve"> Mellenials </v>
      </c>
      <c r="Z667" s="9">
        <f t="shared" si="97"/>
        <v>23</v>
      </c>
      <c r="AA667" s="5" t="str">
        <f t="shared" si="98"/>
        <v>RAS</v>
      </c>
      <c r="AB667" s="5" t="s">
        <v>3829</v>
      </c>
      <c r="AC667" s="6" t="s">
        <v>3802</v>
      </c>
      <c r="AE667" s="5" t="s">
        <v>3844</v>
      </c>
      <c r="AF667" s="5" t="s">
        <v>4482</v>
      </c>
      <c r="AG667" s="5" t="s">
        <v>4485</v>
      </c>
      <c r="AH667" s="5" t="s">
        <v>4488</v>
      </c>
      <c r="AI667" s="5" t="s">
        <v>4220</v>
      </c>
      <c r="AJ667" s="5" t="s">
        <v>4221</v>
      </c>
      <c r="AK667" s="5" t="s">
        <v>4222</v>
      </c>
      <c r="AL667" s="5" t="s">
        <v>3858</v>
      </c>
    </row>
    <row r="668" spans="1:38" x14ac:dyDescent="0.3">
      <c r="A668" s="4">
        <v>45716</v>
      </c>
      <c r="B668" s="5" t="s">
        <v>2391</v>
      </c>
      <c r="C668" s="5" t="s">
        <v>2392</v>
      </c>
      <c r="D668" s="5" t="s">
        <v>2393</v>
      </c>
      <c r="E668" s="5" t="s">
        <v>4494</v>
      </c>
      <c r="G668" s="5" t="s">
        <v>88</v>
      </c>
      <c r="H668" s="5" t="s">
        <v>456</v>
      </c>
      <c r="I668" s="5" t="s">
        <v>2058</v>
      </c>
      <c r="J668" s="5" t="s">
        <v>883</v>
      </c>
      <c r="K668" s="4">
        <v>41484</v>
      </c>
      <c r="L668" s="4">
        <v>41484</v>
      </c>
      <c r="M668" s="9">
        <f t="shared" si="90"/>
        <v>11</v>
      </c>
      <c r="N668" s="4" t="str">
        <f t="shared" si="92"/>
        <v>] 10 ; 15 ]</v>
      </c>
      <c r="O668" s="5" t="s">
        <v>3780</v>
      </c>
      <c r="P668" s="5" t="s">
        <v>3786</v>
      </c>
      <c r="Q668" s="5">
        <v>1</v>
      </c>
      <c r="R668" s="5" t="str">
        <f t="shared" si="93"/>
        <v>Qualification</v>
      </c>
      <c r="S668" s="5" t="s">
        <v>3789</v>
      </c>
      <c r="T668" s="4">
        <v>31497</v>
      </c>
      <c r="U668" s="5">
        <f t="shared" si="94"/>
        <v>1986</v>
      </c>
      <c r="V668" s="5" t="s">
        <v>3793</v>
      </c>
      <c r="W668" s="9">
        <f t="shared" si="91"/>
        <v>38</v>
      </c>
      <c r="X668" s="5" t="str">
        <f t="shared" si="95"/>
        <v>[35 - 39 ans ]</v>
      </c>
      <c r="Y668" s="5" t="str">
        <f t="shared" si="96"/>
        <v xml:space="preserve"> Mellenials </v>
      </c>
      <c r="Z668" s="9">
        <f t="shared" si="97"/>
        <v>22</v>
      </c>
      <c r="AA668" s="5" t="str">
        <f t="shared" si="98"/>
        <v>RAS</v>
      </c>
      <c r="AB668" s="5" t="s">
        <v>3817</v>
      </c>
      <c r="AC668" s="6" t="s">
        <v>3802</v>
      </c>
      <c r="AE668" s="5" t="s">
        <v>3844</v>
      </c>
      <c r="AF668" s="5" t="s">
        <v>4482</v>
      </c>
      <c r="AG668" s="5" t="s">
        <v>4485</v>
      </c>
      <c r="AH668" s="5" t="s">
        <v>4488</v>
      </c>
      <c r="AI668" s="5" t="s">
        <v>4117</v>
      </c>
      <c r="AJ668" s="5" t="s">
        <v>3843</v>
      </c>
      <c r="AK668" s="5" t="s">
        <v>4118</v>
      </c>
      <c r="AL668" s="5" t="s">
        <v>3858</v>
      </c>
    </row>
    <row r="669" spans="1:38" x14ac:dyDescent="0.3">
      <c r="A669" s="4">
        <v>45716</v>
      </c>
      <c r="B669" s="5" t="s">
        <v>2394</v>
      </c>
      <c r="C669" s="5" t="s">
        <v>2395</v>
      </c>
      <c r="D669" s="5" t="s">
        <v>2396</v>
      </c>
      <c r="E669" s="5" t="s">
        <v>4494</v>
      </c>
      <c r="G669" s="5" t="s">
        <v>88</v>
      </c>
      <c r="H669" s="5" t="s">
        <v>706</v>
      </c>
      <c r="I669" s="5" t="s">
        <v>2058</v>
      </c>
      <c r="J669" s="5" t="s">
        <v>883</v>
      </c>
      <c r="K669" s="4">
        <v>41484</v>
      </c>
      <c r="L669" s="4">
        <v>41484</v>
      </c>
      <c r="M669" s="9">
        <f t="shared" si="90"/>
        <v>11</v>
      </c>
      <c r="N669" s="4" t="str">
        <f t="shared" si="92"/>
        <v>] 10 ; 15 ]</v>
      </c>
      <c r="O669" s="5" t="s">
        <v>3786</v>
      </c>
      <c r="P669" s="5" t="s">
        <v>3786</v>
      </c>
      <c r="Q669" s="5">
        <v>2</v>
      </c>
      <c r="R669" s="5" t="str">
        <f t="shared" si="93"/>
        <v>Specialisation</v>
      </c>
      <c r="S669" s="5" t="s">
        <v>3789</v>
      </c>
      <c r="T669" s="4">
        <v>32615</v>
      </c>
      <c r="U669" s="5">
        <f t="shared" si="94"/>
        <v>1989</v>
      </c>
      <c r="V669" s="5" t="s">
        <v>3793</v>
      </c>
      <c r="W669" s="9">
        <f t="shared" si="91"/>
        <v>35</v>
      </c>
      <c r="X669" s="5" t="str">
        <f t="shared" si="95"/>
        <v>[35 - 39 ans ]</v>
      </c>
      <c r="Y669" s="5" t="str">
        <f t="shared" si="96"/>
        <v xml:space="preserve"> Mellenials </v>
      </c>
      <c r="Z669" s="9">
        <f t="shared" si="97"/>
        <v>25</v>
      </c>
      <c r="AA669" s="5" t="str">
        <f t="shared" si="98"/>
        <v>RAS</v>
      </c>
      <c r="AB669" s="5" t="s">
        <v>3817</v>
      </c>
      <c r="AC669" s="6" t="s">
        <v>3802</v>
      </c>
      <c r="AE669" s="5" t="s">
        <v>3844</v>
      </c>
      <c r="AF669" s="5" t="s">
        <v>4482</v>
      </c>
      <c r="AG669" s="5" t="s">
        <v>4485</v>
      </c>
      <c r="AH669" s="5" t="s">
        <v>4488</v>
      </c>
      <c r="AI669" s="5" t="s">
        <v>4117</v>
      </c>
      <c r="AJ669" s="5" t="s">
        <v>3843</v>
      </c>
      <c r="AK669" s="5" t="s">
        <v>4118</v>
      </c>
      <c r="AL669" s="5" t="s">
        <v>3858</v>
      </c>
    </row>
    <row r="670" spans="1:38" x14ac:dyDescent="0.3">
      <c r="A670" s="4">
        <v>45716</v>
      </c>
      <c r="B670" s="5" t="s">
        <v>2397</v>
      </c>
      <c r="C670" s="5" t="s">
        <v>2398</v>
      </c>
      <c r="D670" s="5" t="s">
        <v>2399</v>
      </c>
      <c r="E670" s="5" t="s">
        <v>4494</v>
      </c>
      <c r="G670" s="5" t="s">
        <v>39</v>
      </c>
      <c r="H670" s="5" t="s">
        <v>2400</v>
      </c>
      <c r="I670" s="5" t="s">
        <v>48</v>
      </c>
      <c r="J670" s="5" t="s">
        <v>149</v>
      </c>
      <c r="K670" s="4">
        <v>41507</v>
      </c>
      <c r="L670" s="4">
        <v>41507</v>
      </c>
      <c r="M670" s="9">
        <f t="shared" si="90"/>
        <v>11</v>
      </c>
      <c r="N670" s="4" t="str">
        <f t="shared" si="92"/>
        <v>] 10 ; 15 ]</v>
      </c>
      <c r="O670" s="5" t="s">
        <v>3782</v>
      </c>
      <c r="P670" s="5" t="s">
        <v>3782</v>
      </c>
      <c r="Q670" s="5">
        <v>1</v>
      </c>
      <c r="R670" s="5" t="str">
        <f t="shared" si="93"/>
        <v>Management &amp; Expertise</v>
      </c>
      <c r="S670" s="5" t="s">
        <v>3789</v>
      </c>
      <c r="T670" s="4">
        <v>32319</v>
      </c>
      <c r="U670" s="5">
        <f t="shared" si="94"/>
        <v>1988</v>
      </c>
      <c r="V670" s="5" t="s">
        <v>3793</v>
      </c>
      <c r="W670" s="9">
        <f t="shared" si="91"/>
        <v>36</v>
      </c>
      <c r="X670" s="5" t="str">
        <f t="shared" si="95"/>
        <v>[35 - 39 ans ]</v>
      </c>
      <c r="Y670" s="5" t="str">
        <f t="shared" si="96"/>
        <v xml:space="preserve"> Mellenials </v>
      </c>
      <c r="Z670" s="9">
        <f t="shared" si="97"/>
        <v>24</v>
      </c>
      <c r="AA670" s="5" t="str">
        <f t="shared" si="98"/>
        <v>RAS</v>
      </c>
      <c r="AB670" s="5" t="s">
        <v>3807</v>
      </c>
      <c r="AC670" s="6" t="s">
        <v>3799</v>
      </c>
      <c r="AE670" s="5" t="s">
        <v>3845</v>
      </c>
      <c r="AF670" s="5" t="s">
        <v>4481</v>
      </c>
      <c r="AG670" s="5" t="s">
        <v>4485</v>
      </c>
      <c r="AH670" s="5" t="s">
        <v>4489</v>
      </c>
      <c r="AI670" s="5" t="s">
        <v>4172</v>
      </c>
      <c r="AJ670" s="5" t="s">
        <v>4410</v>
      </c>
      <c r="AK670" s="5" t="s">
        <v>4080</v>
      </c>
      <c r="AL670" s="5" t="s">
        <v>3858</v>
      </c>
    </row>
    <row r="671" spans="1:38" x14ac:dyDescent="0.3">
      <c r="A671" s="4">
        <v>45716</v>
      </c>
      <c r="B671" s="5" t="s">
        <v>2401</v>
      </c>
      <c r="C671" s="5" t="s">
        <v>2402</v>
      </c>
      <c r="D671" s="5" t="s">
        <v>2403</v>
      </c>
      <c r="E671" s="5" t="s">
        <v>4494</v>
      </c>
      <c r="G671" s="5" t="s">
        <v>88</v>
      </c>
      <c r="H671" s="5" t="s">
        <v>456</v>
      </c>
      <c r="I671" s="5" t="s">
        <v>910</v>
      </c>
      <c r="J671" s="5" t="s">
        <v>883</v>
      </c>
      <c r="K671" s="4">
        <v>41540</v>
      </c>
      <c r="L671" s="4">
        <v>41540</v>
      </c>
      <c r="M671" s="9">
        <f t="shared" si="90"/>
        <v>11</v>
      </c>
      <c r="N671" s="4" t="str">
        <f t="shared" si="92"/>
        <v>] 10 ; 15 ]</v>
      </c>
      <c r="O671" s="5" t="s">
        <v>3780</v>
      </c>
      <c r="P671" s="5" t="s">
        <v>3780</v>
      </c>
      <c r="Q671" s="5">
        <v>3</v>
      </c>
      <c r="R671" s="5" t="str">
        <f t="shared" si="93"/>
        <v>Qualification</v>
      </c>
      <c r="S671" s="5" t="s">
        <v>3790</v>
      </c>
      <c r="T671" s="4">
        <v>31214</v>
      </c>
      <c r="U671" s="5">
        <f t="shared" si="94"/>
        <v>1985</v>
      </c>
      <c r="V671" s="5" t="s">
        <v>3792</v>
      </c>
      <c r="W671" s="9">
        <f t="shared" si="91"/>
        <v>39</v>
      </c>
      <c r="X671" s="5" t="str">
        <f t="shared" si="95"/>
        <v>[35 - 39 ans ]</v>
      </c>
      <c r="Y671" s="5" t="str">
        <f t="shared" si="96"/>
        <v xml:space="preserve"> Mellenials </v>
      </c>
      <c r="Z671" s="9">
        <f t="shared" si="97"/>
        <v>21</v>
      </c>
      <c r="AA671" s="5" t="str">
        <f t="shared" si="98"/>
        <v>RAS</v>
      </c>
      <c r="AB671" s="5" t="s">
        <v>3815</v>
      </c>
      <c r="AC671" s="6" t="s">
        <v>3799</v>
      </c>
      <c r="AE671" s="5" t="s">
        <v>3844</v>
      </c>
      <c r="AF671" s="5" t="s">
        <v>4482</v>
      </c>
      <c r="AG671" s="5" t="s">
        <v>4485</v>
      </c>
      <c r="AH671" s="5" t="s">
        <v>4488</v>
      </c>
      <c r="AI671" s="5" t="s">
        <v>4152</v>
      </c>
      <c r="AJ671" s="5" t="s">
        <v>4153</v>
      </c>
      <c r="AK671" s="5" t="s">
        <v>4154</v>
      </c>
      <c r="AL671" s="5" t="s">
        <v>3858</v>
      </c>
    </row>
    <row r="672" spans="1:38" x14ac:dyDescent="0.3">
      <c r="A672" s="4">
        <v>45716</v>
      </c>
      <c r="B672" s="5" t="s">
        <v>2404</v>
      </c>
      <c r="C672" s="5" t="s">
        <v>2405</v>
      </c>
      <c r="D672" s="5" t="s">
        <v>2406</v>
      </c>
      <c r="E672" s="5" t="s">
        <v>4494</v>
      </c>
      <c r="G672" s="5" t="s">
        <v>88</v>
      </c>
      <c r="H672" s="5" t="s">
        <v>456</v>
      </c>
      <c r="I672" s="5" t="s">
        <v>741</v>
      </c>
      <c r="J672" s="5" t="s">
        <v>883</v>
      </c>
      <c r="K672" s="4">
        <v>41540</v>
      </c>
      <c r="L672" s="4">
        <v>41540</v>
      </c>
      <c r="M672" s="9">
        <f t="shared" si="90"/>
        <v>11</v>
      </c>
      <c r="N672" s="4" t="str">
        <f t="shared" si="92"/>
        <v>] 10 ; 15 ]</v>
      </c>
      <c r="O672" s="5" t="s">
        <v>3780</v>
      </c>
      <c r="P672" s="5" t="s">
        <v>3786</v>
      </c>
      <c r="Q672" s="5">
        <v>1</v>
      </c>
      <c r="R672" s="5" t="str">
        <f t="shared" si="93"/>
        <v>Qualification</v>
      </c>
      <c r="S672" s="5" t="s">
        <v>3790</v>
      </c>
      <c r="T672" s="4">
        <v>31943</v>
      </c>
      <c r="U672" s="5">
        <f t="shared" si="94"/>
        <v>1987</v>
      </c>
      <c r="V672" s="5" t="s">
        <v>3792</v>
      </c>
      <c r="W672" s="9">
        <f t="shared" si="91"/>
        <v>37</v>
      </c>
      <c r="X672" s="5" t="str">
        <f t="shared" si="95"/>
        <v>[35 - 39 ans ]</v>
      </c>
      <c r="Y672" s="5" t="str">
        <f t="shared" si="96"/>
        <v xml:space="preserve"> Mellenials </v>
      </c>
      <c r="Z672" s="9">
        <f t="shared" si="97"/>
        <v>23</v>
      </c>
      <c r="AA672" s="5" t="str">
        <f t="shared" si="98"/>
        <v>RAS</v>
      </c>
      <c r="AB672" s="5" t="s">
        <v>3827</v>
      </c>
      <c r="AC672" s="6" t="s">
        <v>3799</v>
      </c>
      <c r="AE672" s="5" t="s">
        <v>3844</v>
      </c>
      <c r="AF672" s="5" t="s">
        <v>4482</v>
      </c>
      <c r="AG672" s="5" t="s">
        <v>4485</v>
      </c>
      <c r="AH672" s="5" t="s">
        <v>4488</v>
      </c>
      <c r="AI672" s="5" t="s">
        <v>4184</v>
      </c>
      <c r="AJ672" s="5" t="s">
        <v>4185</v>
      </c>
      <c r="AK672" s="5" t="s">
        <v>4288</v>
      </c>
      <c r="AL672" s="5" t="s">
        <v>3858</v>
      </c>
    </row>
    <row r="673" spans="1:38" x14ac:dyDescent="0.3">
      <c r="A673" s="4">
        <v>45716</v>
      </c>
      <c r="B673" s="5" t="s">
        <v>2407</v>
      </c>
      <c r="C673" s="5" t="s">
        <v>2408</v>
      </c>
      <c r="D673" s="5" t="s">
        <v>2409</v>
      </c>
      <c r="E673" s="5" t="s">
        <v>4494</v>
      </c>
      <c r="G673" s="5" t="s">
        <v>88</v>
      </c>
      <c r="H673" s="5" t="s">
        <v>456</v>
      </c>
      <c r="I673" s="5" t="s">
        <v>2113</v>
      </c>
      <c r="J673" s="5" t="s">
        <v>883</v>
      </c>
      <c r="K673" s="4">
        <v>41540</v>
      </c>
      <c r="L673" s="4">
        <v>41540</v>
      </c>
      <c r="M673" s="9">
        <f t="shared" si="90"/>
        <v>11</v>
      </c>
      <c r="N673" s="4" t="str">
        <f t="shared" si="92"/>
        <v>] 10 ; 15 ]</v>
      </c>
      <c r="O673" s="5" t="s">
        <v>3780</v>
      </c>
      <c r="P673" s="5" t="s">
        <v>3780</v>
      </c>
      <c r="Q673" s="5">
        <v>3</v>
      </c>
      <c r="R673" s="5" t="str">
        <f t="shared" si="93"/>
        <v>Qualification</v>
      </c>
      <c r="S673" s="5" t="s">
        <v>3790</v>
      </c>
      <c r="T673" s="4">
        <v>32145</v>
      </c>
      <c r="U673" s="5">
        <f t="shared" si="94"/>
        <v>1988</v>
      </c>
      <c r="V673" s="5" t="s">
        <v>3794</v>
      </c>
      <c r="W673" s="9">
        <f t="shared" si="91"/>
        <v>37</v>
      </c>
      <c r="X673" s="5" t="str">
        <f t="shared" si="95"/>
        <v>[35 - 39 ans ]</v>
      </c>
      <c r="Y673" s="5" t="str">
        <f t="shared" si="96"/>
        <v xml:space="preserve"> Mellenials </v>
      </c>
      <c r="Z673" s="9">
        <f t="shared" si="97"/>
        <v>23</v>
      </c>
      <c r="AA673" s="5" t="str">
        <f t="shared" si="98"/>
        <v>RAS</v>
      </c>
      <c r="AB673" s="5" t="s">
        <v>3831</v>
      </c>
      <c r="AC673" s="6" t="s">
        <v>3800</v>
      </c>
      <c r="AE673" s="5" t="s">
        <v>3844</v>
      </c>
      <c r="AF673" s="5" t="s">
        <v>4482</v>
      </c>
      <c r="AG673" s="5" t="s">
        <v>4485</v>
      </c>
      <c r="AH673" s="5" t="s">
        <v>4488</v>
      </c>
      <c r="AI673" s="5" t="s">
        <v>4318</v>
      </c>
      <c r="AJ673" s="5" t="s">
        <v>3840</v>
      </c>
      <c r="AK673" s="5" t="s">
        <v>4319</v>
      </c>
      <c r="AL673" s="5" t="s">
        <v>3858</v>
      </c>
    </row>
    <row r="674" spans="1:38" x14ac:dyDescent="0.3">
      <c r="A674" s="4">
        <v>45716</v>
      </c>
      <c r="B674" s="5" t="s">
        <v>2410</v>
      </c>
      <c r="C674" s="5" t="s">
        <v>2411</v>
      </c>
      <c r="D674" s="5" t="s">
        <v>2412</v>
      </c>
      <c r="E674" s="5" t="s">
        <v>4494</v>
      </c>
      <c r="G674" s="5" t="s">
        <v>554</v>
      </c>
      <c r="H674" s="5" t="s">
        <v>2413</v>
      </c>
      <c r="I674" s="5" t="s">
        <v>2841</v>
      </c>
      <c r="J674" s="5" t="s">
        <v>2841</v>
      </c>
      <c r="K674" s="4">
        <v>41582</v>
      </c>
      <c r="L674" s="4">
        <v>41582</v>
      </c>
      <c r="M674" s="9">
        <f t="shared" si="90"/>
        <v>11</v>
      </c>
      <c r="N674" s="4" t="str">
        <f t="shared" si="92"/>
        <v>] 10 ; 15 ]</v>
      </c>
      <c r="O674" s="5" t="s">
        <v>3779</v>
      </c>
      <c r="P674" s="5" t="s">
        <v>3779</v>
      </c>
      <c r="Q674" s="5">
        <v>1</v>
      </c>
      <c r="R674" s="5" t="str">
        <f t="shared" si="93"/>
        <v>Management &amp; Expertise</v>
      </c>
      <c r="S674" s="5" t="s">
        <v>3790</v>
      </c>
      <c r="T674" s="4">
        <v>28007</v>
      </c>
      <c r="U674" s="5">
        <f t="shared" si="94"/>
        <v>1976</v>
      </c>
      <c r="V674" s="5" t="s">
        <v>3793</v>
      </c>
      <c r="W674" s="9">
        <f t="shared" si="91"/>
        <v>48</v>
      </c>
      <c r="X674" s="5" t="str">
        <f t="shared" si="95"/>
        <v>[45 - 49 ans]</v>
      </c>
      <c r="Y674" s="5" t="str">
        <f t="shared" si="96"/>
        <v xml:space="preserve"> Generation X </v>
      </c>
      <c r="Z674" s="9">
        <f t="shared" si="97"/>
        <v>12</v>
      </c>
      <c r="AA674" s="5" t="str">
        <f t="shared" si="98"/>
        <v>RAS</v>
      </c>
      <c r="AB674" s="5" t="s">
        <v>3806</v>
      </c>
      <c r="AC674" s="6" t="s">
        <v>3799</v>
      </c>
      <c r="AE674" s="5" t="s">
        <v>3845</v>
      </c>
      <c r="AF674" s="5" t="s">
        <v>4481</v>
      </c>
      <c r="AG674" s="5" t="s">
        <v>4484</v>
      </c>
      <c r="AH674" s="5" t="s">
        <v>4487</v>
      </c>
      <c r="AI674" s="5" t="s">
        <v>3973</v>
      </c>
      <c r="AJ674" s="5" t="s">
        <v>3974</v>
      </c>
      <c r="AK674" s="5" t="s">
        <v>3861</v>
      </c>
      <c r="AL674" s="5" t="s">
        <v>3854</v>
      </c>
    </row>
    <row r="675" spans="1:38" x14ac:dyDescent="0.3">
      <c r="A675" s="4">
        <v>45716</v>
      </c>
      <c r="B675" s="5" t="s">
        <v>2414</v>
      </c>
      <c r="C675" s="5" t="s">
        <v>2415</v>
      </c>
      <c r="D675" s="5" t="s">
        <v>2416</v>
      </c>
      <c r="E675" s="5" t="s">
        <v>4494</v>
      </c>
      <c r="G675" s="5" t="s">
        <v>88</v>
      </c>
      <c r="H675" s="5" t="s">
        <v>1579</v>
      </c>
      <c r="I675" s="5" t="s">
        <v>1291</v>
      </c>
      <c r="J675" s="5" t="s">
        <v>2724</v>
      </c>
      <c r="K675" s="4">
        <v>41579</v>
      </c>
      <c r="L675" s="4">
        <v>41579</v>
      </c>
      <c r="M675" s="9">
        <f t="shared" si="90"/>
        <v>11</v>
      </c>
      <c r="N675" s="4" t="str">
        <f t="shared" si="92"/>
        <v>] 10 ; 15 ]</v>
      </c>
      <c r="O675" s="5" t="s">
        <v>3786</v>
      </c>
      <c r="P675" s="5" t="s">
        <v>3783</v>
      </c>
      <c r="Q675" s="5">
        <v>1</v>
      </c>
      <c r="R675" s="5" t="str">
        <f t="shared" si="93"/>
        <v>Specialisation</v>
      </c>
      <c r="S675" s="5" t="s">
        <v>3789</v>
      </c>
      <c r="T675" s="4">
        <v>30889</v>
      </c>
      <c r="U675" s="5">
        <f t="shared" si="94"/>
        <v>1984</v>
      </c>
      <c r="V675" s="5" t="s">
        <v>3793</v>
      </c>
      <c r="W675" s="9">
        <f t="shared" si="91"/>
        <v>40</v>
      </c>
      <c r="X675" s="5" t="str">
        <f t="shared" si="95"/>
        <v>[40 - 44 ans]</v>
      </c>
      <c r="Y675" s="5" t="str">
        <f t="shared" si="96"/>
        <v xml:space="preserve"> Mellenials </v>
      </c>
      <c r="Z675" s="9">
        <f t="shared" si="97"/>
        <v>20</v>
      </c>
      <c r="AA675" s="5" t="str">
        <f t="shared" si="98"/>
        <v>RAS</v>
      </c>
      <c r="AB675" s="5" t="s">
        <v>3806</v>
      </c>
      <c r="AC675" s="6" t="s">
        <v>3799</v>
      </c>
      <c r="AE675" s="5" t="s">
        <v>3844</v>
      </c>
      <c r="AF675" s="5" t="s">
        <v>4482</v>
      </c>
      <c r="AG675" s="5" t="s">
        <v>4485</v>
      </c>
      <c r="AH675" s="5" t="s">
        <v>4488</v>
      </c>
      <c r="AI675" s="5" t="s">
        <v>4283</v>
      </c>
      <c r="AJ675" s="5" t="s">
        <v>4284</v>
      </c>
      <c r="AK675" s="5" t="s">
        <v>4285</v>
      </c>
      <c r="AL675" s="5" t="s">
        <v>3858</v>
      </c>
    </row>
    <row r="676" spans="1:38" x14ac:dyDescent="0.3">
      <c r="A676" s="4">
        <v>45716</v>
      </c>
      <c r="B676" s="5" t="s">
        <v>2417</v>
      </c>
      <c r="C676" s="5" t="s">
        <v>2418</v>
      </c>
      <c r="D676" s="5" t="s">
        <v>2419</v>
      </c>
      <c r="E676" s="5" t="s">
        <v>4494</v>
      </c>
      <c r="G676" s="5" t="s">
        <v>83</v>
      </c>
      <c r="H676" s="5" t="s">
        <v>2420</v>
      </c>
      <c r="I676" s="5" t="s">
        <v>1482</v>
      </c>
      <c r="J676" s="5" t="s">
        <v>82</v>
      </c>
      <c r="K676" s="4">
        <v>41593</v>
      </c>
      <c r="L676" s="4">
        <v>41593</v>
      </c>
      <c r="M676" s="9">
        <f t="shared" si="90"/>
        <v>11</v>
      </c>
      <c r="N676" s="4" t="str">
        <f t="shared" si="92"/>
        <v>] 10 ; 15 ]</v>
      </c>
      <c r="O676" s="5" t="s">
        <v>3782</v>
      </c>
      <c r="P676" s="5" t="s">
        <v>3782</v>
      </c>
      <c r="Q676" s="5">
        <v>2</v>
      </c>
      <c r="R676" s="5" t="str">
        <f t="shared" si="93"/>
        <v>Management &amp; Expertise</v>
      </c>
      <c r="S676" s="5" t="s">
        <v>3790</v>
      </c>
      <c r="T676" s="4">
        <v>30040</v>
      </c>
      <c r="U676" s="5">
        <f t="shared" si="94"/>
        <v>1982</v>
      </c>
      <c r="V676" s="5" t="s">
        <v>3792</v>
      </c>
      <c r="W676" s="9">
        <f t="shared" si="91"/>
        <v>42</v>
      </c>
      <c r="X676" s="5" t="str">
        <f t="shared" si="95"/>
        <v>[40 - 44 ans]</v>
      </c>
      <c r="Y676" s="5" t="str">
        <f t="shared" si="96"/>
        <v xml:space="preserve"> Mellenials </v>
      </c>
      <c r="Z676" s="9">
        <f t="shared" si="97"/>
        <v>18</v>
      </c>
      <c r="AA676" s="5" t="str">
        <f t="shared" si="98"/>
        <v>RAS</v>
      </c>
      <c r="AB676" s="5" t="s">
        <v>3807</v>
      </c>
      <c r="AC676" s="6" t="s">
        <v>3799</v>
      </c>
      <c r="AE676" s="5" t="s">
        <v>3845</v>
      </c>
      <c r="AF676" s="5" t="s">
        <v>4481</v>
      </c>
      <c r="AG676" s="5" t="s">
        <v>4485</v>
      </c>
      <c r="AH676" s="5" t="s">
        <v>4489</v>
      </c>
      <c r="AI676" s="5" t="s">
        <v>4411</v>
      </c>
      <c r="AJ676" s="5" t="s">
        <v>4412</v>
      </c>
      <c r="AK676" s="5" t="s">
        <v>4413</v>
      </c>
      <c r="AL676" s="5" t="s">
        <v>3854</v>
      </c>
    </row>
    <row r="677" spans="1:38" x14ac:dyDescent="0.3">
      <c r="A677" s="4">
        <v>45716</v>
      </c>
      <c r="B677" s="5" t="s">
        <v>2421</v>
      </c>
      <c r="C677" s="5" t="s">
        <v>2422</v>
      </c>
      <c r="D677" s="5" t="s">
        <v>2423</v>
      </c>
      <c r="E677" s="5" t="s">
        <v>4494</v>
      </c>
      <c r="G677" s="5" t="s">
        <v>88</v>
      </c>
      <c r="H677" s="5" t="s">
        <v>456</v>
      </c>
      <c r="I677" s="5" t="s">
        <v>1814</v>
      </c>
      <c r="J677" s="5" t="s">
        <v>883</v>
      </c>
      <c r="K677" s="4">
        <v>41609</v>
      </c>
      <c r="L677" s="4">
        <v>41609</v>
      </c>
      <c r="M677" s="9">
        <f t="shared" si="90"/>
        <v>11</v>
      </c>
      <c r="N677" s="4" t="str">
        <f t="shared" si="92"/>
        <v>] 10 ; 15 ]</v>
      </c>
      <c r="O677" s="5" t="s">
        <v>3780</v>
      </c>
      <c r="P677" s="5" t="s">
        <v>3780</v>
      </c>
      <c r="Q677" s="5">
        <v>3</v>
      </c>
      <c r="R677" s="5" t="str">
        <f t="shared" si="93"/>
        <v>Qualification</v>
      </c>
      <c r="S677" s="5" t="s">
        <v>3790</v>
      </c>
      <c r="T677" s="4">
        <v>32108</v>
      </c>
      <c r="U677" s="5">
        <f t="shared" si="94"/>
        <v>1987</v>
      </c>
      <c r="V677" s="5" t="s">
        <v>3793</v>
      </c>
      <c r="W677" s="9">
        <f t="shared" si="91"/>
        <v>37</v>
      </c>
      <c r="X677" s="5" t="str">
        <f t="shared" si="95"/>
        <v>[35 - 39 ans ]</v>
      </c>
      <c r="Y677" s="5" t="str">
        <f t="shared" si="96"/>
        <v xml:space="preserve"> Mellenials </v>
      </c>
      <c r="Z677" s="9">
        <f t="shared" si="97"/>
        <v>23</v>
      </c>
      <c r="AA677" s="5" t="str">
        <f t="shared" si="98"/>
        <v>RAS</v>
      </c>
      <c r="AB677" s="5" t="s">
        <v>3813</v>
      </c>
      <c r="AC677" s="6" t="s">
        <v>3799</v>
      </c>
      <c r="AE677" s="5" t="s">
        <v>3844</v>
      </c>
      <c r="AF677" s="5" t="s">
        <v>4482</v>
      </c>
      <c r="AG677" s="5" t="s">
        <v>4485</v>
      </c>
      <c r="AH677" s="5" t="s">
        <v>4488</v>
      </c>
      <c r="AI677" s="5" t="s">
        <v>4188</v>
      </c>
      <c r="AJ677" s="5" t="s">
        <v>4068</v>
      </c>
      <c r="AK677" s="5" t="s">
        <v>4069</v>
      </c>
      <c r="AL677" s="5" t="s">
        <v>3858</v>
      </c>
    </row>
    <row r="678" spans="1:38" x14ac:dyDescent="0.3">
      <c r="A678" s="4">
        <v>45716</v>
      </c>
      <c r="B678" s="5" t="s">
        <v>2424</v>
      </c>
      <c r="C678" s="5" t="s">
        <v>2425</v>
      </c>
      <c r="D678" s="5" t="s">
        <v>2426</v>
      </c>
      <c r="E678" s="5" t="s">
        <v>4494</v>
      </c>
      <c r="G678" s="5" t="s">
        <v>24</v>
      </c>
      <c r="H678" s="5" t="s">
        <v>2162</v>
      </c>
      <c r="I678" s="5" t="s">
        <v>2960</v>
      </c>
      <c r="J678" s="5" t="s">
        <v>23</v>
      </c>
      <c r="K678" s="4">
        <v>41640</v>
      </c>
      <c r="L678" s="4">
        <v>41640</v>
      </c>
      <c r="M678" s="9">
        <f t="shared" si="90"/>
        <v>11</v>
      </c>
      <c r="N678" s="4" t="str">
        <f t="shared" si="92"/>
        <v>] 10 ; 15 ]</v>
      </c>
      <c r="O678" s="5" t="s">
        <v>3782</v>
      </c>
      <c r="P678" s="5" t="s">
        <v>3782</v>
      </c>
      <c r="Q678" s="5">
        <v>1</v>
      </c>
      <c r="R678" s="5" t="str">
        <f t="shared" si="93"/>
        <v>Management &amp; Expertise</v>
      </c>
      <c r="S678" s="5" t="s">
        <v>3789</v>
      </c>
      <c r="T678" s="4">
        <v>30221</v>
      </c>
      <c r="U678" s="5">
        <f t="shared" si="94"/>
        <v>1982</v>
      </c>
      <c r="V678" s="5" t="s">
        <v>3793</v>
      </c>
      <c r="W678" s="9">
        <f t="shared" si="91"/>
        <v>42</v>
      </c>
      <c r="X678" s="5" t="str">
        <f t="shared" si="95"/>
        <v>[40 - 44 ans]</v>
      </c>
      <c r="Y678" s="5" t="str">
        <f t="shared" si="96"/>
        <v xml:space="preserve"> Mellenials </v>
      </c>
      <c r="Z678" s="9">
        <f t="shared" si="97"/>
        <v>18</v>
      </c>
      <c r="AA678" s="5" t="str">
        <f t="shared" si="98"/>
        <v>RAS</v>
      </c>
      <c r="AB678" s="5" t="s">
        <v>3805</v>
      </c>
      <c r="AC678" s="6" t="s">
        <v>3799</v>
      </c>
      <c r="AE678" s="5" t="s">
        <v>3844</v>
      </c>
      <c r="AF678" s="5" t="s">
        <v>4481</v>
      </c>
      <c r="AG678" s="5" t="s">
        <v>4485</v>
      </c>
      <c r="AH678" s="5" t="s">
        <v>4488</v>
      </c>
      <c r="AI678" s="5" t="s">
        <v>3987</v>
      </c>
      <c r="AJ678" s="5" t="s">
        <v>3988</v>
      </c>
      <c r="AK678" s="5" t="s">
        <v>3853</v>
      </c>
      <c r="AL678" s="5" t="s">
        <v>3858</v>
      </c>
    </row>
    <row r="679" spans="1:38" x14ac:dyDescent="0.3">
      <c r="A679" s="4">
        <v>45716</v>
      </c>
      <c r="B679" s="5" t="s">
        <v>2427</v>
      </c>
      <c r="C679" s="5" t="s">
        <v>2428</v>
      </c>
      <c r="D679" s="5" t="s">
        <v>2429</v>
      </c>
      <c r="E679" s="5" t="s">
        <v>4494</v>
      </c>
      <c r="G679" s="5" t="s">
        <v>78</v>
      </c>
      <c r="H679" s="5" t="s">
        <v>2430</v>
      </c>
      <c r="I679" s="5" t="s">
        <v>298</v>
      </c>
      <c r="J679" s="5" t="s">
        <v>169</v>
      </c>
      <c r="K679" s="4">
        <v>41640</v>
      </c>
      <c r="L679" s="4">
        <v>41640</v>
      </c>
      <c r="M679" s="9">
        <f t="shared" si="90"/>
        <v>11</v>
      </c>
      <c r="N679" s="4" t="str">
        <f t="shared" si="92"/>
        <v>] 10 ; 15 ]</v>
      </c>
      <c r="O679" s="5" t="s">
        <v>3781</v>
      </c>
      <c r="P679" s="5" t="s">
        <v>3787</v>
      </c>
      <c r="Q679" s="5">
        <v>1</v>
      </c>
      <c r="R679" s="5" t="str">
        <f t="shared" si="93"/>
        <v>Qualification</v>
      </c>
      <c r="S679" s="5" t="s">
        <v>3790</v>
      </c>
      <c r="T679" s="4">
        <v>25001</v>
      </c>
      <c r="U679" s="5">
        <f t="shared" si="94"/>
        <v>1968</v>
      </c>
      <c r="V679" s="5" t="s">
        <v>3792</v>
      </c>
      <c r="W679" s="9">
        <f t="shared" si="91"/>
        <v>56</v>
      </c>
      <c r="X679" s="5" t="str">
        <f t="shared" si="95"/>
        <v>[50 ans, +oo [</v>
      </c>
      <c r="Y679" s="5" t="str">
        <f t="shared" si="96"/>
        <v xml:space="preserve"> Generation X </v>
      </c>
      <c r="Z679" s="9">
        <f t="shared" si="97"/>
        <v>4</v>
      </c>
      <c r="AA679" s="5" t="str">
        <f t="shared" si="98"/>
        <v>Départ à la Retraite 5ans</v>
      </c>
      <c r="AB679" s="5" t="s">
        <v>3808</v>
      </c>
      <c r="AC679" s="6" t="s">
        <v>3799</v>
      </c>
      <c r="AE679" s="5" t="s">
        <v>3844</v>
      </c>
      <c r="AF679" s="5" t="s">
        <v>4482</v>
      </c>
      <c r="AG679" s="5" t="s">
        <v>4485</v>
      </c>
      <c r="AH679" s="5" t="s">
        <v>4488</v>
      </c>
      <c r="AI679" s="5" t="s">
        <v>4414</v>
      </c>
      <c r="AJ679" s="5" t="s">
        <v>4415</v>
      </c>
      <c r="AK679" s="5" t="s">
        <v>4245</v>
      </c>
      <c r="AL679" s="5" t="s">
        <v>3858</v>
      </c>
    </row>
    <row r="680" spans="1:38" x14ac:dyDescent="0.3">
      <c r="A680" s="4">
        <v>45716</v>
      </c>
      <c r="B680" s="5" t="s">
        <v>2431</v>
      </c>
      <c r="C680" s="5" t="s">
        <v>2432</v>
      </c>
      <c r="D680" s="5" t="s">
        <v>2433</v>
      </c>
      <c r="E680" s="5" t="s">
        <v>4494</v>
      </c>
      <c r="G680" s="5" t="s">
        <v>88</v>
      </c>
      <c r="H680" s="5" t="s">
        <v>456</v>
      </c>
      <c r="I680" s="5" t="s">
        <v>744</v>
      </c>
      <c r="J680" s="5" t="s">
        <v>883</v>
      </c>
      <c r="K680" s="4">
        <v>41640</v>
      </c>
      <c r="L680" s="4">
        <v>41640</v>
      </c>
      <c r="M680" s="9">
        <f t="shared" si="90"/>
        <v>11</v>
      </c>
      <c r="N680" s="4" t="str">
        <f t="shared" si="92"/>
        <v>] 10 ; 15 ]</v>
      </c>
      <c r="O680" s="5" t="s">
        <v>3780</v>
      </c>
      <c r="P680" s="5" t="s">
        <v>3780</v>
      </c>
      <c r="Q680" s="5">
        <v>3</v>
      </c>
      <c r="R680" s="5" t="str">
        <f t="shared" si="93"/>
        <v>Qualification</v>
      </c>
      <c r="S680" s="5" t="s">
        <v>3789</v>
      </c>
      <c r="T680" s="4">
        <v>29759</v>
      </c>
      <c r="U680" s="5">
        <f t="shared" si="94"/>
        <v>1981</v>
      </c>
      <c r="V680" s="5" t="s">
        <v>3793</v>
      </c>
      <c r="W680" s="9">
        <f t="shared" si="91"/>
        <v>43</v>
      </c>
      <c r="X680" s="5" t="str">
        <f t="shared" si="95"/>
        <v>[40 - 44 ans]</v>
      </c>
      <c r="Y680" s="5" t="str">
        <f t="shared" si="96"/>
        <v xml:space="preserve"> Mellenials </v>
      </c>
      <c r="Z680" s="9">
        <f t="shared" si="97"/>
        <v>17</v>
      </c>
      <c r="AA680" s="5" t="str">
        <f t="shared" si="98"/>
        <v>RAS</v>
      </c>
      <c r="AB680" s="5" t="s">
        <v>3828</v>
      </c>
      <c r="AC680" s="6" t="s">
        <v>3799</v>
      </c>
      <c r="AE680" s="5" t="s">
        <v>3844</v>
      </c>
      <c r="AF680" s="5" t="s">
        <v>4482</v>
      </c>
      <c r="AG680" s="5" t="s">
        <v>4485</v>
      </c>
      <c r="AH680" s="5" t="s">
        <v>4488</v>
      </c>
      <c r="AI680" s="5" t="s">
        <v>4186</v>
      </c>
      <c r="AJ680" s="5" t="s">
        <v>4187</v>
      </c>
      <c r="AK680" s="5" t="s">
        <v>4183</v>
      </c>
      <c r="AL680" s="5" t="s">
        <v>3858</v>
      </c>
    </row>
    <row r="681" spans="1:38" x14ac:dyDescent="0.3">
      <c r="A681" s="4">
        <v>45716</v>
      </c>
      <c r="B681" s="5" t="s">
        <v>2434</v>
      </c>
      <c r="C681" s="5" t="s">
        <v>2435</v>
      </c>
      <c r="D681" s="5" t="s">
        <v>2436</v>
      </c>
      <c r="E681" s="5" t="s">
        <v>4494</v>
      </c>
      <c r="G681" s="5" t="s">
        <v>29</v>
      </c>
      <c r="H681" s="5" t="s">
        <v>2437</v>
      </c>
      <c r="I681" s="5" t="s">
        <v>3366</v>
      </c>
      <c r="J681" s="5" t="s">
        <v>157</v>
      </c>
      <c r="K681" s="4">
        <v>41640</v>
      </c>
      <c r="L681" s="4">
        <v>41640</v>
      </c>
      <c r="M681" s="9">
        <f t="shared" si="90"/>
        <v>11</v>
      </c>
      <c r="N681" s="4" t="str">
        <f t="shared" si="92"/>
        <v>] 10 ; 15 ]</v>
      </c>
      <c r="O681" s="5" t="s">
        <v>3786</v>
      </c>
      <c r="P681" s="5" t="s">
        <v>3786</v>
      </c>
      <c r="Q681" s="5">
        <v>2</v>
      </c>
      <c r="R681" s="5" t="str">
        <f t="shared" si="93"/>
        <v>Specialisation</v>
      </c>
      <c r="S681" s="5" t="s">
        <v>3789</v>
      </c>
      <c r="T681" s="4">
        <v>30221</v>
      </c>
      <c r="U681" s="5">
        <f t="shared" si="94"/>
        <v>1982</v>
      </c>
      <c r="V681" s="5" t="s">
        <v>3793</v>
      </c>
      <c r="W681" s="9">
        <f t="shared" si="91"/>
        <v>42</v>
      </c>
      <c r="X681" s="5" t="str">
        <f t="shared" si="95"/>
        <v>[40 - 44 ans]</v>
      </c>
      <c r="Y681" s="5" t="str">
        <f t="shared" si="96"/>
        <v xml:space="preserve"> Mellenials </v>
      </c>
      <c r="Z681" s="9">
        <f t="shared" si="97"/>
        <v>18</v>
      </c>
      <c r="AA681" s="5" t="str">
        <f t="shared" si="98"/>
        <v>RAS</v>
      </c>
      <c r="AB681" s="5" t="s">
        <v>3806</v>
      </c>
      <c r="AC681" s="6" t="s">
        <v>3799</v>
      </c>
      <c r="AE681" s="5" t="s">
        <v>3844</v>
      </c>
      <c r="AF681" s="5" t="s">
        <v>4482</v>
      </c>
      <c r="AG681" s="5" t="s">
        <v>4485</v>
      </c>
      <c r="AH681" s="5" t="s">
        <v>4487</v>
      </c>
      <c r="AI681" s="5" t="s">
        <v>4006</v>
      </c>
      <c r="AJ681" s="5" t="s">
        <v>4007</v>
      </c>
      <c r="AK681" s="5" t="s">
        <v>3937</v>
      </c>
      <c r="AL681" s="5" t="s">
        <v>3858</v>
      </c>
    </row>
    <row r="682" spans="1:38" x14ac:dyDescent="0.3">
      <c r="A682" s="4">
        <v>45716</v>
      </c>
      <c r="B682" s="5" t="s">
        <v>2438</v>
      </c>
      <c r="C682" s="5" t="s">
        <v>2439</v>
      </c>
      <c r="D682" s="5" t="s">
        <v>2440</v>
      </c>
      <c r="E682" s="5" t="s">
        <v>4494</v>
      </c>
      <c r="G682" s="5" t="s">
        <v>88</v>
      </c>
      <c r="H682" s="5" t="s">
        <v>456</v>
      </c>
      <c r="I682" s="5" t="s">
        <v>744</v>
      </c>
      <c r="J682" s="5" t="s">
        <v>883</v>
      </c>
      <c r="K682" s="4">
        <v>41640</v>
      </c>
      <c r="L682" s="4">
        <v>41640</v>
      </c>
      <c r="M682" s="9">
        <f t="shared" si="90"/>
        <v>11</v>
      </c>
      <c r="N682" s="4" t="str">
        <f t="shared" si="92"/>
        <v>] 10 ; 15 ]</v>
      </c>
      <c r="O682" s="5" t="s">
        <v>3780</v>
      </c>
      <c r="P682" s="5" t="s">
        <v>3780</v>
      </c>
      <c r="Q682" s="5">
        <v>1</v>
      </c>
      <c r="R682" s="5" t="str">
        <f t="shared" si="93"/>
        <v>Qualification</v>
      </c>
      <c r="S682" s="5" t="s">
        <v>3789</v>
      </c>
      <c r="T682" s="4">
        <v>31996</v>
      </c>
      <c r="U682" s="5">
        <f t="shared" si="94"/>
        <v>1987</v>
      </c>
      <c r="V682" s="5" t="s">
        <v>3793</v>
      </c>
      <c r="W682" s="9">
        <f t="shared" si="91"/>
        <v>37</v>
      </c>
      <c r="X682" s="5" t="str">
        <f t="shared" si="95"/>
        <v>[35 - 39 ans ]</v>
      </c>
      <c r="Y682" s="5" t="str">
        <f t="shared" si="96"/>
        <v xml:space="preserve"> Mellenials </v>
      </c>
      <c r="Z682" s="9">
        <f t="shared" si="97"/>
        <v>23</v>
      </c>
      <c r="AA682" s="5" t="str">
        <f t="shared" si="98"/>
        <v>RAS</v>
      </c>
      <c r="AB682" s="5" t="s">
        <v>3828</v>
      </c>
      <c r="AC682" s="6" t="s">
        <v>3799</v>
      </c>
      <c r="AE682" s="5" t="s">
        <v>3844</v>
      </c>
      <c r="AF682" s="5" t="s">
        <v>4482</v>
      </c>
      <c r="AG682" s="5" t="s">
        <v>4485</v>
      </c>
      <c r="AH682" s="5" t="s">
        <v>4488</v>
      </c>
      <c r="AI682" s="5" t="s">
        <v>4186</v>
      </c>
      <c r="AJ682" s="5" t="s">
        <v>4187</v>
      </c>
      <c r="AK682" s="5" t="s">
        <v>4183</v>
      </c>
      <c r="AL682" s="5" t="s">
        <v>3858</v>
      </c>
    </row>
    <row r="683" spans="1:38" x14ac:dyDescent="0.3">
      <c r="A683" s="4">
        <v>45716</v>
      </c>
      <c r="B683" s="5" t="s">
        <v>2441</v>
      </c>
      <c r="C683" s="5" t="s">
        <v>2442</v>
      </c>
      <c r="D683" s="5" t="s">
        <v>2443</v>
      </c>
      <c r="E683" s="5" t="s">
        <v>4494</v>
      </c>
      <c r="G683" s="5" t="s">
        <v>78</v>
      </c>
      <c r="H683" s="5" t="s">
        <v>2444</v>
      </c>
      <c r="I683" s="5" t="s">
        <v>590</v>
      </c>
      <c r="J683" s="5" t="s">
        <v>169</v>
      </c>
      <c r="K683" s="4">
        <v>41640</v>
      </c>
      <c r="L683" s="4">
        <v>41640</v>
      </c>
      <c r="M683" s="9">
        <f t="shared" si="90"/>
        <v>11</v>
      </c>
      <c r="N683" s="4" t="str">
        <f t="shared" si="92"/>
        <v>] 10 ; 15 ]</v>
      </c>
      <c r="O683" s="5" t="s">
        <v>3788</v>
      </c>
      <c r="P683" s="5" t="s">
        <v>3788</v>
      </c>
      <c r="Q683" s="5">
        <v>3</v>
      </c>
      <c r="R683" s="5" t="str">
        <f t="shared" si="93"/>
        <v>Qualification</v>
      </c>
      <c r="S683" s="5" t="s">
        <v>3789</v>
      </c>
      <c r="T683" s="4">
        <v>32102</v>
      </c>
      <c r="U683" s="5">
        <f t="shared" si="94"/>
        <v>1987</v>
      </c>
      <c r="V683" s="5" t="s">
        <v>3793</v>
      </c>
      <c r="W683" s="9">
        <f t="shared" si="91"/>
        <v>37</v>
      </c>
      <c r="X683" s="5" t="str">
        <f t="shared" si="95"/>
        <v>[35 - 39 ans ]</v>
      </c>
      <c r="Y683" s="5" t="str">
        <f t="shared" si="96"/>
        <v xml:space="preserve"> Mellenials </v>
      </c>
      <c r="Z683" s="9">
        <f t="shared" si="97"/>
        <v>23</v>
      </c>
      <c r="AA683" s="5" t="str">
        <f t="shared" si="98"/>
        <v>RAS</v>
      </c>
      <c r="AB683" s="5" t="s">
        <v>3808</v>
      </c>
      <c r="AC683" s="6" t="s">
        <v>3799</v>
      </c>
      <c r="AE683" s="5" t="s">
        <v>3844</v>
      </c>
      <c r="AF683" s="5" t="s">
        <v>4482</v>
      </c>
      <c r="AG683" s="5" t="s">
        <v>4485</v>
      </c>
      <c r="AH683" s="5" t="s">
        <v>4488</v>
      </c>
      <c r="AI683" s="5" t="s">
        <v>4138</v>
      </c>
      <c r="AJ683" s="5" t="s">
        <v>4139</v>
      </c>
      <c r="AK683" s="5" t="s">
        <v>4090</v>
      </c>
      <c r="AL683" s="5" t="s">
        <v>3858</v>
      </c>
    </row>
    <row r="684" spans="1:38" x14ac:dyDescent="0.3">
      <c r="A684" s="4">
        <v>45716</v>
      </c>
      <c r="B684" s="5" t="s">
        <v>2445</v>
      </c>
      <c r="C684" s="5" t="s">
        <v>2446</v>
      </c>
      <c r="D684" s="5" t="s">
        <v>2447</v>
      </c>
      <c r="E684" s="5" t="s">
        <v>4494</v>
      </c>
      <c r="G684" s="5" t="s">
        <v>78</v>
      </c>
      <c r="H684" s="5" t="s">
        <v>575</v>
      </c>
      <c r="I684" s="5" t="s">
        <v>1548</v>
      </c>
      <c r="J684" s="5" t="s">
        <v>1526</v>
      </c>
      <c r="K684" s="4">
        <v>41640</v>
      </c>
      <c r="L684" s="4">
        <v>41640</v>
      </c>
      <c r="M684" s="9">
        <f t="shared" si="90"/>
        <v>11</v>
      </c>
      <c r="N684" s="4" t="str">
        <f t="shared" si="92"/>
        <v>] 10 ; 15 ]</v>
      </c>
      <c r="O684" s="5" t="s">
        <v>3786</v>
      </c>
      <c r="P684" s="5" t="s">
        <v>3783</v>
      </c>
      <c r="Q684" s="5">
        <v>1</v>
      </c>
      <c r="R684" s="5" t="str">
        <f t="shared" si="93"/>
        <v>Specialisation</v>
      </c>
      <c r="S684" s="5" t="s">
        <v>3789</v>
      </c>
      <c r="T684" s="4">
        <v>30606</v>
      </c>
      <c r="U684" s="5">
        <f t="shared" si="94"/>
        <v>1983</v>
      </c>
      <c r="V684" s="5" t="s">
        <v>3793</v>
      </c>
      <c r="W684" s="9">
        <f t="shared" si="91"/>
        <v>41</v>
      </c>
      <c r="X684" s="5" t="str">
        <f t="shared" si="95"/>
        <v>[40 - 44 ans]</v>
      </c>
      <c r="Y684" s="5" t="str">
        <f t="shared" si="96"/>
        <v xml:space="preserve"> Mellenials </v>
      </c>
      <c r="Z684" s="9">
        <f t="shared" si="97"/>
        <v>19</v>
      </c>
      <c r="AA684" s="5" t="str">
        <f t="shared" si="98"/>
        <v>RAS</v>
      </c>
      <c r="AB684" s="5" t="s">
        <v>3808</v>
      </c>
      <c r="AC684" s="6" t="s">
        <v>3799</v>
      </c>
      <c r="AE684" s="5" t="s">
        <v>3844</v>
      </c>
      <c r="AF684" s="5" t="s">
        <v>4482</v>
      </c>
      <c r="AG684" s="5" t="s">
        <v>4485</v>
      </c>
      <c r="AH684" s="5" t="s">
        <v>4488</v>
      </c>
      <c r="AI684" s="5" t="s">
        <v>4131</v>
      </c>
      <c r="AJ684" s="5" t="s">
        <v>4132</v>
      </c>
      <c r="AK684" s="5">
        <v>81120</v>
      </c>
      <c r="AL684" s="5" t="s">
        <v>3854</v>
      </c>
    </row>
    <row r="685" spans="1:38" x14ac:dyDescent="0.3">
      <c r="A685" s="4">
        <v>45716</v>
      </c>
      <c r="B685" s="5" t="s">
        <v>2448</v>
      </c>
      <c r="C685" s="5" t="s">
        <v>2449</v>
      </c>
      <c r="D685" s="5" t="s">
        <v>2450</v>
      </c>
      <c r="E685" s="5" t="s">
        <v>4494</v>
      </c>
      <c r="G685" s="5" t="s">
        <v>88</v>
      </c>
      <c r="H685" s="5" t="s">
        <v>101</v>
      </c>
      <c r="I685" s="5" t="s">
        <v>945</v>
      </c>
      <c r="J685" s="5" t="s">
        <v>879</v>
      </c>
      <c r="K685" s="4">
        <v>41640</v>
      </c>
      <c r="L685" s="4">
        <v>41640</v>
      </c>
      <c r="M685" s="9">
        <f t="shared" si="90"/>
        <v>11</v>
      </c>
      <c r="N685" s="4" t="str">
        <f t="shared" si="92"/>
        <v>] 10 ; 15 ]</v>
      </c>
      <c r="O685" s="5" t="s">
        <v>3783</v>
      </c>
      <c r="P685" s="5" t="s">
        <v>3783</v>
      </c>
      <c r="Q685" s="5">
        <v>1</v>
      </c>
      <c r="R685" s="5" t="str">
        <f t="shared" si="93"/>
        <v>Specialisation</v>
      </c>
      <c r="S685" s="5" t="s">
        <v>3789</v>
      </c>
      <c r="T685" s="4">
        <v>32102</v>
      </c>
      <c r="U685" s="5">
        <f t="shared" si="94"/>
        <v>1987</v>
      </c>
      <c r="V685" s="5" t="s">
        <v>3793</v>
      </c>
      <c r="W685" s="9">
        <f t="shared" si="91"/>
        <v>37</v>
      </c>
      <c r="X685" s="5" t="str">
        <f t="shared" si="95"/>
        <v>[35 - 39 ans ]</v>
      </c>
      <c r="Y685" s="5" t="str">
        <f t="shared" si="96"/>
        <v xml:space="preserve"> Mellenials </v>
      </c>
      <c r="Z685" s="9">
        <f t="shared" si="97"/>
        <v>23</v>
      </c>
      <c r="AA685" s="5" t="str">
        <f t="shared" si="98"/>
        <v>RAS</v>
      </c>
      <c r="AB685" s="5" t="s">
        <v>3806</v>
      </c>
      <c r="AC685" s="6" t="s">
        <v>3799</v>
      </c>
      <c r="AE685" s="5" t="s">
        <v>3844</v>
      </c>
      <c r="AF685" s="5" t="s">
        <v>4482</v>
      </c>
      <c r="AG685" s="5" t="s">
        <v>4485</v>
      </c>
      <c r="AH685" s="5" t="s">
        <v>4488</v>
      </c>
      <c r="AI685" s="5" t="s">
        <v>3904</v>
      </c>
      <c r="AJ685" s="5" t="s">
        <v>3905</v>
      </c>
      <c r="AK685" s="5">
        <v>11152</v>
      </c>
      <c r="AL685" s="5" t="s">
        <v>3858</v>
      </c>
    </row>
    <row r="686" spans="1:38" x14ac:dyDescent="0.3">
      <c r="A686" s="4">
        <v>45716</v>
      </c>
      <c r="B686" s="5" t="s">
        <v>2451</v>
      </c>
      <c r="C686" s="5" t="s">
        <v>2452</v>
      </c>
      <c r="D686" s="5" t="s">
        <v>2453</v>
      </c>
      <c r="E686" s="5" t="s">
        <v>4494</v>
      </c>
      <c r="G686" s="5" t="s">
        <v>78</v>
      </c>
      <c r="H686" s="5" t="s">
        <v>1692</v>
      </c>
      <c r="I686" s="5" t="s">
        <v>1126</v>
      </c>
      <c r="J686" s="5" t="s">
        <v>298</v>
      </c>
      <c r="K686" s="4">
        <v>41640</v>
      </c>
      <c r="L686" s="4">
        <v>41640</v>
      </c>
      <c r="M686" s="9">
        <f t="shared" si="90"/>
        <v>11</v>
      </c>
      <c r="N686" s="4" t="str">
        <f t="shared" si="92"/>
        <v>] 10 ; 15 ]</v>
      </c>
      <c r="O686" s="5" t="s">
        <v>3788</v>
      </c>
      <c r="P686" s="5" t="s">
        <v>3788</v>
      </c>
      <c r="Q686" s="5">
        <v>2</v>
      </c>
      <c r="R686" s="5" t="str">
        <f t="shared" si="93"/>
        <v>Qualification</v>
      </c>
      <c r="S686" s="5" t="s">
        <v>3789</v>
      </c>
      <c r="T686" s="4">
        <v>30884</v>
      </c>
      <c r="U686" s="5">
        <f t="shared" si="94"/>
        <v>1984</v>
      </c>
      <c r="V686" s="5" t="s">
        <v>3792</v>
      </c>
      <c r="W686" s="9">
        <f t="shared" si="91"/>
        <v>40</v>
      </c>
      <c r="X686" s="5" t="str">
        <f t="shared" si="95"/>
        <v>[40 - 44 ans]</v>
      </c>
      <c r="Y686" s="5" t="str">
        <f t="shared" si="96"/>
        <v xml:space="preserve"> Mellenials </v>
      </c>
      <c r="Z686" s="9">
        <f t="shared" si="97"/>
        <v>20</v>
      </c>
      <c r="AA686" s="5" t="str">
        <f t="shared" si="98"/>
        <v>RAS</v>
      </c>
      <c r="AB686" s="5" t="s">
        <v>3808</v>
      </c>
      <c r="AC686" s="6" t="s">
        <v>3799</v>
      </c>
      <c r="AE686" s="5" t="s">
        <v>3844</v>
      </c>
      <c r="AF686" s="5" t="s">
        <v>4482</v>
      </c>
      <c r="AG686" s="5" t="s">
        <v>4485</v>
      </c>
      <c r="AH686" s="5" t="s">
        <v>4488</v>
      </c>
      <c r="AI686" s="5" t="s">
        <v>4345</v>
      </c>
      <c r="AJ686" s="5" t="s">
        <v>4346</v>
      </c>
      <c r="AK686" s="5" t="s">
        <v>4347</v>
      </c>
      <c r="AL686" s="5" t="s">
        <v>3858</v>
      </c>
    </row>
    <row r="687" spans="1:38" x14ac:dyDescent="0.3">
      <c r="A687" s="4">
        <v>45716</v>
      </c>
      <c r="B687" s="5" t="s">
        <v>2454</v>
      </c>
      <c r="C687" s="5" t="s">
        <v>2455</v>
      </c>
      <c r="D687" s="5" t="s">
        <v>2456</v>
      </c>
      <c r="E687" s="5" t="s">
        <v>4494</v>
      </c>
      <c r="G687" s="5" t="s">
        <v>78</v>
      </c>
      <c r="H687" s="5" t="s">
        <v>2125</v>
      </c>
      <c r="I687" s="5" t="s">
        <v>1069</v>
      </c>
      <c r="J687" s="5" t="s">
        <v>298</v>
      </c>
      <c r="K687" s="4">
        <v>41640</v>
      </c>
      <c r="L687" s="4">
        <v>41640</v>
      </c>
      <c r="M687" s="9">
        <f t="shared" si="90"/>
        <v>11</v>
      </c>
      <c r="N687" s="4" t="str">
        <f t="shared" si="92"/>
        <v>] 10 ; 15 ]</v>
      </c>
      <c r="O687" s="5" t="s">
        <v>3787</v>
      </c>
      <c r="P687" s="5" t="s">
        <v>3787</v>
      </c>
      <c r="Q687" s="5">
        <v>3</v>
      </c>
      <c r="R687" s="5" t="str">
        <f t="shared" si="93"/>
        <v>Qualification</v>
      </c>
      <c r="S687" s="5" t="s">
        <v>3789</v>
      </c>
      <c r="T687" s="4">
        <v>32255</v>
      </c>
      <c r="U687" s="5">
        <f t="shared" si="94"/>
        <v>1988</v>
      </c>
      <c r="V687" s="5" t="s">
        <v>3793</v>
      </c>
      <c r="W687" s="9">
        <f t="shared" si="91"/>
        <v>36</v>
      </c>
      <c r="X687" s="5" t="str">
        <f t="shared" si="95"/>
        <v>[35 - 39 ans ]</v>
      </c>
      <c r="Y687" s="5" t="str">
        <f t="shared" si="96"/>
        <v xml:space="preserve"> Mellenials </v>
      </c>
      <c r="Z687" s="9">
        <f t="shared" si="97"/>
        <v>24</v>
      </c>
      <c r="AA687" s="5" t="str">
        <f t="shared" si="98"/>
        <v>RAS</v>
      </c>
      <c r="AB687" s="5" t="s">
        <v>3808</v>
      </c>
      <c r="AC687" s="6" t="s">
        <v>3799</v>
      </c>
      <c r="AE687" s="5" t="s">
        <v>3844</v>
      </c>
      <c r="AF687" s="5" t="s">
        <v>4482</v>
      </c>
      <c r="AG687" s="5" t="s">
        <v>4485</v>
      </c>
      <c r="AH687" s="5" t="s">
        <v>4488</v>
      </c>
      <c r="AI687" s="5" t="s">
        <v>4240</v>
      </c>
      <c r="AJ687" s="5" t="s">
        <v>4264</v>
      </c>
      <c r="AK687" s="5" t="s">
        <v>4090</v>
      </c>
      <c r="AL687" s="5" t="s">
        <v>3858</v>
      </c>
    </row>
    <row r="688" spans="1:38" x14ac:dyDescent="0.3">
      <c r="A688" s="4">
        <v>45716</v>
      </c>
      <c r="B688" s="5" t="s">
        <v>2457</v>
      </c>
      <c r="C688" s="5" t="s">
        <v>2458</v>
      </c>
      <c r="D688" s="5" t="s">
        <v>2459</v>
      </c>
      <c r="E688" s="5" t="s">
        <v>4494</v>
      </c>
      <c r="G688" s="5" t="s">
        <v>137</v>
      </c>
      <c r="H688" s="5" t="s">
        <v>764</v>
      </c>
      <c r="I688" s="5" t="s">
        <v>401</v>
      </c>
      <c r="J688" s="5" t="s">
        <v>1346</v>
      </c>
      <c r="K688" s="4">
        <v>41640</v>
      </c>
      <c r="L688" s="4">
        <v>41640</v>
      </c>
      <c r="M688" s="9">
        <f t="shared" si="90"/>
        <v>11</v>
      </c>
      <c r="N688" s="4" t="str">
        <f t="shared" si="92"/>
        <v>] 10 ; 15 ]</v>
      </c>
      <c r="O688" s="5" t="s">
        <v>3786</v>
      </c>
      <c r="P688" s="5" t="s">
        <v>3786</v>
      </c>
      <c r="Q688" s="5">
        <v>2</v>
      </c>
      <c r="R688" s="5" t="str">
        <f t="shared" si="93"/>
        <v>Specialisation</v>
      </c>
      <c r="S688" s="5" t="s">
        <v>3789</v>
      </c>
      <c r="T688" s="4">
        <v>31450</v>
      </c>
      <c r="U688" s="5">
        <f t="shared" si="94"/>
        <v>1986</v>
      </c>
      <c r="V688" s="5" t="s">
        <v>3793</v>
      </c>
      <c r="W688" s="9">
        <f t="shared" si="91"/>
        <v>39</v>
      </c>
      <c r="X688" s="5" t="str">
        <f t="shared" si="95"/>
        <v>[35 - 39 ans ]</v>
      </c>
      <c r="Y688" s="5" t="str">
        <f t="shared" si="96"/>
        <v xml:space="preserve"> Mellenials </v>
      </c>
      <c r="Z688" s="9">
        <f t="shared" si="97"/>
        <v>21</v>
      </c>
      <c r="AA688" s="5" t="str">
        <f t="shared" si="98"/>
        <v>RAS</v>
      </c>
      <c r="AB688" s="5" t="s">
        <v>3806</v>
      </c>
      <c r="AC688" s="6" t="s">
        <v>3799</v>
      </c>
      <c r="AE688" s="5" t="s">
        <v>3844</v>
      </c>
      <c r="AF688" s="5" t="s">
        <v>4482</v>
      </c>
      <c r="AG688" s="5" t="s">
        <v>4485</v>
      </c>
      <c r="AH688" s="5" t="s">
        <v>4487</v>
      </c>
      <c r="AI688" s="5" t="s">
        <v>4191</v>
      </c>
      <c r="AJ688" s="5" t="s">
        <v>4192</v>
      </c>
      <c r="AK688" s="5" t="s">
        <v>4193</v>
      </c>
      <c r="AL688" s="5" t="s">
        <v>3858</v>
      </c>
    </row>
    <row r="689" spans="1:38" x14ac:dyDescent="0.3">
      <c r="A689" s="4">
        <v>45716</v>
      </c>
      <c r="B689" s="5" t="s">
        <v>2460</v>
      </c>
      <c r="C689" s="5" t="s">
        <v>2461</v>
      </c>
      <c r="D689" s="5" t="s">
        <v>2462</v>
      </c>
      <c r="E689" s="5" t="s">
        <v>4494</v>
      </c>
      <c r="G689" s="5" t="s">
        <v>88</v>
      </c>
      <c r="H689" s="5" t="s">
        <v>2463</v>
      </c>
      <c r="I689" s="5" t="s">
        <v>2739</v>
      </c>
      <c r="J689" s="5" t="s">
        <v>182</v>
      </c>
      <c r="K689" s="4">
        <v>41640</v>
      </c>
      <c r="L689" s="4">
        <v>41640</v>
      </c>
      <c r="M689" s="9">
        <f t="shared" si="90"/>
        <v>11</v>
      </c>
      <c r="N689" s="4" t="str">
        <f t="shared" si="92"/>
        <v>] 10 ; 15 ]</v>
      </c>
      <c r="O689" s="5" t="s">
        <v>3783</v>
      </c>
      <c r="P689" s="5" t="s">
        <v>3783</v>
      </c>
      <c r="Q689" s="5">
        <v>1</v>
      </c>
      <c r="R689" s="5" t="str">
        <f t="shared" si="93"/>
        <v>Specialisation</v>
      </c>
      <c r="S689" s="5" t="s">
        <v>3789</v>
      </c>
      <c r="T689" s="4">
        <v>30928</v>
      </c>
      <c r="U689" s="5">
        <f t="shared" si="94"/>
        <v>1984</v>
      </c>
      <c r="V689" s="5" t="s">
        <v>3792</v>
      </c>
      <c r="W689" s="9">
        <f t="shared" si="91"/>
        <v>40</v>
      </c>
      <c r="X689" s="5" t="str">
        <f t="shared" si="95"/>
        <v>[40 - 44 ans]</v>
      </c>
      <c r="Y689" s="5" t="str">
        <f t="shared" si="96"/>
        <v xml:space="preserve"> Mellenials </v>
      </c>
      <c r="Z689" s="9">
        <f t="shared" si="97"/>
        <v>20</v>
      </c>
      <c r="AA689" s="5" t="str">
        <f t="shared" si="98"/>
        <v>RAS</v>
      </c>
      <c r="AB689" s="5" t="s">
        <v>3806</v>
      </c>
      <c r="AC689" s="6" t="s">
        <v>3799</v>
      </c>
      <c r="AE689" s="5" t="s">
        <v>3844</v>
      </c>
      <c r="AF689" s="5" t="s">
        <v>4482</v>
      </c>
      <c r="AG689" s="5" t="s">
        <v>4485</v>
      </c>
      <c r="AH689" s="5" t="s">
        <v>4488</v>
      </c>
      <c r="AI689" s="5" t="s">
        <v>4416</v>
      </c>
      <c r="AJ689" s="5" t="s">
        <v>4417</v>
      </c>
      <c r="AK689" s="5">
        <v>11100</v>
      </c>
      <c r="AL689" s="5" t="s">
        <v>3858</v>
      </c>
    </row>
    <row r="690" spans="1:38" x14ac:dyDescent="0.3">
      <c r="A690" s="4">
        <v>45716</v>
      </c>
      <c r="B690" s="5" t="s">
        <v>2464</v>
      </c>
      <c r="C690" s="5" t="s">
        <v>2465</v>
      </c>
      <c r="D690" s="5" t="s">
        <v>2466</v>
      </c>
      <c r="E690" s="5" t="s">
        <v>4494</v>
      </c>
      <c r="G690" s="5" t="s">
        <v>83</v>
      </c>
      <c r="H690" s="5" t="s">
        <v>2467</v>
      </c>
      <c r="I690" s="5" t="s">
        <v>96</v>
      </c>
      <c r="J690" s="5" t="s">
        <v>1222</v>
      </c>
      <c r="K690" s="4">
        <v>41640</v>
      </c>
      <c r="L690" s="4">
        <v>41640</v>
      </c>
      <c r="M690" s="9">
        <f t="shared" si="90"/>
        <v>11</v>
      </c>
      <c r="N690" s="4" t="str">
        <f t="shared" si="92"/>
        <v>] 10 ; 15 ]</v>
      </c>
      <c r="O690" s="5" t="s">
        <v>3787</v>
      </c>
      <c r="P690" s="5" t="s">
        <v>3788</v>
      </c>
      <c r="Q690" s="5">
        <v>1</v>
      </c>
      <c r="R690" s="5" t="str">
        <f t="shared" si="93"/>
        <v>Qualification</v>
      </c>
      <c r="S690" s="5" t="s">
        <v>3789</v>
      </c>
      <c r="T690" s="4">
        <v>31109</v>
      </c>
      <c r="U690" s="5">
        <f t="shared" si="94"/>
        <v>1985</v>
      </c>
      <c r="V690" s="5" t="s">
        <v>3793</v>
      </c>
      <c r="W690" s="9">
        <f t="shared" si="91"/>
        <v>39</v>
      </c>
      <c r="X690" s="5" t="str">
        <f t="shared" si="95"/>
        <v>[35 - 39 ans ]</v>
      </c>
      <c r="Y690" s="5" t="str">
        <f t="shared" si="96"/>
        <v xml:space="preserve"> Mellenials </v>
      </c>
      <c r="Z690" s="9">
        <f t="shared" si="97"/>
        <v>21</v>
      </c>
      <c r="AA690" s="5" t="str">
        <f t="shared" si="98"/>
        <v>RAS</v>
      </c>
      <c r="AB690" s="5" t="s">
        <v>3807</v>
      </c>
      <c r="AC690" s="6" t="s">
        <v>3799</v>
      </c>
      <c r="AE690" s="5" t="s">
        <v>3844</v>
      </c>
      <c r="AF690" s="5" t="s">
        <v>4482</v>
      </c>
      <c r="AG690" s="5" t="s">
        <v>4485</v>
      </c>
      <c r="AH690" s="5" t="s">
        <v>4489</v>
      </c>
      <c r="AI690" s="5" t="s">
        <v>4137</v>
      </c>
      <c r="AJ690" s="5" t="s">
        <v>4418</v>
      </c>
      <c r="AK690" s="5" t="s">
        <v>3903</v>
      </c>
      <c r="AL690" s="5" t="s">
        <v>3858</v>
      </c>
    </row>
    <row r="691" spans="1:38" x14ac:dyDescent="0.3">
      <c r="A691" s="4">
        <v>45716</v>
      </c>
      <c r="B691" s="5" t="s">
        <v>2468</v>
      </c>
      <c r="C691" s="5" t="s">
        <v>2469</v>
      </c>
      <c r="D691" s="5" t="s">
        <v>2470</v>
      </c>
      <c r="E691" s="5" t="s">
        <v>4494</v>
      </c>
      <c r="G691" s="5" t="s">
        <v>78</v>
      </c>
      <c r="H691" s="5" t="s">
        <v>2125</v>
      </c>
      <c r="I691" s="5" t="s">
        <v>1069</v>
      </c>
      <c r="J691" s="5" t="s">
        <v>298</v>
      </c>
      <c r="K691" s="4">
        <v>41640</v>
      </c>
      <c r="L691" s="4">
        <v>41640</v>
      </c>
      <c r="M691" s="9">
        <f t="shared" si="90"/>
        <v>11</v>
      </c>
      <c r="N691" s="4" t="str">
        <f t="shared" si="92"/>
        <v>] 10 ; 15 ]</v>
      </c>
      <c r="O691" s="5" t="s">
        <v>3787</v>
      </c>
      <c r="P691" s="5" t="s">
        <v>3787</v>
      </c>
      <c r="Q691" s="5">
        <v>3</v>
      </c>
      <c r="R691" s="5" t="str">
        <f t="shared" si="93"/>
        <v>Qualification</v>
      </c>
      <c r="S691" s="5" t="s">
        <v>3790</v>
      </c>
      <c r="T691" s="4">
        <v>30806</v>
      </c>
      <c r="U691" s="5">
        <f t="shared" si="94"/>
        <v>1984</v>
      </c>
      <c r="V691" s="5" t="s">
        <v>3793</v>
      </c>
      <c r="W691" s="9">
        <f t="shared" si="91"/>
        <v>40</v>
      </c>
      <c r="X691" s="5" t="str">
        <f t="shared" si="95"/>
        <v>[40 - 44 ans]</v>
      </c>
      <c r="Y691" s="5" t="str">
        <f t="shared" si="96"/>
        <v xml:space="preserve"> Mellenials </v>
      </c>
      <c r="Z691" s="9">
        <f t="shared" si="97"/>
        <v>20</v>
      </c>
      <c r="AA691" s="5" t="str">
        <f t="shared" si="98"/>
        <v>RAS</v>
      </c>
      <c r="AB691" s="5" t="s">
        <v>3808</v>
      </c>
      <c r="AC691" s="6" t="s">
        <v>3799</v>
      </c>
      <c r="AE691" s="5" t="s">
        <v>3844</v>
      </c>
      <c r="AF691" s="5" t="s">
        <v>4482</v>
      </c>
      <c r="AG691" s="5" t="s">
        <v>4485</v>
      </c>
      <c r="AH691" s="5" t="s">
        <v>4488</v>
      </c>
      <c r="AI691" s="5" t="s">
        <v>4240</v>
      </c>
      <c r="AJ691" s="5" t="s">
        <v>4264</v>
      </c>
      <c r="AK691" s="5" t="s">
        <v>4090</v>
      </c>
      <c r="AL691" s="5" t="s">
        <v>3858</v>
      </c>
    </row>
    <row r="692" spans="1:38" x14ac:dyDescent="0.3">
      <c r="A692" s="4">
        <v>45716</v>
      </c>
      <c r="B692" s="5" t="s">
        <v>2471</v>
      </c>
      <c r="C692" s="5" t="s">
        <v>2472</v>
      </c>
      <c r="D692" s="5" t="s">
        <v>2473</v>
      </c>
      <c r="E692" s="5" t="s">
        <v>4494</v>
      </c>
      <c r="G692" s="5" t="s">
        <v>88</v>
      </c>
      <c r="H692" s="5" t="s">
        <v>456</v>
      </c>
      <c r="I692" s="5" t="s">
        <v>910</v>
      </c>
      <c r="J692" s="5" t="s">
        <v>883</v>
      </c>
      <c r="K692" s="4">
        <v>41640</v>
      </c>
      <c r="L692" s="4">
        <v>41640</v>
      </c>
      <c r="M692" s="9">
        <f t="shared" si="90"/>
        <v>11</v>
      </c>
      <c r="N692" s="4" t="str">
        <f t="shared" si="92"/>
        <v>] 10 ; 15 ]</v>
      </c>
      <c r="O692" s="5" t="s">
        <v>3780</v>
      </c>
      <c r="P692" s="5" t="s">
        <v>3780</v>
      </c>
      <c r="Q692" s="5">
        <v>1</v>
      </c>
      <c r="R692" s="5" t="str">
        <f t="shared" si="93"/>
        <v>Qualification</v>
      </c>
      <c r="S692" s="5" t="s">
        <v>3790</v>
      </c>
      <c r="T692" s="4">
        <v>31863</v>
      </c>
      <c r="U692" s="5">
        <f t="shared" si="94"/>
        <v>1987</v>
      </c>
      <c r="V692" s="5" t="s">
        <v>3793</v>
      </c>
      <c r="W692" s="9">
        <f t="shared" si="91"/>
        <v>37</v>
      </c>
      <c r="X692" s="5" t="str">
        <f t="shared" si="95"/>
        <v>[35 - 39 ans ]</v>
      </c>
      <c r="Y692" s="5" t="str">
        <f t="shared" si="96"/>
        <v xml:space="preserve"> Mellenials </v>
      </c>
      <c r="Z692" s="9">
        <f t="shared" si="97"/>
        <v>23</v>
      </c>
      <c r="AA692" s="5" t="str">
        <f t="shared" si="98"/>
        <v>RAS</v>
      </c>
      <c r="AB692" s="5" t="s">
        <v>3815</v>
      </c>
      <c r="AC692" s="6" t="s">
        <v>3799</v>
      </c>
      <c r="AE692" s="5" t="s">
        <v>3844</v>
      </c>
      <c r="AF692" s="5" t="s">
        <v>4482</v>
      </c>
      <c r="AG692" s="5" t="s">
        <v>4485</v>
      </c>
      <c r="AH692" s="5" t="s">
        <v>4488</v>
      </c>
      <c r="AI692" s="5" t="s">
        <v>4152</v>
      </c>
      <c r="AJ692" s="5" t="s">
        <v>4153</v>
      </c>
      <c r="AK692" s="5" t="s">
        <v>4154</v>
      </c>
      <c r="AL692" s="5" t="s">
        <v>3858</v>
      </c>
    </row>
    <row r="693" spans="1:38" x14ac:dyDescent="0.3">
      <c r="A693" s="4">
        <v>45716</v>
      </c>
      <c r="B693" s="5" t="s">
        <v>2474</v>
      </c>
      <c r="C693" s="5" t="s">
        <v>2475</v>
      </c>
      <c r="D693" s="5" t="s">
        <v>2476</v>
      </c>
      <c r="E693" s="5" t="s">
        <v>4494</v>
      </c>
      <c r="G693" s="5" t="s">
        <v>78</v>
      </c>
      <c r="H693" s="5" t="s">
        <v>1980</v>
      </c>
      <c r="I693" s="5" t="s">
        <v>2312</v>
      </c>
      <c r="J693" s="5" t="s">
        <v>298</v>
      </c>
      <c r="K693" s="4">
        <v>41640</v>
      </c>
      <c r="L693" s="4">
        <v>41640</v>
      </c>
      <c r="M693" s="9">
        <f t="shared" si="90"/>
        <v>11</v>
      </c>
      <c r="N693" s="4" t="str">
        <f t="shared" si="92"/>
        <v>] 10 ; 15 ]</v>
      </c>
      <c r="O693" s="5" t="s">
        <v>3788</v>
      </c>
      <c r="P693" s="5" t="s">
        <v>3788</v>
      </c>
      <c r="Q693" s="5">
        <v>2</v>
      </c>
      <c r="R693" s="5" t="str">
        <f t="shared" si="93"/>
        <v>Qualification</v>
      </c>
      <c r="S693" s="5" t="s">
        <v>3790</v>
      </c>
      <c r="T693" s="4">
        <v>30674</v>
      </c>
      <c r="U693" s="5">
        <f t="shared" si="94"/>
        <v>1983</v>
      </c>
      <c r="V693" s="5" t="s">
        <v>3793</v>
      </c>
      <c r="W693" s="9">
        <f t="shared" si="91"/>
        <v>41</v>
      </c>
      <c r="X693" s="5" t="str">
        <f t="shared" si="95"/>
        <v>[40 - 44 ans]</v>
      </c>
      <c r="Y693" s="5" t="str">
        <f t="shared" si="96"/>
        <v xml:space="preserve"> Mellenials </v>
      </c>
      <c r="Z693" s="9">
        <f t="shared" si="97"/>
        <v>19</v>
      </c>
      <c r="AA693" s="5" t="str">
        <f t="shared" si="98"/>
        <v>RAS</v>
      </c>
      <c r="AB693" s="5" t="s">
        <v>3808</v>
      </c>
      <c r="AC693" s="6" t="s">
        <v>3799</v>
      </c>
      <c r="AE693" s="5" t="s">
        <v>3844</v>
      </c>
      <c r="AF693" s="5" t="s">
        <v>4482</v>
      </c>
      <c r="AG693" s="5" t="s">
        <v>4485</v>
      </c>
      <c r="AH693" s="5" t="s">
        <v>4488</v>
      </c>
      <c r="AI693" s="5" t="s">
        <v>4381</v>
      </c>
      <c r="AJ693" s="5" t="s">
        <v>4382</v>
      </c>
      <c r="AK693" s="5" t="s">
        <v>3946</v>
      </c>
      <c r="AL693" s="5" t="s">
        <v>3858</v>
      </c>
    </row>
    <row r="694" spans="1:38" x14ac:dyDescent="0.3">
      <c r="A694" s="4">
        <v>45716</v>
      </c>
      <c r="B694" s="5" t="s">
        <v>2477</v>
      </c>
      <c r="C694" s="5" t="s">
        <v>2478</v>
      </c>
      <c r="D694" s="5" t="s">
        <v>2479</v>
      </c>
      <c r="E694" s="5" t="s">
        <v>4494</v>
      </c>
      <c r="G694" s="5" t="s">
        <v>137</v>
      </c>
      <c r="H694" s="5" t="s">
        <v>440</v>
      </c>
      <c r="I694" s="5" t="s">
        <v>290</v>
      </c>
      <c r="J694" s="5" t="s">
        <v>1346</v>
      </c>
      <c r="K694" s="4">
        <v>41640</v>
      </c>
      <c r="L694" s="4">
        <v>41640</v>
      </c>
      <c r="M694" s="9">
        <f t="shared" si="90"/>
        <v>11</v>
      </c>
      <c r="N694" s="4" t="str">
        <f t="shared" si="92"/>
        <v>] 10 ; 15 ]</v>
      </c>
      <c r="O694" s="5" t="s">
        <v>3787</v>
      </c>
      <c r="P694" s="5" t="s">
        <v>3787</v>
      </c>
      <c r="Q694" s="5">
        <v>2</v>
      </c>
      <c r="R694" s="5" t="str">
        <f t="shared" si="93"/>
        <v>Qualification</v>
      </c>
      <c r="S694" s="5" t="s">
        <v>3789</v>
      </c>
      <c r="T694" s="4">
        <v>29754</v>
      </c>
      <c r="U694" s="5">
        <f t="shared" si="94"/>
        <v>1981</v>
      </c>
      <c r="V694" s="5" t="s">
        <v>3793</v>
      </c>
      <c r="W694" s="9">
        <f t="shared" si="91"/>
        <v>43</v>
      </c>
      <c r="X694" s="5" t="str">
        <f t="shared" si="95"/>
        <v>[40 - 44 ans]</v>
      </c>
      <c r="Y694" s="5" t="str">
        <f t="shared" si="96"/>
        <v xml:space="preserve"> Mellenials </v>
      </c>
      <c r="Z694" s="9">
        <f t="shared" si="97"/>
        <v>17</v>
      </c>
      <c r="AA694" s="5" t="str">
        <f t="shared" si="98"/>
        <v>RAS</v>
      </c>
      <c r="AB694" s="5" t="s">
        <v>3812</v>
      </c>
      <c r="AC694" s="6" t="s">
        <v>3799</v>
      </c>
      <c r="AE694" s="5" t="s">
        <v>3844</v>
      </c>
      <c r="AF694" s="5" t="s">
        <v>4482</v>
      </c>
      <c r="AG694" s="5" t="s">
        <v>4485</v>
      </c>
      <c r="AH694" s="5" t="s">
        <v>4487</v>
      </c>
      <c r="AI694" s="5" t="s">
        <v>4064</v>
      </c>
      <c r="AJ694" s="5" t="s">
        <v>4065</v>
      </c>
      <c r="AK694" s="5" t="s">
        <v>4066</v>
      </c>
      <c r="AL694" s="5" t="s">
        <v>3858</v>
      </c>
    </row>
    <row r="695" spans="1:38" x14ac:dyDescent="0.3">
      <c r="A695" s="4">
        <v>45716</v>
      </c>
      <c r="B695" s="5" t="s">
        <v>2480</v>
      </c>
      <c r="C695" s="5" t="s">
        <v>2481</v>
      </c>
      <c r="D695" s="5" t="s">
        <v>2482</v>
      </c>
      <c r="E695" s="5" t="s">
        <v>4494</v>
      </c>
      <c r="G695" s="5" t="s">
        <v>44</v>
      </c>
      <c r="H695" s="5" t="s">
        <v>2483</v>
      </c>
      <c r="I695" s="5" t="s">
        <v>217</v>
      </c>
      <c r="J695" s="5" t="s">
        <v>2337</v>
      </c>
      <c r="K695" s="4">
        <v>41640</v>
      </c>
      <c r="L695" s="4">
        <v>41640</v>
      </c>
      <c r="M695" s="9">
        <f t="shared" si="90"/>
        <v>11</v>
      </c>
      <c r="N695" s="4" t="str">
        <f t="shared" si="92"/>
        <v>] 10 ; 15 ]</v>
      </c>
      <c r="O695" s="5" t="s">
        <v>3785</v>
      </c>
      <c r="P695" s="5" t="s">
        <v>3785</v>
      </c>
      <c r="Q695" s="5">
        <v>1</v>
      </c>
      <c r="R695" s="5" t="str">
        <f t="shared" si="93"/>
        <v>Specialisation</v>
      </c>
      <c r="S695" s="5" t="s">
        <v>3790</v>
      </c>
      <c r="T695" s="4">
        <v>31320</v>
      </c>
      <c r="U695" s="5">
        <f t="shared" si="94"/>
        <v>1985</v>
      </c>
      <c r="V695" s="5" t="s">
        <v>3792</v>
      </c>
      <c r="W695" s="9">
        <f t="shared" si="91"/>
        <v>39</v>
      </c>
      <c r="X695" s="5" t="str">
        <f t="shared" si="95"/>
        <v>[35 - 39 ans ]</v>
      </c>
      <c r="Y695" s="5" t="str">
        <f t="shared" si="96"/>
        <v xml:space="preserve"> Mellenials </v>
      </c>
      <c r="Z695" s="9">
        <f t="shared" si="97"/>
        <v>21</v>
      </c>
      <c r="AA695" s="5" t="str">
        <f t="shared" si="98"/>
        <v>RAS</v>
      </c>
      <c r="AB695" s="5" t="s">
        <v>3806</v>
      </c>
      <c r="AC695" s="6" t="s">
        <v>3799</v>
      </c>
      <c r="AE695" s="5" t="s">
        <v>3844</v>
      </c>
      <c r="AF695" s="5" t="s">
        <v>4481</v>
      </c>
      <c r="AG695" s="5" t="s">
        <v>4485</v>
      </c>
      <c r="AH695" s="5" t="s">
        <v>4487</v>
      </c>
      <c r="AI695" s="5" t="s">
        <v>3963</v>
      </c>
      <c r="AJ695" s="5" t="s">
        <v>3964</v>
      </c>
      <c r="AK695" s="5" t="s">
        <v>3867</v>
      </c>
      <c r="AL695" s="5" t="s">
        <v>3858</v>
      </c>
    </row>
    <row r="696" spans="1:38" x14ac:dyDescent="0.3">
      <c r="A696" s="4">
        <v>45716</v>
      </c>
      <c r="B696" s="5" t="s">
        <v>2484</v>
      </c>
      <c r="C696" s="5" t="s">
        <v>2485</v>
      </c>
      <c r="D696" s="5" t="s">
        <v>2486</v>
      </c>
      <c r="E696" s="5" t="s">
        <v>4494</v>
      </c>
      <c r="G696" s="5" t="s">
        <v>88</v>
      </c>
      <c r="H696" s="5" t="s">
        <v>456</v>
      </c>
      <c r="I696" s="5" t="s">
        <v>910</v>
      </c>
      <c r="J696" s="5" t="s">
        <v>883</v>
      </c>
      <c r="K696" s="4">
        <v>41640</v>
      </c>
      <c r="L696" s="4">
        <v>40009</v>
      </c>
      <c r="M696" s="9">
        <f t="shared" si="90"/>
        <v>15</v>
      </c>
      <c r="N696" s="4" t="str">
        <f t="shared" si="92"/>
        <v>] 10 ; 15 ]</v>
      </c>
      <c r="O696" s="5" t="s">
        <v>3780</v>
      </c>
      <c r="P696" s="5" t="s">
        <v>3780</v>
      </c>
      <c r="Q696" s="5">
        <v>3</v>
      </c>
      <c r="R696" s="5" t="str">
        <f t="shared" si="93"/>
        <v>Qualification</v>
      </c>
      <c r="S696" s="5" t="s">
        <v>3789</v>
      </c>
      <c r="T696" s="4">
        <v>30861</v>
      </c>
      <c r="U696" s="5">
        <f t="shared" si="94"/>
        <v>1984</v>
      </c>
      <c r="V696" s="5" t="s">
        <v>3793</v>
      </c>
      <c r="W696" s="9">
        <f t="shared" si="91"/>
        <v>40</v>
      </c>
      <c r="X696" s="5" t="str">
        <f t="shared" si="95"/>
        <v>[40 - 44 ans]</v>
      </c>
      <c r="Y696" s="5" t="str">
        <f t="shared" si="96"/>
        <v xml:space="preserve"> Mellenials </v>
      </c>
      <c r="Z696" s="9">
        <f t="shared" si="97"/>
        <v>20</v>
      </c>
      <c r="AA696" s="5" t="str">
        <f t="shared" si="98"/>
        <v>RAS</v>
      </c>
      <c r="AB696" s="5" t="s">
        <v>3815</v>
      </c>
      <c r="AC696" s="6" t="s">
        <v>3799</v>
      </c>
      <c r="AE696" s="5" t="s">
        <v>3844</v>
      </c>
      <c r="AF696" s="5" t="s">
        <v>4482</v>
      </c>
      <c r="AG696" s="5" t="s">
        <v>4485</v>
      </c>
      <c r="AH696" s="5" t="s">
        <v>4488</v>
      </c>
      <c r="AI696" s="5" t="s">
        <v>4152</v>
      </c>
      <c r="AJ696" s="5" t="s">
        <v>4153</v>
      </c>
      <c r="AK696" s="5" t="s">
        <v>4154</v>
      </c>
      <c r="AL696" s="5" t="s">
        <v>3858</v>
      </c>
    </row>
    <row r="697" spans="1:38" x14ac:dyDescent="0.3">
      <c r="A697" s="4">
        <v>45716</v>
      </c>
      <c r="B697" s="5" t="s">
        <v>2487</v>
      </c>
      <c r="C697" s="5" t="s">
        <v>2488</v>
      </c>
      <c r="D697" s="5" t="s">
        <v>2489</v>
      </c>
      <c r="E697" s="5" t="s">
        <v>4494</v>
      </c>
      <c r="G697" s="5" t="s">
        <v>88</v>
      </c>
      <c r="H697" s="5" t="s">
        <v>456</v>
      </c>
      <c r="I697" s="5" t="s">
        <v>1479</v>
      </c>
      <c r="J697" s="5" t="s">
        <v>883</v>
      </c>
      <c r="K697" s="4">
        <v>41640</v>
      </c>
      <c r="L697" s="4">
        <v>40210</v>
      </c>
      <c r="M697" s="9">
        <f t="shared" si="90"/>
        <v>15</v>
      </c>
      <c r="N697" s="4" t="str">
        <f t="shared" si="92"/>
        <v>] 10 ; 15 ]</v>
      </c>
      <c r="O697" s="5" t="s">
        <v>3780</v>
      </c>
      <c r="P697" s="5" t="s">
        <v>3780</v>
      </c>
      <c r="Q697" s="5">
        <v>3</v>
      </c>
      <c r="R697" s="5" t="str">
        <f t="shared" si="93"/>
        <v>Qualification</v>
      </c>
      <c r="S697" s="5" t="s">
        <v>3789</v>
      </c>
      <c r="T697" s="4">
        <v>29549</v>
      </c>
      <c r="U697" s="5">
        <f t="shared" si="94"/>
        <v>1980</v>
      </c>
      <c r="V697" s="5" t="s">
        <v>3793</v>
      </c>
      <c r="W697" s="9">
        <f t="shared" si="91"/>
        <v>44</v>
      </c>
      <c r="X697" s="5" t="str">
        <f t="shared" si="95"/>
        <v>[40 - 44 ans]</v>
      </c>
      <c r="Y697" s="5" t="str">
        <f t="shared" si="96"/>
        <v xml:space="preserve"> Generation X </v>
      </c>
      <c r="Z697" s="9">
        <f t="shared" si="97"/>
        <v>16</v>
      </c>
      <c r="AA697" s="5" t="str">
        <f t="shared" si="98"/>
        <v>RAS</v>
      </c>
      <c r="AB697" s="5" t="s">
        <v>3834</v>
      </c>
      <c r="AC697" s="6" t="s">
        <v>3801</v>
      </c>
      <c r="AE697" s="5" t="s">
        <v>3844</v>
      </c>
      <c r="AF697" s="5" t="s">
        <v>4482</v>
      </c>
      <c r="AG697" s="5" t="s">
        <v>4485</v>
      </c>
      <c r="AH697" s="5" t="s">
        <v>4488</v>
      </c>
      <c r="AI697" s="5" t="s">
        <v>4312</v>
      </c>
      <c r="AJ697" s="5" t="s">
        <v>4313</v>
      </c>
      <c r="AK697" s="5" t="s">
        <v>4314</v>
      </c>
      <c r="AL697" s="5" t="s">
        <v>3858</v>
      </c>
    </row>
    <row r="698" spans="1:38" x14ac:dyDescent="0.3">
      <c r="A698" s="4">
        <v>45716</v>
      </c>
      <c r="B698" s="5" t="s">
        <v>2490</v>
      </c>
      <c r="C698" s="5" t="s">
        <v>2491</v>
      </c>
      <c r="D698" s="5" t="s">
        <v>2492</v>
      </c>
      <c r="E698" s="5" t="s">
        <v>4494</v>
      </c>
      <c r="G698" s="5" t="s">
        <v>24</v>
      </c>
      <c r="H698" s="5" t="s">
        <v>579</v>
      </c>
      <c r="I698" s="5" t="s">
        <v>1317</v>
      </c>
      <c r="J698" s="5" t="s">
        <v>23</v>
      </c>
      <c r="K698" s="4">
        <v>41673</v>
      </c>
      <c r="L698" s="4">
        <v>41673</v>
      </c>
      <c r="M698" s="9">
        <f t="shared" si="90"/>
        <v>11</v>
      </c>
      <c r="N698" s="4" t="str">
        <f t="shared" si="92"/>
        <v>] 10 ; 15 ]</v>
      </c>
      <c r="O698" s="5" t="s">
        <v>3785</v>
      </c>
      <c r="P698" s="5" t="s">
        <v>3782</v>
      </c>
      <c r="Q698" s="5">
        <v>1</v>
      </c>
      <c r="R698" s="5" t="str">
        <f t="shared" si="93"/>
        <v>Specialisation</v>
      </c>
      <c r="S698" s="5" t="s">
        <v>3789</v>
      </c>
      <c r="T698" s="4">
        <v>31390</v>
      </c>
      <c r="U698" s="5">
        <f t="shared" si="94"/>
        <v>1985</v>
      </c>
      <c r="V698" s="5" t="s">
        <v>3793</v>
      </c>
      <c r="W698" s="9">
        <f t="shared" si="91"/>
        <v>39</v>
      </c>
      <c r="X698" s="5" t="str">
        <f t="shared" si="95"/>
        <v>[35 - 39 ans ]</v>
      </c>
      <c r="Y698" s="5" t="str">
        <f t="shared" si="96"/>
        <v xml:space="preserve"> Mellenials </v>
      </c>
      <c r="Z698" s="9">
        <f t="shared" si="97"/>
        <v>21</v>
      </c>
      <c r="AA698" s="5" t="str">
        <f t="shared" si="98"/>
        <v>RAS</v>
      </c>
      <c r="AB698" s="5" t="s">
        <v>3805</v>
      </c>
      <c r="AC698" s="6" t="s">
        <v>3799</v>
      </c>
      <c r="AE698" s="5" t="s">
        <v>3844</v>
      </c>
      <c r="AF698" s="5" t="s">
        <v>4481</v>
      </c>
      <c r="AG698" s="5" t="s">
        <v>4485</v>
      </c>
      <c r="AH698" s="5" t="s">
        <v>4488</v>
      </c>
      <c r="AI698" s="5" t="s">
        <v>4133</v>
      </c>
      <c r="AJ698" s="5" t="s">
        <v>4134</v>
      </c>
      <c r="AK698" s="5" t="s">
        <v>3983</v>
      </c>
      <c r="AL698" s="5" t="s">
        <v>3858</v>
      </c>
    </row>
    <row r="699" spans="1:38" x14ac:dyDescent="0.3">
      <c r="A699" s="4">
        <v>45716</v>
      </c>
      <c r="B699" s="5" t="s">
        <v>2493</v>
      </c>
      <c r="C699" s="5" t="s">
        <v>2494</v>
      </c>
      <c r="D699" s="5" t="s">
        <v>2495</v>
      </c>
      <c r="E699" s="5" t="s">
        <v>4494</v>
      </c>
      <c r="G699" s="5" t="s">
        <v>554</v>
      </c>
      <c r="H699" s="5" t="s">
        <v>2496</v>
      </c>
      <c r="I699" s="5" t="s">
        <v>2412</v>
      </c>
      <c r="J699" s="5" t="s">
        <v>2841</v>
      </c>
      <c r="K699" s="4">
        <v>41673</v>
      </c>
      <c r="L699" s="4">
        <v>41673</v>
      </c>
      <c r="M699" s="9">
        <f t="shared" si="90"/>
        <v>11</v>
      </c>
      <c r="N699" s="4" t="str">
        <f t="shared" si="92"/>
        <v>] 10 ; 15 ]</v>
      </c>
      <c r="O699" s="5" t="s">
        <v>3782</v>
      </c>
      <c r="P699" s="5" t="s">
        <v>3782</v>
      </c>
      <c r="Q699" s="5">
        <v>2</v>
      </c>
      <c r="R699" s="5" t="str">
        <f t="shared" si="93"/>
        <v>Management &amp; Expertise</v>
      </c>
      <c r="S699" s="5" t="s">
        <v>3790</v>
      </c>
      <c r="T699" s="4">
        <v>32018</v>
      </c>
      <c r="U699" s="5">
        <f t="shared" si="94"/>
        <v>1987</v>
      </c>
      <c r="V699" s="5" t="s">
        <v>3793</v>
      </c>
      <c r="W699" s="9">
        <f t="shared" si="91"/>
        <v>37</v>
      </c>
      <c r="X699" s="5" t="str">
        <f t="shared" si="95"/>
        <v>[35 - 39 ans ]</v>
      </c>
      <c r="Y699" s="5" t="str">
        <f t="shared" si="96"/>
        <v xml:space="preserve"> Mellenials </v>
      </c>
      <c r="Z699" s="9">
        <f t="shared" si="97"/>
        <v>23</v>
      </c>
      <c r="AA699" s="5" t="str">
        <f t="shared" si="98"/>
        <v>RAS</v>
      </c>
      <c r="AB699" s="5" t="s">
        <v>3806</v>
      </c>
      <c r="AC699" s="6" t="s">
        <v>3799</v>
      </c>
      <c r="AE699" s="5" t="s">
        <v>3845</v>
      </c>
      <c r="AF699" s="5" t="s">
        <v>4481</v>
      </c>
      <c r="AG699" s="5" t="s">
        <v>4485</v>
      </c>
      <c r="AH699" s="5" t="s">
        <v>4487</v>
      </c>
      <c r="AI699" s="5" t="s">
        <v>4119</v>
      </c>
      <c r="AJ699" s="5" t="s">
        <v>4120</v>
      </c>
      <c r="AK699" s="5" t="s">
        <v>4121</v>
      </c>
      <c r="AL699" s="5" t="s">
        <v>3854</v>
      </c>
    </row>
    <row r="700" spans="1:38" x14ac:dyDescent="0.3">
      <c r="A700" s="4">
        <v>45716</v>
      </c>
      <c r="B700" s="5" t="s">
        <v>2497</v>
      </c>
      <c r="C700" s="5" t="s">
        <v>2498</v>
      </c>
      <c r="D700" s="5" t="s">
        <v>2499</v>
      </c>
      <c r="E700" s="5" t="s">
        <v>4494</v>
      </c>
      <c r="G700" s="5" t="s">
        <v>39</v>
      </c>
      <c r="H700" s="5" t="s">
        <v>339</v>
      </c>
      <c r="I700" s="5" t="s">
        <v>1795</v>
      </c>
      <c r="J700" s="5" t="s">
        <v>52</v>
      </c>
      <c r="K700" s="4">
        <v>41701</v>
      </c>
      <c r="L700" s="4">
        <v>39279</v>
      </c>
      <c r="M700" s="9">
        <f t="shared" si="90"/>
        <v>17</v>
      </c>
      <c r="N700" s="4" t="str">
        <f t="shared" si="92"/>
        <v>] 15 ; +oo [</v>
      </c>
      <c r="O700" s="5" t="s">
        <v>3780</v>
      </c>
      <c r="P700" s="5" t="s">
        <v>3786</v>
      </c>
      <c r="Q700" s="5">
        <v>1</v>
      </c>
      <c r="R700" s="5" t="str">
        <f t="shared" si="93"/>
        <v>Qualification</v>
      </c>
      <c r="S700" s="5" t="s">
        <v>3789</v>
      </c>
      <c r="T700" s="4">
        <v>30038</v>
      </c>
      <c r="U700" s="5">
        <f t="shared" si="94"/>
        <v>1982</v>
      </c>
      <c r="V700" s="5" t="s">
        <v>3793</v>
      </c>
      <c r="W700" s="9">
        <f t="shared" si="91"/>
        <v>42</v>
      </c>
      <c r="X700" s="5" t="str">
        <f t="shared" si="95"/>
        <v>[40 - 44 ans]</v>
      </c>
      <c r="Y700" s="5" t="str">
        <f t="shared" si="96"/>
        <v xml:space="preserve"> Mellenials </v>
      </c>
      <c r="Z700" s="9">
        <f t="shared" si="97"/>
        <v>18</v>
      </c>
      <c r="AA700" s="5" t="str">
        <f t="shared" si="98"/>
        <v>RAS</v>
      </c>
      <c r="AB700" s="5" t="s">
        <v>3807</v>
      </c>
      <c r="AC700" s="6" t="s">
        <v>3799</v>
      </c>
      <c r="AE700" s="5" t="s">
        <v>3844</v>
      </c>
      <c r="AF700" s="5" t="s">
        <v>4482</v>
      </c>
      <c r="AG700" s="5" t="s">
        <v>4485</v>
      </c>
      <c r="AH700" s="5" t="s">
        <v>4489</v>
      </c>
      <c r="AI700" s="5" t="s">
        <v>4146</v>
      </c>
      <c r="AJ700" s="5" t="s">
        <v>4147</v>
      </c>
      <c r="AK700" s="5" t="s">
        <v>4148</v>
      </c>
      <c r="AL700" s="5" t="s">
        <v>3858</v>
      </c>
    </row>
    <row r="701" spans="1:38" x14ac:dyDescent="0.3">
      <c r="A701" s="4">
        <v>45716</v>
      </c>
      <c r="B701" s="5" t="s">
        <v>2500</v>
      </c>
      <c r="C701" s="5" t="s">
        <v>2501</v>
      </c>
      <c r="D701" s="5" t="s">
        <v>2502</v>
      </c>
      <c r="E701" s="5" t="s">
        <v>4494</v>
      </c>
      <c r="G701" s="5" t="s">
        <v>88</v>
      </c>
      <c r="H701" s="5" t="s">
        <v>456</v>
      </c>
      <c r="I701" s="5" t="s">
        <v>910</v>
      </c>
      <c r="J701" s="5" t="s">
        <v>883</v>
      </c>
      <c r="K701" s="4">
        <v>41703</v>
      </c>
      <c r="L701" s="4">
        <v>41141.041666666664</v>
      </c>
      <c r="M701" s="9">
        <f t="shared" si="90"/>
        <v>12</v>
      </c>
      <c r="N701" s="4" t="str">
        <f t="shared" si="92"/>
        <v>] 10 ; 15 ]</v>
      </c>
      <c r="O701" s="5" t="s">
        <v>3780</v>
      </c>
      <c r="P701" s="5" t="s">
        <v>3780</v>
      </c>
      <c r="Q701" s="5">
        <v>3</v>
      </c>
      <c r="R701" s="5" t="str">
        <f t="shared" si="93"/>
        <v>Qualification</v>
      </c>
      <c r="S701" s="5" t="s">
        <v>3790</v>
      </c>
      <c r="T701" s="4">
        <v>30751</v>
      </c>
      <c r="U701" s="5">
        <f t="shared" si="94"/>
        <v>1984</v>
      </c>
      <c r="V701" s="5" t="s">
        <v>3793</v>
      </c>
      <c r="W701" s="9">
        <f t="shared" si="91"/>
        <v>40</v>
      </c>
      <c r="X701" s="5" t="str">
        <f t="shared" si="95"/>
        <v>[40 - 44 ans]</v>
      </c>
      <c r="Y701" s="5" t="str">
        <f t="shared" si="96"/>
        <v xml:space="preserve"> Mellenials </v>
      </c>
      <c r="Z701" s="9">
        <f t="shared" si="97"/>
        <v>20</v>
      </c>
      <c r="AA701" s="5" t="str">
        <f t="shared" si="98"/>
        <v>RAS</v>
      </c>
      <c r="AB701" s="5" t="s">
        <v>3821</v>
      </c>
      <c r="AC701" s="6" t="s">
        <v>3799</v>
      </c>
      <c r="AE701" s="5" t="s">
        <v>3844</v>
      </c>
      <c r="AF701" s="5" t="s">
        <v>4482</v>
      </c>
      <c r="AG701" s="5" t="s">
        <v>4485</v>
      </c>
      <c r="AH701" s="5" t="s">
        <v>4488</v>
      </c>
      <c r="AI701" s="5" t="s">
        <v>4163</v>
      </c>
      <c r="AJ701" s="5" t="s">
        <v>4164</v>
      </c>
      <c r="AK701" s="5" t="s">
        <v>4165</v>
      </c>
      <c r="AL701" s="5" t="s">
        <v>3858</v>
      </c>
    </row>
    <row r="702" spans="1:38" x14ac:dyDescent="0.3">
      <c r="A702" s="4">
        <v>45716</v>
      </c>
      <c r="B702" s="5" t="s">
        <v>2503</v>
      </c>
      <c r="C702" s="5" t="s">
        <v>2504</v>
      </c>
      <c r="D702" s="5" t="s">
        <v>2505</v>
      </c>
      <c r="E702" s="5" t="s">
        <v>4494</v>
      </c>
      <c r="G702" s="5" t="s">
        <v>88</v>
      </c>
      <c r="H702" s="5" t="s">
        <v>456</v>
      </c>
      <c r="I702" s="5" t="s">
        <v>910</v>
      </c>
      <c r="J702" s="5" t="s">
        <v>883</v>
      </c>
      <c r="K702" s="4">
        <v>41703</v>
      </c>
      <c r="L702" s="4">
        <v>41703</v>
      </c>
      <c r="M702" s="9">
        <f t="shared" si="90"/>
        <v>10</v>
      </c>
      <c r="N702" s="4" t="str">
        <f t="shared" si="92"/>
        <v>] 8 ; 10 ]</v>
      </c>
      <c r="O702" s="5" t="s">
        <v>3780</v>
      </c>
      <c r="P702" s="5" t="s">
        <v>3786</v>
      </c>
      <c r="Q702" s="5">
        <v>1</v>
      </c>
      <c r="R702" s="5" t="str">
        <f t="shared" si="93"/>
        <v>Qualification</v>
      </c>
      <c r="S702" s="5" t="s">
        <v>3790</v>
      </c>
      <c r="T702" s="4">
        <v>32440</v>
      </c>
      <c r="U702" s="5">
        <f t="shared" si="94"/>
        <v>1988</v>
      </c>
      <c r="V702" s="5" t="s">
        <v>3793</v>
      </c>
      <c r="W702" s="9">
        <f t="shared" si="91"/>
        <v>36</v>
      </c>
      <c r="X702" s="5" t="str">
        <f t="shared" si="95"/>
        <v>[35 - 39 ans ]</v>
      </c>
      <c r="Y702" s="5" t="str">
        <f t="shared" si="96"/>
        <v xml:space="preserve"> Mellenials </v>
      </c>
      <c r="Z702" s="9">
        <f t="shared" si="97"/>
        <v>24</v>
      </c>
      <c r="AA702" s="5" t="str">
        <f t="shared" si="98"/>
        <v>RAS</v>
      </c>
      <c r="AB702" s="5" t="s">
        <v>3815</v>
      </c>
      <c r="AC702" s="6" t="s">
        <v>3799</v>
      </c>
      <c r="AE702" s="5" t="s">
        <v>3844</v>
      </c>
      <c r="AF702" s="5" t="s">
        <v>4482</v>
      </c>
      <c r="AG702" s="5" t="s">
        <v>4485</v>
      </c>
      <c r="AH702" s="5" t="s">
        <v>4488</v>
      </c>
      <c r="AI702" s="5" t="s">
        <v>4152</v>
      </c>
      <c r="AJ702" s="5" t="s">
        <v>4153</v>
      </c>
      <c r="AK702" s="5" t="s">
        <v>4154</v>
      </c>
      <c r="AL702" s="5" t="s">
        <v>3858</v>
      </c>
    </row>
    <row r="703" spans="1:38" x14ac:dyDescent="0.3">
      <c r="A703" s="4">
        <v>45716</v>
      </c>
      <c r="B703" s="5" t="s">
        <v>2506</v>
      </c>
      <c r="C703" s="5" t="s">
        <v>2507</v>
      </c>
      <c r="D703" s="5" t="s">
        <v>2508</v>
      </c>
      <c r="E703" s="5" t="s">
        <v>4494</v>
      </c>
      <c r="G703" s="5" t="s">
        <v>88</v>
      </c>
      <c r="H703" s="5" t="s">
        <v>456</v>
      </c>
      <c r="I703" s="5" t="s">
        <v>744</v>
      </c>
      <c r="J703" s="5" t="s">
        <v>883</v>
      </c>
      <c r="K703" s="4">
        <v>41703</v>
      </c>
      <c r="L703" s="4">
        <v>41703</v>
      </c>
      <c r="M703" s="9">
        <f t="shared" si="90"/>
        <v>10</v>
      </c>
      <c r="N703" s="4" t="str">
        <f t="shared" si="92"/>
        <v>] 8 ; 10 ]</v>
      </c>
      <c r="O703" s="5" t="s">
        <v>3780</v>
      </c>
      <c r="P703" s="5" t="s">
        <v>3786</v>
      </c>
      <c r="Q703" s="5">
        <v>1</v>
      </c>
      <c r="R703" s="5" t="str">
        <f t="shared" si="93"/>
        <v>Qualification</v>
      </c>
      <c r="S703" s="5" t="s">
        <v>3790</v>
      </c>
      <c r="T703" s="4">
        <v>32800</v>
      </c>
      <c r="U703" s="5">
        <f t="shared" si="94"/>
        <v>1989</v>
      </c>
      <c r="V703" s="5" t="s">
        <v>3793</v>
      </c>
      <c r="W703" s="9">
        <f t="shared" si="91"/>
        <v>35</v>
      </c>
      <c r="X703" s="5" t="str">
        <f t="shared" si="95"/>
        <v>[35 - 39 ans ]</v>
      </c>
      <c r="Y703" s="5" t="str">
        <f t="shared" si="96"/>
        <v xml:space="preserve"> Mellenials </v>
      </c>
      <c r="Z703" s="9">
        <f t="shared" si="97"/>
        <v>25</v>
      </c>
      <c r="AA703" s="5" t="str">
        <f t="shared" si="98"/>
        <v>RAS</v>
      </c>
      <c r="AB703" s="5" t="s">
        <v>3828</v>
      </c>
      <c r="AC703" s="6" t="s">
        <v>3799</v>
      </c>
      <c r="AE703" s="5" t="s">
        <v>3844</v>
      </c>
      <c r="AF703" s="5" t="s">
        <v>4482</v>
      </c>
      <c r="AG703" s="5" t="s">
        <v>4485</v>
      </c>
      <c r="AH703" s="5" t="s">
        <v>4488</v>
      </c>
      <c r="AI703" s="5" t="s">
        <v>4186</v>
      </c>
      <c r="AJ703" s="5" t="s">
        <v>4187</v>
      </c>
      <c r="AK703" s="5" t="s">
        <v>4183</v>
      </c>
      <c r="AL703" s="5" t="s">
        <v>3858</v>
      </c>
    </row>
    <row r="704" spans="1:38" x14ac:dyDescent="0.3">
      <c r="A704" s="4">
        <v>45716</v>
      </c>
      <c r="B704" s="5" t="s">
        <v>2509</v>
      </c>
      <c r="C704" s="5" t="s">
        <v>2510</v>
      </c>
      <c r="D704" s="5" t="s">
        <v>2511</v>
      </c>
      <c r="E704" s="5" t="s">
        <v>4494</v>
      </c>
      <c r="G704" s="5" t="s">
        <v>88</v>
      </c>
      <c r="H704" s="5" t="s">
        <v>456</v>
      </c>
      <c r="I704" s="5" t="s">
        <v>770</v>
      </c>
      <c r="J704" s="5" t="s">
        <v>883</v>
      </c>
      <c r="K704" s="4">
        <v>41703</v>
      </c>
      <c r="L704" s="4">
        <v>41703</v>
      </c>
      <c r="M704" s="9">
        <f t="shared" si="90"/>
        <v>10</v>
      </c>
      <c r="N704" s="4" t="str">
        <f t="shared" si="92"/>
        <v>] 8 ; 10 ]</v>
      </c>
      <c r="O704" s="5" t="s">
        <v>3780</v>
      </c>
      <c r="P704" s="5" t="s">
        <v>3780</v>
      </c>
      <c r="Q704" s="5">
        <v>3</v>
      </c>
      <c r="R704" s="5" t="str">
        <f t="shared" si="93"/>
        <v>Qualification</v>
      </c>
      <c r="S704" s="5" t="s">
        <v>3789</v>
      </c>
      <c r="T704" s="4">
        <v>30961</v>
      </c>
      <c r="U704" s="5">
        <f t="shared" si="94"/>
        <v>1984</v>
      </c>
      <c r="V704" s="5" t="s">
        <v>3793</v>
      </c>
      <c r="W704" s="9">
        <f t="shared" si="91"/>
        <v>40</v>
      </c>
      <c r="X704" s="5" t="str">
        <f t="shared" si="95"/>
        <v>[40 - 44 ans]</v>
      </c>
      <c r="Y704" s="5" t="str">
        <f t="shared" si="96"/>
        <v xml:space="preserve"> Mellenials </v>
      </c>
      <c r="Z704" s="9">
        <f t="shared" si="97"/>
        <v>20</v>
      </c>
      <c r="AA704" s="5" t="str">
        <f t="shared" si="98"/>
        <v>RAS</v>
      </c>
      <c r="AB704" s="5" t="s">
        <v>3814</v>
      </c>
      <c r="AC704" s="6" t="s">
        <v>3799</v>
      </c>
      <c r="AE704" s="5" t="s">
        <v>3844</v>
      </c>
      <c r="AF704" s="5" t="s">
        <v>4482</v>
      </c>
      <c r="AG704" s="5" t="s">
        <v>4485</v>
      </c>
      <c r="AH704" s="5" t="s">
        <v>4488</v>
      </c>
      <c r="AI704" s="5" t="s">
        <v>4075</v>
      </c>
      <c r="AJ704" s="5" t="s">
        <v>4076</v>
      </c>
      <c r="AK704" s="5" t="s">
        <v>4077</v>
      </c>
      <c r="AL704" s="5" t="s">
        <v>3858</v>
      </c>
    </row>
    <row r="705" spans="1:38" x14ac:dyDescent="0.3">
      <c r="A705" s="4">
        <v>45716</v>
      </c>
      <c r="B705" s="5" t="s">
        <v>2512</v>
      </c>
      <c r="C705" s="5" t="s">
        <v>2513</v>
      </c>
      <c r="D705" s="5" t="s">
        <v>2514</v>
      </c>
      <c r="E705" s="5" t="s">
        <v>4494</v>
      </c>
      <c r="G705" s="5" t="s">
        <v>222</v>
      </c>
      <c r="H705" s="5" t="s">
        <v>2515</v>
      </c>
      <c r="I705" s="5" t="s">
        <v>633</v>
      </c>
      <c r="J705" s="5" t="s">
        <v>2086</v>
      </c>
      <c r="K705" s="4">
        <v>41730</v>
      </c>
      <c r="L705" s="4">
        <v>41730</v>
      </c>
      <c r="M705" s="9">
        <f t="shared" ref="M705:M768" si="99">DATEDIF(L705,A705,"y")</f>
        <v>10</v>
      </c>
      <c r="N705" s="4" t="str">
        <f t="shared" si="92"/>
        <v>] 8 ; 10 ]</v>
      </c>
      <c r="O705" s="5" t="s">
        <v>3785</v>
      </c>
      <c r="P705" s="5" t="s">
        <v>3782</v>
      </c>
      <c r="Q705" s="5">
        <v>1</v>
      </c>
      <c r="R705" s="5" t="str">
        <f t="shared" si="93"/>
        <v>Specialisation</v>
      </c>
      <c r="S705" s="5" t="s">
        <v>3789</v>
      </c>
      <c r="T705" s="4">
        <v>29096</v>
      </c>
      <c r="U705" s="5">
        <f t="shared" si="94"/>
        <v>1979</v>
      </c>
      <c r="V705" s="5" t="s">
        <v>3793</v>
      </c>
      <c r="W705" s="9">
        <f t="shared" ref="W705:W768" si="100">DATEDIF(T705,A705,"y")</f>
        <v>45</v>
      </c>
      <c r="X705" s="5" t="str">
        <f t="shared" si="95"/>
        <v>[45 - 49 ans]</v>
      </c>
      <c r="Y705" s="5" t="str">
        <f t="shared" si="96"/>
        <v xml:space="preserve"> Generation X </v>
      </c>
      <c r="Z705" s="9">
        <f t="shared" si="97"/>
        <v>15</v>
      </c>
      <c r="AA705" s="5" t="str">
        <f t="shared" si="98"/>
        <v>RAS</v>
      </c>
      <c r="AB705" s="5" t="s">
        <v>3806</v>
      </c>
      <c r="AC705" s="6" t="s">
        <v>3799</v>
      </c>
      <c r="AE705" s="5" t="s">
        <v>3844</v>
      </c>
      <c r="AF705" s="5" t="s">
        <v>4481</v>
      </c>
      <c r="AG705" s="5" t="s">
        <v>4485</v>
      </c>
      <c r="AH705" s="5" t="s">
        <v>4487</v>
      </c>
      <c r="AI705" s="5" t="s">
        <v>4155</v>
      </c>
      <c r="AJ705" s="5" t="s">
        <v>4156</v>
      </c>
      <c r="AK705" s="5" t="s">
        <v>4157</v>
      </c>
      <c r="AL705" s="5" t="s">
        <v>3858</v>
      </c>
    </row>
    <row r="706" spans="1:38" x14ac:dyDescent="0.3">
      <c r="A706" s="4">
        <v>45716</v>
      </c>
      <c r="B706" s="5" t="s">
        <v>2516</v>
      </c>
      <c r="C706" s="5" t="s">
        <v>2517</v>
      </c>
      <c r="D706" s="5" t="s">
        <v>2518</v>
      </c>
      <c r="E706" s="5" t="s">
        <v>4494</v>
      </c>
      <c r="G706" s="5" t="s">
        <v>243</v>
      </c>
      <c r="H706" s="5" t="s">
        <v>2519</v>
      </c>
      <c r="I706" s="5" t="s">
        <v>2225</v>
      </c>
      <c r="J706" s="5" t="s">
        <v>1272</v>
      </c>
      <c r="K706" s="4">
        <v>41761</v>
      </c>
      <c r="L706" s="4">
        <v>41761</v>
      </c>
      <c r="M706" s="9">
        <f t="shared" si="99"/>
        <v>10</v>
      </c>
      <c r="N706" s="4" t="str">
        <f t="shared" ref="N706:N769" si="101">IF(M706&lt;=2," ] 0 ; 2 ]",IF(AND(M706&gt;2,M706&lt;=5),"] 2 ; 5 ]",IF(AND(M706&gt;5,M706&lt;=8),"] 5 ; 8 ]",IF(AND(M706&gt;8,M706&lt;=10),"] 8 ; 10 ]",IF(AND(M706&gt;10,M706&lt;=15),"] 10 ; 15 ]","] 15 ; +oo [")))))</f>
        <v>] 8 ; 10 ]</v>
      </c>
      <c r="O706" s="5" t="s">
        <v>3786</v>
      </c>
      <c r="P706" s="5" t="s">
        <v>3786</v>
      </c>
      <c r="Q706" s="5">
        <v>2</v>
      </c>
      <c r="R706" s="5" t="str">
        <f t="shared" ref="R706:R769" si="102">IF(OR(O706="A",O706="B",O706="C",O706="D"),"Qualification",IF(OR(O706="E",O706="F",O706="G"),"Specialisation","Management &amp; Expertise"))</f>
        <v>Specialisation</v>
      </c>
      <c r="S706" s="5" t="s">
        <v>3789</v>
      </c>
      <c r="T706" s="4">
        <v>30212</v>
      </c>
      <c r="U706" s="5">
        <f t="shared" ref="U706:U769" si="103">YEAR(T706)</f>
        <v>1982</v>
      </c>
      <c r="V706" s="5" t="s">
        <v>3793</v>
      </c>
      <c r="W706" s="9">
        <f t="shared" si="100"/>
        <v>42</v>
      </c>
      <c r="X706" s="5" t="str">
        <f t="shared" ref="X706:X769" si="104">IF(W706&lt;30,"[20 - 29 ans[",IF(AND(W706&gt;=30,W706&lt;35),"[30 - 34 ans]",IF(AND(W706&gt;=35,W706&lt;40),"[35 - 39 ans ]",IF(AND(W706&gt;=40,W706&lt;45),"[40 - 44 ans]",IF(AND(W706&gt;=45,W706&lt;50),"[45 - 49 ans]","[50 ans, +oo [")))))</f>
        <v>[40 - 44 ans]</v>
      </c>
      <c r="Y706" s="5" t="str">
        <f t="shared" ref="Y706:Y769" si="105">IF(AND(U706&gt;1946,U706&lt;=1965)," Baby - Boomers ",IF(AND(U706&gt;1965,U706&lt;=1980)," Generation X ",IF(AND(U706&gt;1980,U706&lt;1996)," Mellenials ",IF(AND(U706&gt;1996,U706&lt;2012)," Gen Z "," Gen Alpha"))))</f>
        <v xml:space="preserve"> Mellenials </v>
      </c>
      <c r="Z706" s="9">
        <f t="shared" ref="Z706:Z769" si="106">60-W706</f>
        <v>18</v>
      </c>
      <c r="AA706" s="5" t="str">
        <f t="shared" ref="AA706:AA769" si="107">IF(Z706&lt;=5,"Départ à la Retraite 5ans","RAS")</f>
        <v>RAS</v>
      </c>
      <c r="AB706" s="5" t="s">
        <v>3806</v>
      </c>
      <c r="AC706" s="6" t="s">
        <v>3799</v>
      </c>
      <c r="AE706" s="5" t="s">
        <v>3844</v>
      </c>
      <c r="AF706" s="5" t="s">
        <v>4482</v>
      </c>
      <c r="AG706" s="5" t="s">
        <v>4485</v>
      </c>
      <c r="AH706" s="5" t="s">
        <v>4487</v>
      </c>
      <c r="AI706" s="5" t="s">
        <v>4109</v>
      </c>
      <c r="AJ706" s="5" t="s">
        <v>4110</v>
      </c>
      <c r="AK706" s="5" t="s">
        <v>3977</v>
      </c>
      <c r="AL706" s="5" t="s">
        <v>3858</v>
      </c>
    </row>
    <row r="707" spans="1:38" x14ac:dyDescent="0.3">
      <c r="A707" s="4">
        <v>45716</v>
      </c>
      <c r="B707" s="5" t="s">
        <v>2520</v>
      </c>
      <c r="C707" s="5" t="s">
        <v>2521</v>
      </c>
      <c r="D707" s="5" t="s">
        <v>2522</v>
      </c>
      <c r="E707" s="5" t="s">
        <v>4494</v>
      </c>
      <c r="G707" s="5" t="s">
        <v>1762</v>
      </c>
      <c r="H707" s="5" t="s">
        <v>2306</v>
      </c>
      <c r="I707" s="5" t="s">
        <v>2640</v>
      </c>
      <c r="J707" s="5" t="s">
        <v>2205</v>
      </c>
      <c r="K707" s="4">
        <v>41761</v>
      </c>
      <c r="L707" s="4">
        <v>41761</v>
      </c>
      <c r="M707" s="9">
        <f t="shared" si="99"/>
        <v>10</v>
      </c>
      <c r="N707" s="4" t="str">
        <f t="shared" si="101"/>
        <v>] 8 ; 10 ]</v>
      </c>
      <c r="O707" s="5" t="s">
        <v>3783</v>
      </c>
      <c r="P707" s="5" t="s">
        <v>3783</v>
      </c>
      <c r="Q707" s="5">
        <v>2</v>
      </c>
      <c r="R707" s="5" t="str">
        <f t="shared" si="102"/>
        <v>Specialisation</v>
      </c>
      <c r="S707" s="5" t="s">
        <v>3789</v>
      </c>
      <c r="T707" s="4">
        <v>31250</v>
      </c>
      <c r="U707" s="5">
        <f t="shared" si="103"/>
        <v>1985</v>
      </c>
      <c r="V707" s="5" t="s">
        <v>3793</v>
      </c>
      <c r="W707" s="9">
        <f t="shared" si="100"/>
        <v>39</v>
      </c>
      <c r="X707" s="5" t="str">
        <f t="shared" si="104"/>
        <v>[35 - 39 ans ]</v>
      </c>
      <c r="Y707" s="5" t="str">
        <f t="shared" si="105"/>
        <v xml:space="preserve"> Mellenials </v>
      </c>
      <c r="Z707" s="9">
        <f t="shared" si="106"/>
        <v>21</v>
      </c>
      <c r="AA707" s="5" t="str">
        <f t="shared" si="107"/>
        <v>RAS</v>
      </c>
      <c r="AB707" s="5" t="s">
        <v>3806</v>
      </c>
      <c r="AC707" s="6" t="s">
        <v>3799</v>
      </c>
      <c r="AE707" s="5" t="s">
        <v>3844</v>
      </c>
      <c r="AF707" s="5" t="s">
        <v>4482</v>
      </c>
      <c r="AG707" s="5" t="s">
        <v>4485</v>
      </c>
      <c r="AH707" s="5" t="s">
        <v>4488</v>
      </c>
      <c r="AI707" s="5" t="s">
        <v>4398</v>
      </c>
      <c r="AJ707" s="5" t="s">
        <v>4399</v>
      </c>
      <c r="AK707" s="5" t="s">
        <v>4392</v>
      </c>
      <c r="AL707" s="5" t="s">
        <v>3858</v>
      </c>
    </row>
    <row r="708" spans="1:38" x14ac:dyDescent="0.3">
      <c r="A708" s="4">
        <v>45716</v>
      </c>
      <c r="B708" s="5" t="s">
        <v>2523</v>
      </c>
      <c r="C708" s="5" t="s">
        <v>2524</v>
      </c>
      <c r="D708" s="5" t="s">
        <v>2525</v>
      </c>
      <c r="E708" s="5" t="s">
        <v>4494</v>
      </c>
      <c r="G708" s="5" t="s">
        <v>39</v>
      </c>
      <c r="H708" s="5" t="s">
        <v>2526</v>
      </c>
      <c r="I708" s="5" t="s">
        <v>120</v>
      </c>
      <c r="J708" s="5" t="s">
        <v>2821</v>
      </c>
      <c r="K708" s="4">
        <v>41792</v>
      </c>
      <c r="L708" s="4">
        <v>41792</v>
      </c>
      <c r="M708" s="9">
        <f t="shared" si="99"/>
        <v>10</v>
      </c>
      <c r="N708" s="4" t="str">
        <f t="shared" si="101"/>
        <v>] 8 ; 10 ]</v>
      </c>
      <c r="O708" s="5" t="s">
        <v>3782</v>
      </c>
      <c r="P708" s="5" t="s">
        <v>3782</v>
      </c>
      <c r="Q708" s="5">
        <v>1</v>
      </c>
      <c r="R708" s="5" t="str">
        <f t="shared" si="102"/>
        <v>Management &amp; Expertise</v>
      </c>
      <c r="S708" s="5" t="s">
        <v>3790</v>
      </c>
      <c r="T708" s="4">
        <v>32654</v>
      </c>
      <c r="U708" s="5">
        <f t="shared" si="103"/>
        <v>1989</v>
      </c>
      <c r="V708" s="5" t="s">
        <v>3793</v>
      </c>
      <c r="W708" s="9">
        <f t="shared" si="100"/>
        <v>35</v>
      </c>
      <c r="X708" s="5" t="str">
        <f t="shared" si="104"/>
        <v>[35 - 39 ans ]</v>
      </c>
      <c r="Y708" s="5" t="str">
        <f t="shared" si="105"/>
        <v xml:space="preserve"> Mellenials </v>
      </c>
      <c r="Z708" s="9">
        <f t="shared" si="106"/>
        <v>25</v>
      </c>
      <c r="AA708" s="5" t="str">
        <f t="shared" si="107"/>
        <v>RAS</v>
      </c>
      <c r="AB708" s="5" t="s">
        <v>3807</v>
      </c>
      <c r="AC708" s="6" t="s">
        <v>3799</v>
      </c>
      <c r="AE708" s="5" t="s">
        <v>3845</v>
      </c>
      <c r="AF708" s="5" t="s">
        <v>4481</v>
      </c>
      <c r="AG708" s="5" t="s">
        <v>4485</v>
      </c>
      <c r="AH708" s="5" t="s">
        <v>4489</v>
      </c>
      <c r="AI708" s="5" t="s">
        <v>4419</v>
      </c>
      <c r="AJ708" s="5" t="s">
        <v>4420</v>
      </c>
      <c r="AK708" s="5" t="s">
        <v>4372</v>
      </c>
      <c r="AL708" s="5" t="s">
        <v>3858</v>
      </c>
    </row>
    <row r="709" spans="1:38" x14ac:dyDescent="0.3">
      <c r="A709" s="4">
        <v>45716</v>
      </c>
      <c r="B709" s="5" t="s">
        <v>2527</v>
      </c>
      <c r="C709" s="5" t="s">
        <v>2528</v>
      </c>
      <c r="D709" s="5" t="s">
        <v>2529</v>
      </c>
      <c r="E709" s="5" t="s">
        <v>4494</v>
      </c>
      <c r="G709" s="5" t="s">
        <v>78</v>
      </c>
      <c r="H709" s="5" t="s">
        <v>1614</v>
      </c>
      <c r="I709" s="5" t="s">
        <v>1626</v>
      </c>
      <c r="J709" s="5" t="s">
        <v>3294</v>
      </c>
      <c r="K709" s="4">
        <v>41792</v>
      </c>
      <c r="L709" s="4">
        <v>40112</v>
      </c>
      <c r="M709" s="9">
        <f t="shared" si="99"/>
        <v>15</v>
      </c>
      <c r="N709" s="4" t="str">
        <f t="shared" si="101"/>
        <v>] 10 ; 15 ]</v>
      </c>
      <c r="O709" s="5" t="s">
        <v>3788</v>
      </c>
      <c r="P709" s="5" t="s">
        <v>3788</v>
      </c>
      <c r="Q709" s="5">
        <v>3</v>
      </c>
      <c r="R709" s="5" t="str">
        <f t="shared" si="102"/>
        <v>Qualification</v>
      </c>
      <c r="S709" s="5" t="s">
        <v>3789</v>
      </c>
      <c r="T709" s="4">
        <v>30595</v>
      </c>
      <c r="U709" s="5">
        <f t="shared" si="103"/>
        <v>1983</v>
      </c>
      <c r="V709" s="5" t="s">
        <v>3793</v>
      </c>
      <c r="W709" s="9">
        <f t="shared" si="100"/>
        <v>41</v>
      </c>
      <c r="X709" s="5" t="str">
        <f t="shared" si="104"/>
        <v>[40 - 44 ans]</v>
      </c>
      <c r="Y709" s="5" t="str">
        <f t="shared" si="105"/>
        <v xml:space="preserve"> Mellenials </v>
      </c>
      <c r="Z709" s="9">
        <f t="shared" si="106"/>
        <v>19</v>
      </c>
      <c r="AA709" s="5" t="str">
        <f t="shared" si="107"/>
        <v>RAS</v>
      </c>
      <c r="AB709" s="5" t="s">
        <v>3808</v>
      </c>
      <c r="AC709" s="6" t="s">
        <v>3799</v>
      </c>
      <c r="AE709" s="5" t="s">
        <v>3844</v>
      </c>
      <c r="AF709" s="5" t="s">
        <v>4482</v>
      </c>
      <c r="AG709" s="5" t="s">
        <v>4485</v>
      </c>
      <c r="AH709" s="5" t="s">
        <v>4488</v>
      </c>
      <c r="AI709" s="5" t="s">
        <v>4339</v>
      </c>
      <c r="AJ709" s="5" t="s">
        <v>4340</v>
      </c>
      <c r="AK709" s="5" t="s">
        <v>4341</v>
      </c>
      <c r="AL709" s="5" t="s">
        <v>3858</v>
      </c>
    </row>
    <row r="710" spans="1:38" x14ac:dyDescent="0.3">
      <c r="A710" s="4">
        <v>45716</v>
      </c>
      <c r="B710" s="5" t="s">
        <v>2530</v>
      </c>
      <c r="C710" s="5" t="s">
        <v>2531</v>
      </c>
      <c r="D710" s="5" t="s">
        <v>2532</v>
      </c>
      <c r="E710" s="5" t="s">
        <v>4494</v>
      </c>
      <c r="G710" s="5" t="s">
        <v>88</v>
      </c>
      <c r="H710" s="5" t="s">
        <v>1188</v>
      </c>
      <c r="I710" s="5" t="s">
        <v>2583</v>
      </c>
      <c r="J710" s="5" t="s">
        <v>1389</v>
      </c>
      <c r="K710" s="4">
        <v>41799</v>
      </c>
      <c r="L710" s="4">
        <v>41141</v>
      </c>
      <c r="M710" s="9">
        <f t="shared" si="99"/>
        <v>12</v>
      </c>
      <c r="N710" s="4" t="str">
        <f t="shared" si="101"/>
        <v>] 10 ; 15 ]</v>
      </c>
      <c r="O710" s="5" t="s">
        <v>3783</v>
      </c>
      <c r="P710" s="5" t="s">
        <v>3783</v>
      </c>
      <c r="Q710" s="5">
        <v>1</v>
      </c>
      <c r="R710" s="5" t="str">
        <f t="shared" si="102"/>
        <v>Specialisation</v>
      </c>
      <c r="S710" s="5" t="s">
        <v>3789</v>
      </c>
      <c r="T710" s="4">
        <v>31243</v>
      </c>
      <c r="U710" s="5">
        <f t="shared" si="103"/>
        <v>1985</v>
      </c>
      <c r="V710" s="5" t="s">
        <v>3793</v>
      </c>
      <c r="W710" s="9">
        <f t="shared" si="100"/>
        <v>39</v>
      </c>
      <c r="X710" s="5" t="str">
        <f t="shared" si="104"/>
        <v>[35 - 39 ans ]</v>
      </c>
      <c r="Y710" s="5" t="str">
        <f t="shared" si="105"/>
        <v xml:space="preserve"> Mellenials </v>
      </c>
      <c r="Z710" s="9">
        <f t="shared" si="106"/>
        <v>21</v>
      </c>
      <c r="AA710" s="5" t="str">
        <f t="shared" si="107"/>
        <v>RAS</v>
      </c>
      <c r="AB710" s="5" t="s">
        <v>3806</v>
      </c>
      <c r="AC710" s="6" t="s">
        <v>3799</v>
      </c>
      <c r="AE710" s="5" t="s">
        <v>3844</v>
      </c>
      <c r="AF710" s="5" t="s">
        <v>4482</v>
      </c>
      <c r="AG710" s="5" t="s">
        <v>4485</v>
      </c>
      <c r="AH710" s="5" t="s">
        <v>4488</v>
      </c>
      <c r="AI710" s="5" t="s">
        <v>4330</v>
      </c>
      <c r="AJ710" s="5" t="s">
        <v>4331</v>
      </c>
      <c r="AK710" s="5" t="s">
        <v>4100</v>
      </c>
      <c r="AL710" s="5" t="s">
        <v>3858</v>
      </c>
    </row>
    <row r="711" spans="1:38" x14ac:dyDescent="0.3">
      <c r="A711" s="4">
        <v>45716</v>
      </c>
      <c r="B711" s="5" t="s">
        <v>2533</v>
      </c>
      <c r="C711" s="5" t="s">
        <v>2534</v>
      </c>
      <c r="D711" s="5" t="s">
        <v>2535</v>
      </c>
      <c r="E711" s="5" t="s">
        <v>4494</v>
      </c>
      <c r="G711" s="5" t="s">
        <v>34</v>
      </c>
      <c r="H711" s="5" t="s">
        <v>1896</v>
      </c>
      <c r="I711" s="5" t="s">
        <v>3775</v>
      </c>
      <c r="J711" s="5" t="s">
        <v>2841</v>
      </c>
      <c r="K711" s="4">
        <v>41821</v>
      </c>
      <c r="L711" s="4">
        <v>41821</v>
      </c>
      <c r="M711" s="9">
        <f t="shared" si="99"/>
        <v>10</v>
      </c>
      <c r="N711" s="4" t="str">
        <f t="shared" si="101"/>
        <v>] 8 ; 10 ]</v>
      </c>
      <c r="O711" s="5" t="s">
        <v>3781</v>
      </c>
      <c r="P711" s="5" t="s">
        <v>3787</v>
      </c>
      <c r="Q711" s="5">
        <v>1</v>
      </c>
      <c r="R711" s="5" t="str">
        <f t="shared" si="102"/>
        <v>Qualification</v>
      </c>
      <c r="S711" s="5" t="s">
        <v>3789</v>
      </c>
      <c r="T711" s="4">
        <v>27297</v>
      </c>
      <c r="U711" s="5">
        <f t="shared" si="103"/>
        <v>1974</v>
      </c>
      <c r="V711" s="5" t="s">
        <v>3793</v>
      </c>
      <c r="W711" s="9">
        <f t="shared" si="100"/>
        <v>50</v>
      </c>
      <c r="X711" s="5" t="str">
        <f t="shared" si="104"/>
        <v>[50 ans, +oo [</v>
      </c>
      <c r="Y711" s="5" t="str">
        <f t="shared" si="105"/>
        <v xml:space="preserve"> Generation X </v>
      </c>
      <c r="Z711" s="9">
        <f t="shared" si="106"/>
        <v>10</v>
      </c>
      <c r="AA711" s="5" t="str">
        <f t="shared" si="107"/>
        <v>RAS</v>
      </c>
      <c r="AB711" s="5" t="s">
        <v>3806</v>
      </c>
      <c r="AC711" s="6" t="s">
        <v>3799</v>
      </c>
      <c r="AE711" s="5" t="s">
        <v>3844</v>
      </c>
      <c r="AF711" s="5" t="s">
        <v>4482</v>
      </c>
      <c r="AG711" s="5" t="s">
        <v>4485</v>
      </c>
      <c r="AH711" s="5" t="s">
        <v>4487</v>
      </c>
      <c r="AI711" s="5" t="s">
        <v>3859</v>
      </c>
      <c r="AJ711" s="5" t="s">
        <v>3860</v>
      </c>
      <c r="AK711" s="5" t="s">
        <v>3861</v>
      </c>
      <c r="AL711" s="5" t="s">
        <v>3858</v>
      </c>
    </row>
    <row r="712" spans="1:38" x14ac:dyDescent="0.3">
      <c r="A712" s="4">
        <v>45716</v>
      </c>
      <c r="B712" s="5" t="s">
        <v>2536</v>
      </c>
      <c r="C712" s="5" t="s">
        <v>2537</v>
      </c>
      <c r="D712" s="5" t="s">
        <v>2538</v>
      </c>
      <c r="E712" s="5" t="s">
        <v>4494</v>
      </c>
      <c r="G712" s="5" t="s">
        <v>137</v>
      </c>
      <c r="H712" s="5" t="s">
        <v>2539</v>
      </c>
      <c r="I712" s="5" t="s">
        <v>562</v>
      </c>
      <c r="J712" s="5" t="s">
        <v>1346</v>
      </c>
      <c r="K712" s="4">
        <v>41821</v>
      </c>
      <c r="L712" s="4">
        <v>41821</v>
      </c>
      <c r="M712" s="9">
        <f t="shared" si="99"/>
        <v>10</v>
      </c>
      <c r="N712" s="4" t="str">
        <f t="shared" si="101"/>
        <v>] 8 ; 10 ]</v>
      </c>
      <c r="O712" s="5" t="s">
        <v>3781</v>
      </c>
      <c r="P712" s="5" t="s">
        <v>3781</v>
      </c>
      <c r="Q712" s="5">
        <v>3</v>
      </c>
      <c r="R712" s="5" t="str">
        <f t="shared" si="102"/>
        <v>Qualification</v>
      </c>
      <c r="S712" s="5" t="s">
        <v>3790</v>
      </c>
      <c r="T712" s="4">
        <v>26951</v>
      </c>
      <c r="U712" s="5">
        <f t="shared" si="103"/>
        <v>1973</v>
      </c>
      <c r="V712" s="5" t="s">
        <v>3793</v>
      </c>
      <c r="W712" s="9">
        <f t="shared" si="100"/>
        <v>51</v>
      </c>
      <c r="X712" s="5" t="str">
        <f t="shared" si="104"/>
        <v>[50 ans, +oo [</v>
      </c>
      <c r="Y712" s="5" t="str">
        <f t="shared" si="105"/>
        <v xml:space="preserve"> Generation X </v>
      </c>
      <c r="Z712" s="9">
        <f t="shared" si="106"/>
        <v>9</v>
      </c>
      <c r="AA712" s="5" t="str">
        <f t="shared" si="107"/>
        <v>RAS</v>
      </c>
      <c r="AB712" s="5" t="s">
        <v>3806</v>
      </c>
      <c r="AC712" s="6" t="s">
        <v>3799</v>
      </c>
      <c r="AE712" s="5" t="s">
        <v>3844</v>
      </c>
      <c r="AF712" s="5" t="s">
        <v>4482</v>
      </c>
      <c r="AG712" s="5" t="s">
        <v>4485</v>
      </c>
      <c r="AH712" s="5" t="s">
        <v>4487</v>
      </c>
      <c r="AI712" s="5" t="s">
        <v>4125</v>
      </c>
      <c r="AJ712" s="5" t="s">
        <v>4126</v>
      </c>
      <c r="AK712" s="5" t="s">
        <v>4127</v>
      </c>
      <c r="AL712" s="5" t="s">
        <v>3858</v>
      </c>
    </row>
    <row r="713" spans="1:38" x14ac:dyDescent="0.3">
      <c r="A713" s="4">
        <v>45716</v>
      </c>
      <c r="B713" s="5" t="s">
        <v>2540</v>
      </c>
      <c r="C713" s="5" t="s">
        <v>2541</v>
      </c>
      <c r="D713" s="5" t="s">
        <v>2542</v>
      </c>
      <c r="E713" s="5" t="s">
        <v>4494</v>
      </c>
      <c r="G713" s="5" t="s">
        <v>44</v>
      </c>
      <c r="H713" s="5" t="s">
        <v>2543</v>
      </c>
      <c r="I713" s="5" t="s">
        <v>476</v>
      </c>
      <c r="J713" s="5" t="s">
        <v>2337</v>
      </c>
      <c r="K713" s="4">
        <v>41821</v>
      </c>
      <c r="L713" s="4">
        <v>41821</v>
      </c>
      <c r="M713" s="9">
        <f t="shared" si="99"/>
        <v>10</v>
      </c>
      <c r="N713" s="4" t="str">
        <f t="shared" si="101"/>
        <v>] 8 ; 10 ]</v>
      </c>
      <c r="O713" s="5" t="s">
        <v>3786</v>
      </c>
      <c r="P713" s="5" t="s">
        <v>3783</v>
      </c>
      <c r="Q713" s="5">
        <v>1</v>
      </c>
      <c r="R713" s="5" t="str">
        <f t="shared" si="102"/>
        <v>Specialisation</v>
      </c>
      <c r="S713" s="5" t="s">
        <v>3790</v>
      </c>
      <c r="T713" s="4">
        <v>28454</v>
      </c>
      <c r="U713" s="5">
        <f t="shared" si="103"/>
        <v>1977</v>
      </c>
      <c r="V713" s="5" t="s">
        <v>3793</v>
      </c>
      <c r="W713" s="9">
        <f t="shared" si="100"/>
        <v>47</v>
      </c>
      <c r="X713" s="5" t="str">
        <f t="shared" si="104"/>
        <v>[45 - 49 ans]</v>
      </c>
      <c r="Y713" s="5" t="str">
        <f t="shared" si="105"/>
        <v xml:space="preserve"> Generation X </v>
      </c>
      <c r="Z713" s="9">
        <f t="shared" si="106"/>
        <v>13</v>
      </c>
      <c r="AA713" s="5" t="str">
        <f t="shared" si="107"/>
        <v>RAS</v>
      </c>
      <c r="AB713" s="5" t="s">
        <v>3806</v>
      </c>
      <c r="AC713" s="6" t="s">
        <v>3799</v>
      </c>
      <c r="AE713" s="5" t="s">
        <v>3844</v>
      </c>
      <c r="AF713" s="5" t="s">
        <v>4482</v>
      </c>
      <c r="AG713" s="5" t="s">
        <v>4485</v>
      </c>
      <c r="AH713" s="5" t="s">
        <v>4487</v>
      </c>
      <c r="AI713" s="5" t="s">
        <v>4083</v>
      </c>
      <c r="AJ713" s="5" t="s">
        <v>4084</v>
      </c>
      <c r="AK713" s="5" t="s">
        <v>4085</v>
      </c>
      <c r="AL713" s="5" t="s">
        <v>3858</v>
      </c>
    </row>
    <row r="714" spans="1:38" x14ac:dyDescent="0.3">
      <c r="A714" s="4">
        <v>45716</v>
      </c>
      <c r="B714" s="5" t="s">
        <v>2544</v>
      </c>
      <c r="C714" s="5" t="s">
        <v>2545</v>
      </c>
      <c r="D714" s="5" t="s">
        <v>2546</v>
      </c>
      <c r="E714" s="5" t="s">
        <v>4494</v>
      </c>
      <c r="G714" s="5" t="s">
        <v>88</v>
      </c>
      <c r="H714" s="5" t="s">
        <v>760</v>
      </c>
      <c r="I714" s="5" t="s">
        <v>1291</v>
      </c>
      <c r="J714" s="5" t="s">
        <v>2724</v>
      </c>
      <c r="K714" s="4">
        <v>41852</v>
      </c>
      <c r="L714" s="4">
        <v>40940.041666666664</v>
      </c>
      <c r="M714" s="9">
        <f t="shared" si="99"/>
        <v>13</v>
      </c>
      <c r="N714" s="4" t="str">
        <f t="shared" si="101"/>
        <v>] 10 ; 15 ]</v>
      </c>
      <c r="O714" s="5" t="s">
        <v>3783</v>
      </c>
      <c r="P714" s="5" t="s">
        <v>3783</v>
      </c>
      <c r="Q714" s="5">
        <v>2</v>
      </c>
      <c r="R714" s="5" t="str">
        <f t="shared" si="102"/>
        <v>Specialisation</v>
      </c>
      <c r="S714" s="5" t="s">
        <v>3789</v>
      </c>
      <c r="T714" s="4">
        <v>32379</v>
      </c>
      <c r="U714" s="5">
        <f t="shared" si="103"/>
        <v>1988</v>
      </c>
      <c r="V714" s="5" t="s">
        <v>3793</v>
      </c>
      <c r="W714" s="9">
        <f t="shared" si="100"/>
        <v>36</v>
      </c>
      <c r="X714" s="5" t="str">
        <f t="shared" si="104"/>
        <v>[35 - 39 ans ]</v>
      </c>
      <c r="Y714" s="5" t="str">
        <f t="shared" si="105"/>
        <v xml:space="preserve"> Mellenials </v>
      </c>
      <c r="Z714" s="9">
        <f t="shared" si="106"/>
        <v>24</v>
      </c>
      <c r="AA714" s="5" t="str">
        <f t="shared" si="107"/>
        <v>RAS</v>
      </c>
      <c r="AB714" s="5" t="s">
        <v>3806</v>
      </c>
      <c r="AC714" s="6" t="s">
        <v>3799</v>
      </c>
      <c r="AE714" s="5" t="s">
        <v>3844</v>
      </c>
      <c r="AF714" s="5" t="s">
        <v>4482</v>
      </c>
      <c r="AG714" s="5" t="s">
        <v>4485</v>
      </c>
      <c r="AH714" s="5" t="s">
        <v>4488</v>
      </c>
      <c r="AI714" s="5" t="s">
        <v>4283</v>
      </c>
      <c r="AJ714" s="5" t="s">
        <v>4284</v>
      </c>
      <c r="AK714" s="5" t="s">
        <v>4285</v>
      </c>
      <c r="AL714" s="5" t="s">
        <v>3858</v>
      </c>
    </row>
    <row r="715" spans="1:38" x14ac:dyDescent="0.3">
      <c r="A715" s="4">
        <v>45716</v>
      </c>
      <c r="B715" s="5" t="s">
        <v>2547</v>
      </c>
      <c r="C715" s="5" t="s">
        <v>2548</v>
      </c>
      <c r="D715" s="5" t="s">
        <v>2549</v>
      </c>
      <c r="E715" s="5" t="s">
        <v>4494</v>
      </c>
      <c r="G715" s="5" t="s">
        <v>88</v>
      </c>
      <c r="H715" s="5" t="s">
        <v>456</v>
      </c>
      <c r="I715" s="5" t="s">
        <v>744</v>
      </c>
      <c r="J715" s="5" t="s">
        <v>883</v>
      </c>
      <c r="K715" s="4">
        <v>41852</v>
      </c>
      <c r="L715" s="4">
        <v>41852</v>
      </c>
      <c r="M715" s="9">
        <f t="shared" si="99"/>
        <v>10</v>
      </c>
      <c r="N715" s="4" t="str">
        <f t="shared" si="101"/>
        <v>] 8 ; 10 ]</v>
      </c>
      <c r="O715" s="5" t="s">
        <v>3780</v>
      </c>
      <c r="P715" s="5" t="s">
        <v>3780</v>
      </c>
      <c r="Q715" s="5">
        <v>3</v>
      </c>
      <c r="R715" s="5" t="str">
        <f t="shared" si="102"/>
        <v>Qualification</v>
      </c>
      <c r="S715" s="5" t="s">
        <v>3790</v>
      </c>
      <c r="T715" s="4">
        <v>31268</v>
      </c>
      <c r="U715" s="5">
        <f t="shared" si="103"/>
        <v>1985</v>
      </c>
      <c r="V715" s="5" t="s">
        <v>3792</v>
      </c>
      <c r="W715" s="9">
        <f t="shared" si="100"/>
        <v>39</v>
      </c>
      <c r="X715" s="5" t="str">
        <f t="shared" si="104"/>
        <v>[35 - 39 ans ]</v>
      </c>
      <c r="Y715" s="5" t="str">
        <f t="shared" si="105"/>
        <v xml:space="preserve"> Mellenials </v>
      </c>
      <c r="Z715" s="9">
        <f t="shared" si="106"/>
        <v>21</v>
      </c>
      <c r="AA715" s="5" t="str">
        <f t="shared" si="107"/>
        <v>RAS</v>
      </c>
      <c r="AB715" s="5" t="s">
        <v>3828</v>
      </c>
      <c r="AC715" s="6" t="s">
        <v>3799</v>
      </c>
      <c r="AE715" s="5" t="s">
        <v>3844</v>
      </c>
      <c r="AF715" s="5" t="s">
        <v>4482</v>
      </c>
      <c r="AG715" s="5" t="s">
        <v>4485</v>
      </c>
      <c r="AH715" s="5" t="s">
        <v>4488</v>
      </c>
      <c r="AI715" s="5" t="s">
        <v>4186</v>
      </c>
      <c r="AJ715" s="5" t="s">
        <v>4187</v>
      </c>
      <c r="AK715" s="5" t="s">
        <v>4183</v>
      </c>
      <c r="AL715" s="5" t="s">
        <v>3858</v>
      </c>
    </row>
    <row r="716" spans="1:38" x14ac:dyDescent="0.3">
      <c r="A716" s="4">
        <v>45716</v>
      </c>
      <c r="B716" s="5" t="s">
        <v>2550</v>
      </c>
      <c r="C716" s="5" t="s">
        <v>2551</v>
      </c>
      <c r="D716" s="5" t="s">
        <v>2552</v>
      </c>
      <c r="E716" s="5" t="s">
        <v>4494</v>
      </c>
      <c r="G716" s="5" t="s">
        <v>29</v>
      </c>
      <c r="H716" s="5" t="s">
        <v>1638</v>
      </c>
      <c r="I716" s="5" t="s">
        <v>377</v>
      </c>
      <c r="J716" s="5" t="s">
        <v>69</v>
      </c>
      <c r="K716" s="4">
        <v>41883</v>
      </c>
      <c r="L716" s="4">
        <v>41883</v>
      </c>
      <c r="M716" s="9">
        <f t="shared" si="99"/>
        <v>10</v>
      </c>
      <c r="N716" s="4" t="str">
        <f t="shared" si="101"/>
        <v>] 8 ; 10 ]</v>
      </c>
      <c r="O716" s="5" t="s">
        <v>3780</v>
      </c>
      <c r="P716" s="5" t="s">
        <v>3786</v>
      </c>
      <c r="Q716" s="5">
        <v>1</v>
      </c>
      <c r="R716" s="5" t="str">
        <f t="shared" si="102"/>
        <v>Qualification</v>
      </c>
      <c r="S716" s="5" t="s">
        <v>3789</v>
      </c>
      <c r="T716" s="4">
        <v>30155</v>
      </c>
      <c r="U716" s="5">
        <f t="shared" si="103"/>
        <v>1982</v>
      </c>
      <c r="V716" s="5" t="s">
        <v>3793</v>
      </c>
      <c r="W716" s="9">
        <f t="shared" si="100"/>
        <v>42</v>
      </c>
      <c r="X716" s="5" t="str">
        <f t="shared" si="104"/>
        <v>[40 - 44 ans]</v>
      </c>
      <c r="Y716" s="5" t="str">
        <f t="shared" si="105"/>
        <v xml:space="preserve"> Mellenials </v>
      </c>
      <c r="Z716" s="9">
        <f t="shared" si="106"/>
        <v>18</v>
      </c>
      <c r="AA716" s="5" t="str">
        <f t="shared" si="107"/>
        <v>RAS</v>
      </c>
      <c r="AB716" s="5" t="s">
        <v>3819</v>
      </c>
      <c r="AC716" s="6" t="s">
        <v>3802</v>
      </c>
      <c r="AE716" s="5" t="s">
        <v>3844</v>
      </c>
      <c r="AF716" s="5" t="s">
        <v>4482</v>
      </c>
      <c r="AG716" s="5" t="s">
        <v>4485</v>
      </c>
      <c r="AH716" s="5" t="s">
        <v>4488</v>
      </c>
      <c r="AI716" s="5" t="s">
        <v>3855</v>
      </c>
      <c r="AJ716" s="5" t="s">
        <v>3856</v>
      </c>
      <c r="AK716" s="5" t="s">
        <v>3857</v>
      </c>
      <c r="AL716" s="5" t="s">
        <v>3858</v>
      </c>
    </row>
    <row r="717" spans="1:38" x14ac:dyDescent="0.3">
      <c r="A717" s="4">
        <v>45716</v>
      </c>
      <c r="B717" s="5" t="s">
        <v>2553</v>
      </c>
      <c r="C717" s="5" t="s">
        <v>2554</v>
      </c>
      <c r="D717" s="5" t="s">
        <v>2555</v>
      </c>
      <c r="E717" s="5" t="s">
        <v>4494</v>
      </c>
      <c r="G717" s="5" t="s">
        <v>222</v>
      </c>
      <c r="H717" s="5" t="s">
        <v>2556</v>
      </c>
      <c r="I717" s="5" t="s">
        <v>3362</v>
      </c>
      <c r="J717" s="5" t="s">
        <v>2086</v>
      </c>
      <c r="K717" s="4">
        <v>41890</v>
      </c>
      <c r="L717" s="4">
        <v>40217</v>
      </c>
      <c r="M717" s="9">
        <f t="shared" si="99"/>
        <v>15</v>
      </c>
      <c r="N717" s="4" t="str">
        <f t="shared" si="101"/>
        <v>] 10 ; 15 ]</v>
      </c>
      <c r="O717" s="5" t="s">
        <v>3783</v>
      </c>
      <c r="P717" s="5" t="s">
        <v>3783</v>
      </c>
      <c r="Q717" s="5">
        <v>1</v>
      </c>
      <c r="R717" s="5" t="str">
        <f t="shared" si="102"/>
        <v>Specialisation</v>
      </c>
      <c r="S717" s="5" t="s">
        <v>3790</v>
      </c>
      <c r="T717" s="4">
        <v>31194</v>
      </c>
      <c r="U717" s="5">
        <f t="shared" si="103"/>
        <v>1985</v>
      </c>
      <c r="V717" s="5" t="s">
        <v>3793</v>
      </c>
      <c r="W717" s="9">
        <f t="shared" si="100"/>
        <v>39</v>
      </c>
      <c r="X717" s="5" t="str">
        <f t="shared" si="104"/>
        <v>[35 - 39 ans ]</v>
      </c>
      <c r="Y717" s="5" t="str">
        <f t="shared" si="105"/>
        <v xml:space="preserve"> Mellenials </v>
      </c>
      <c r="Z717" s="9">
        <f t="shared" si="106"/>
        <v>21</v>
      </c>
      <c r="AA717" s="5" t="str">
        <f t="shared" si="107"/>
        <v>RAS</v>
      </c>
      <c r="AB717" s="5" t="s">
        <v>3806</v>
      </c>
      <c r="AC717" s="6" t="s">
        <v>3799</v>
      </c>
      <c r="AE717" s="5" t="s">
        <v>3844</v>
      </c>
      <c r="AF717" s="5" t="s">
        <v>4482</v>
      </c>
      <c r="AG717" s="5" t="s">
        <v>4485</v>
      </c>
      <c r="AH717" s="5" t="s">
        <v>4487</v>
      </c>
      <c r="AI717" s="5" t="s">
        <v>4421</v>
      </c>
      <c r="AJ717" s="5" t="s">
        <v>4422</v>
      </c>
      <c r="AK717" s="5" t="s">
        <v>4423</v>
      </c>
      <c r="AL717" s="5" t="s">
        <v>3858</v>
      </c>
    </row>
    <row r="718" spans="1:38" x14ac:dyDescent="0.3">
      <c r="A718" s="4">
        <v>45716</v>
      </c>
      <c r="B718" s="5" t="s">
        <v>2557</v>
      </c>
      <c r="C718" s="5" t="s">
        <v>2558</v>
      </c>
      <c r="D718" s="5" t="s">
        <v>2559</v>
      </c>
      <c r="E718" s="5" t="s">
        <v>4494</v>
      </c>
      <c r="G718" s="5" t="s">
        <v>78</v>
      </c>
      <c r="H718" s="5" t="s">
        <v>1542</v>
      </c>
      <c r="I718" s="5" t="s">
        <v>1548</v>
      </c>
      <c r="J718" s="5" t="s">
        <v>1526</v>
      </c>
      <c r="K718" s="4">
        <v>41890</v>
      </c>
      <c r="L718" s="4">
        <v>40940</v>
      </c>
      <c r="M718" s="9">
        <f t="shared" si="99"/>
        <v>13</v>
      </c>
      <c r="N718" s="4" t="str">
        <f t="shared" si="101"/>
        <v>] 10 ; 15 ]</v>
      </c>
      <c r="O718" s="5" t="s">
        <v>3786</v>
      </c>
      <c r="P718" s="5" t="s">
        <v>3783</v>
      </c>
      <c r="Q718" s="5">
        <v>1</v>
      </c>
      <c r="R718" s="5" t="str">
        <f t="shared" si="102"/>
        <v>Specialisation</v>
      </c>
      <c r="S718" s="5" t="s">
        <v>3789</v>
      </c>
      <c r="T718" s="4">
        <v>32449</v>
      </c>
      <c r="U718" s="5">
        <f t="shared" si="103"/>
        <v>1988</v>
      </c>
      <c r="V718" s="5" t="s">
        <v>3793</v>
      </c>
      <c r="W718" s="9">
        <f t="shared" si="100"/>
        <v>36</v>
      </c>
      <c r="X718" s="5" t="str">
        <f t="shared" si="104"/>
        <v>[35 - 39 ans ]</v>
      </c>
      <c r="Y718" s="5" t="str">
        <f t="shared" si="105"/>
        <v xml:space="preserve"> Mellenials </v>
      </c>
      <c r="Z718" s="9">
        <f t="shared" si="106"/>
        <v>24</v>
      </c>
      <c r="AA718" s="5" t="str">
        <f t="shared" si="107"/>
        <v>RAS</v>
      </c>
      <c r="AB718" s="5" t="s">
        <v>3808</v>
      </c>
      <c r="AC718" s="6" t="s">
        <v>3799</v>
      </c>
      <c r="AE718" s="5" t="s">
        <v>3844</v>
      </c>
      <c r="AF718" s="5" t="s">
        <v>4482</v>
      </c>
      <c r="AG718" s="5" t="s">
        <v>4485</v>
      </c>
      <c r="AH718" s="5" t="s">
        <v>4488</v>
      </c>
      <c r="AI718" s="5" t="s">
        <v>4131</v>
      </c>
      <c r="AJ718" s="5" t="s">
        <v>4132</v>
      </c>
      <c r="AK718" s="5" t="s">
        <v>3946</v>
      </c>
      <c r="AL718" s="5" t="s">
        <v>3858</v>
      </c>
    </row>
    <row r="719" spans="1:38" x14ac:dyDescent="0.3">
      <c r="A719" s="4">
        <v>45716</v>
      </c>
      <c r="B719" s="5" t="s">
        <v>2560</v>
      </c>
      <c r="C719" s="5" t="s">
        <v>2561</v>
      </c>
      <c r="D719" s="5" t="s">
        <v>2562</v>
      </c>
      <c r="E719" s="5" t="s">
        <v>4494</v>
      </c>
      <c r="G719" s="5" t="s">
        <v>78</v>
      </c>
      <c r="H719" s="5" t="s">
        <v>1080</v>
      </c>
      <c r="I719" s="5" t="s">
        <v>1518</v>
      </c>
      <c r="J719" s="5" t="s">
        <v>1518</v>
      </c>
      <c r="K719" s="4">
        <v>41883</v>
      </c>
      <c r="L719" s="4">
        <v>41883</v>
      </c>
      <c r="M719" s="9">
        <f t="shared" si="99"/>
        <v>10</v>
      </c>
      <c r="N719" s="4" t="str">
        <f t="shared" si="101"/>
        <v>] 8 ; 10 ]</v>
      </c>
      <c r="O719" s="5" t="s">
        <v>3788</v>
      </c>
      <c r="P719" s="5" t="s">
        <v>3788</v>
      </c>
      <c r="Q719" s="5">
        <v>2</v>
      </c>
      <c r="R719" s="5" t="str">
        <f t="shared" si="102"/>
        <v>Qualification</v>
      </c>
      <c r="S719" s="5" t="s">
        <v>3790</v>
      </c>
      <c r="T719" s="4">
        <v>31942</v>
      </c>
      <c r="U719" s="5">
        <f t="shared" si="103"/>
        <v>1987</v>
      </c>
      <c r="V719" s="5" t="s">
        <v>3793</v>
      </c>
      <c r="W719" s="9">
        <f t="shared" si="100"/>
        <v>37</v>
      </c>
      <c r="X719" s="5" t="str">
        <f t="shared" si="104"/>
        <v>[35 - 39 ans ]</v>
      </c>
      <c r="Y719" s="5" t="str">
        <f t="shared" si="105"/>
        <v xml:space="preserve"> Mellenials </v>
      </c>
      <c r="Z719" s="9">
        <f t="shared" si="106"/>
        <v>23</v>
      </c>
      <c r="AA719" s="5" t="str">
        <f t="shared" si="107"/>
        <v>RAS</v>
      </c>
      <c r="AB719" s="5" t="s">
        <v>3808</v>
      </c>
      <c r="AC719" s="6" t="s">
        <v>3799</v>
      </c>
      <c r="AE719" s="5" t="s">
        <v>3844</v>
      </c>
      <c r="AF719" s="5" t="s">
        <v>4482</v>
      </c>
      <c r="AG719" s="5" t="s">
        <v>4485</v>
      </c>
      <c r="AH719" s="5" t="s">
        <v>4488</v>
      </c>
      <c r="AI719" s="5" t="s">
        <v>4243</v>
      </c>
      <c r="AJ719" s="5" t="s">
        <v>4244</v>
      </c>
      <c r="AK719" s="5" t="s">
        <v>4090</v>
      </c>
      <c r="AL719" s="5" t="s">
        <v>3858</v>
      </c>
    </row>
    <row r="720" spans="1:38" x14ac:dyDescent="0.3">
      <c r="A720" s="4">
        <v>45716</v>
      </c>
      <c r="B720" s="5" t="s">
        <v>2563</v>
      </c>
      <c r="C720" s="5" t="s">
        <v>2564</v>
      </c>
      <c r="D720" s="5" t="s">
        <v>2565</v>
      </c>
      <c r="E720" s="5" t="s">
        <v>4494</v>
      </c>
      <c r="G720" s="5" t="s">
        <v>88</v>
      </c>
      <c r="H720" s="5" t="s">
        <v>456</v>
      </c>
      <c r="I720" s="5" t="s">
        <v>741</v>
      </c>
      <c r="J720" s="5" t="s">
        <v>883</v>
      </c>
      <c r="K720" s="4">
        <v>41911</v>
      </c>
      <c r="L720" s="4">
        <v>41141</v>
      </c>
      <c r="M720" s="9">
        <f t="shared" si="99"/>
        <v>12</v>
      </c>
      <c r="N720" s="4" t="str">
        <f t="shared" si="101"/>
        <v>] 10 ; 15 ]</v>
      </c>
      <c r="O720" s="5" t="s">
        <v>3780</v>
      </c>
      <c r="P720" s="5" t="s">
        <v>3780</v>
      </c>
      <c r="Q720" s="5">
        <v>3</v>
      </c>
      <c r="R720" s="5" t="str">
        <f t="shared" si="102"/>
        <v>Qualification</v>
      </c>
      <c r="S720" s="5" t="s">
        <v>3789</v>
      </c>
      <c r="T720" s="4">
        <v>31728</v>
      </c>
      <c r="U720" s="5">
        <f t="shared" si="103"/>
        <v>1986</v>
      </c>
      <c r="V720" s="5" t="s">
        <v>3793</v>
      </c>
      <c r="W720" s="9">
        <f t="shared" si="100"/>
        <v>38</v>
      </c>
      <c r="X720" s="5" t="str">
        <f t="shared" si="104"/>
        <v>[35 - 39 ans ]</v>
      </c>
      <c r="Y720" s="5" t="str">
        <f t="shared" si="105"/>
        <v xml:space="preserve"> Mellenials </v>
      </c>
      <c r="Z720" s="9">
        <f t="shared" si="106"/>
        <v>22</v>
      </c>
      <c r="AA720" s="5" t="str">
        <f t="shared" si="107"/>
        <v>RAS</v>
      </c>
      <c r="AB720" s="5" t="s">
        <v>3825</v>
      </c>
      <c r="AC720" s="6" t="s">
        <v>3799</v>
      </c>
      <c r="AE720" s="5" t="s">
        <v>3844</v>
      </c>
      <c r="AF720" s="5" t="s">
        <v>4482</v>
      </c>
      <c r="AG720" s="5" t="s">
        <v>4485</v>
      </c>
      <c r="AH720" s="5" t="s">
        <v>4488</v>
      </c>
      <c r="AI720" s="5" t="s">
        <v>4179</v>
      </c>
      <c r="AJ720" s="5" t="s">
        <v>4180</v>
      </c>
      <c r="AK720" s="5" t="s">
        <v>4181</v>
      </c>
      <c r="AL720" s="5" t="s">
        <v>3858</v>
      </c>
    </row>
    <row r="721" spans="1:38" x14ac:dyDescent="0.3">
      <c r="A721" s="4">
        <v>45716</v>
      </c>
      <c r="B721" s="5" t="s">
        <v>2566</v>
      </c>
      <c r="C721" s="5" t="s">
        <v>2567</v>
      </c>
      <c r="D721" s="5" t="s">
        <v>2568</v>
      </c>
      <c r="E721" s="5" t="s">
        <v>4494</v>
      </c>
      <c r="G721" s="5" t="s">
        <v>88</v>
      </c>
      <c r="H721" s="5" t="s">
        <v>456</v>
      </c>
      <c r="I721" s="5" t="s">
        <v>741</v>
      </c>
      <c r="J721" s="5" t="s">
        <v>883</v>
      </c>
      <c r="K721" s="4">
        <v>41913</v>
      </c>
      <c r="L721" s="4">
        <v>41913</v>
      </c>
      <c r="M721" s="9">
        <f t="shared" si="99"/>
        <v>10</v>
      </c>
      <c r="N721" s="4" t="str">
        <f t="shared" si="101"/>
        <v>] 8 ; 10 ]</v>
      </c>
      <c r="O721" s="5" t="s">
        <v>3780</v>
      </c>
      <c r="P721" s="5" t="s">
        <v>3780</v>
      </c>
      <c r="Q721" s="5">
        <v>1</v>
      </c>
      <c r="R721" s="5" t="str">
        <f t="shared" si="102"/>
        <v>Qualification</v>
      </c>
      <c r="S721" s="5" t="s">
        <v>3789</v>
      </c>
      <c r="T721" s="4">
        <v>31799</v>
      </c>
      <c r="U721" s="5">
        <f t="shared" si="103"/>
        <v>1987</v>
      </c>
      <c r="V721" s="5" t="s">
        <v>3792</v>
      </c>
      <c r="W721" s="9">
        <f t="shared" si="100"/>
        <v>38</v>
      </c>
      <c r="X721" s="5" t="str">
        <f t="shared" si="104"/>
        <v>[35 - 39 ans ]</v>
      </c>
      <c r="Y721" s="5" t="str">
        <f t="shared" si="105"/>
        <v xml:space="preserve"> Mellenials </v>
      </c>
      <c r="Z721" s="9">
        <f t="shared" si="106"/>
        <v>22</v>
      </c>
      <c r="AA721" s="5" t="str">
        <f t="shared" si="107"/>
        <v>RAS</v>
      </c>
      <c r="AB721" s="5" t="s">
        <v>3827</v>
      </c>
      <c r="AC721" s="6" t="s">
        <v>3799</v>
      </c>
      <c r="AE721" s="5" t="s">
        <v>3844</v>
      </c>
      <c r="AF721" s="5" t="s">
        <v>4482</v>
      </c>
      <c r="AG721" s="5" t="s">
        <v>4485</v>
      </c>
      <c r="AH721" s="5" t="s">
        <v>4488</v>
      </c>
      <c r="AI721" s="5" t="s">
        <v>4184</v>
      </c>
      <c r="AJ721" s="5" t="s">
        <v>4185</v>
      </c>
      <c r="AK721" s="5" t="s">
        <v>4288</v>
      </c>
      <c r="AL721" s="5" t="s">
        <v>3858</v>
      </c>
    </row>
    <row r="722" spans="1:38" x14ac:dyDescent="0.3">
      <c r="A722" s="4">
        <v>45716</v>
      </c>
      <c r="B722" s="5" t="s">
        <v>2569</v>
      </c>
      <c r="C722" s="5" t="s">
        <v>2570</v>
      </c>
      <c r="D722" s="5" t="s">
        <v>2571</v>
      </c>
      <c r="E722" s="5" t="s">
        <v>4494</v>
      </c>
      <c r="G722" s="5" t="s">
        <v>88</v>
      </c>
      <c r="H722" s="5" t="s">
        <v>456</v>
      </c>
      <c r="I722" s="5" t="s">
        <v>741</v>
      </c>
      <c r="J722" s="5" t="s">
        <v>883</v>
      </c>
      <c r="K722" s="4">
        <v>41913</v>
      </c>
      <c r="L722" s="4">
        <v>41913</v>
      </c>
      <c r="M722" s="9">
        <f t="shared" si="99"/>
        <v>10</v>
      </c>
      <c r="N722" s="4" t="str">
        <f t="shared" si="101"/>
        <v>] 8 ; 10 ]</v>
      </c>
      <c r="O722" s="5" t="s">
        <v>3780</v>
      </c>
      <c r="P722" s="5" t="s">
        <v>3780</v>
      </c>
      <c r="Q722" s="5">
        <v>1</v>
      </c>
      <c r="R722" s="5" t="str">
        <f t="shared" si="102"/>
        <v>Qualification</v>
      </c>
      <c r="S722" s="5" t="s">
        <v>3790</v>
      </c>
      <c r="T722" s="4">
        <v>31177</v>
      </c>
      <c r="U722" s="5">
        <f t="shared" si="103"/>
        <v>1985</v>
      </c>
      <c r="V722" s="5" t="s">
        <v>3793</v>
      </c>
      <c r="W722" s="9">
        <f t="shared" si="100"/>
        <v>39</v>
      </c>
      <c r="X722" s="5" t="str">
        <f t="shared" si="104"/>
        <v>[35 - 39 ans ]</v>
      </c>
      <c r="Y722" s="5" t="str">
        <f t="shared" si="105"/>
        <v xml:space="preserve"> Mellenials </v>
      </c>
      <c r="Z722" s="9">
        <f t="shared" si="106"/>
        <v>21</v>
      </c>
      <c r="AA722" s="5" t="str">
        <f t="shared" si="107"/>
        <v>RAS</v>
      </c>
      <c r="AB722" s="5" t="s">
        <v>3827</v>
      </c>
      <c r="AC722" s="6" t="s">
        <v>3799</v>
      </c>
      <c r="AE722" s="5" t="s">
        <v>3844</v>
      </c>
      <c r="AF722" s="5" t="s">
        <v>4482</v>
      </c>
      <c r="AG722" s="5" t="s">
        <v>4485</v>
      </c>
      <c r="AH722" s="5" t="s">
        <v>4488</v>
      </c>
      <c r="AI722" s="5" t="s">
        <v>4184</v>
      </c>
      <c r="AJ722" s="5" t="s">
        <v>4185</v>
      </c>
      <c r="AK722" s="5" t="s">
        <v>4288</v>
      </c>
      <c r="AL722" s="5" t="s">
        <v>3858</v>
      </c>
    </row>
    <row r="723" spans="1:38" x14ac:dyDescent="0.3">
      <c r="A723" s="4">
        <v>45716</v>
      </c>
      <c r="B723" s="5" t="s">
        <v>2572</v>
      </c>
      <c r="C723" s="5" t="s">
        <v>2573</v>
      </c>
      <c r="D723" s="5" t="s">
        <v>2574</v>
      </c>
      <c r="E723" s="5" t="s">
        <v>4494</v>
      </c>
      <c r="G723" s="5" t="s">
        <v>88</v>
      </c>
      <c r="H723" s="5" t="s">
        <v>456</v>
      </c>
      <c r="I723" s="5" t="s">
        <v>744</v>
      </c>
      <c r="J723" s="5" t="s">
        <v>883</v>
      </c>
      <c r="K723" s="4">
        <v>41944</v>
      </c>
      <c r="L723" s="4">
        <v>41944</v>
      </c>
      <c r="M723" s="9">
        <f t="shared" si="99"/>
        <v>10</v>
      </c>
      <c r="N723" s="4" t="str">
        <f t="shared" si="101"/>
        <v>] 8 ; 10 ]</v>
      </c>
      <c r="O723" s="5" t="s">
        <v>3780</v>
      </c>
      <c r="P723" s="5" t="s">
        <v>3780</v>
      </c>
      <c r="Q723" s="5">
        <v>3</v>
      </c>
      <c r="R723" s="5" t="str">
        <f t="shared" si="102"/>
        <v>Qualification</v>
      </c>
      <c r="S723" s="5" t="s">
        <v>3789</v>
      </c>
      <c r="T723" s="4">
        <v>32589</v>
      </c>
      <c r="U723" s="5">
        <f t="shared" si="103"/>
        <v>1989</v>
      </c>
      <c r="V723" s="5" t="s">
        <v>3793</v>
      </c>
      <c r="W723" s="9">
        <f t="shared" si="100"/>
        <v>35</v>
      </c>
      <c r="X723" s="5" t="str">
        <f t="shared" si="104"/>
        <v>[35 - 39 ans ]</v>
      </c>
      <c r="Y723" s="5" t="str">
        <f t="shared" si="105"/>
        <v xml:space="preserve"> Mellenials </v>
      </c>
      <c r="Z723" s="9">
        <f t="shared" si="106"/>
        <v>25</v>
      </c>
      <c r="AA723" s="5" t="str">
        <f t="shared" si="107"/>
        <v>RAS</v>
      </c>
      <c r="AB723" s="5" t="s">
        <v>3828</v>
      </c>
      <c r="AC723" s="6" t="s">
        <v>3799</v>
      </c>
      <c r="AE723" s="5" t="s">
        <v>3844</v>
      </c>
      <c r="AF723" s="5" t="s">
        <v>4482</v>
      </c>
      <c r="AG723" s="5" t="s">
        <v>4485</v>
      </c>
      <c r="AH723" s="5" t="s">
        <v>4488</v>
      </c>
      <c r="AI723" s="5" t="s">
        <v>4186</v>
      </c>
      <c r="AJ723" s="5" t="s">
        <v>4187</v>
      </c>
      <c r="AK723" s="5" t="s">
        <v>4183</v>
      </c>
      <c r="AL723" s="5" t="s">
        <v>3858</v>
      </c>
    </row>
    <row r="724" spans="1:38" x14ac:dyDescent="0.3">
      <c r="A724" s="4">
        <v>45716</v>
      </c>
      <c r="B724" s="5" t="s">
        <v>2575</v>
      </c>
      <c r="C724" s="5" t="s">
        <v>2576</v>
      </c>
      <c r="D724" s="5" t="s">
        <v>2577</v>
      </c>
      <c r="E724" s="5" t="s">
        <v>4494</v>
      </c>
      <c r="G724" s="5" t="s">
        <v>88</v>
      </c>
      <c r="H724" s="5" t="s">
        <v>456</v>
      </c>
      <c r="I724" s="5" t="s">
        <v>910</v>
      </c>
      <c r="J724" s="5" t="s">
        <v>883</v>
      </c>
      <c r="K724" s="4">
        <v>41944</v>
      </c>
      <c r="L724" s="4">
        <v>41944</v>
      </c>
      <c r="M724" s="9">
        <f t="shared" si="99"/>
        <v>10</v>
      </c>
      <c r="N724" s="4" t="str">
        <f t="shared" si="101"/>
        <v>] 8 ; 10 ]</v>
      </c>
      <c r="O724" s="5" t="s">
        <v>3780</v>
      </c>
      <c r="P724" s="5" t="s">
        <v>3780</v>
      </c>
      <c r="Q724" s="5">
        <v>3</v>
      </c>
      <c r="R724" s="5" t="str">
        <f t="shared" si="102"/>
        <v>Qualification</v>
      </c>
      <c r="S724" s="5" t="s">
        <v>3789</v>
      </c>
      <c r="T724" s="4">
        <v>31387</v>
      </c>
      <c r="U724" s="5">
        <f t="shared" si="103"/>
        <v>1985</v>
      </c>
      <c r="V724" s="5" t="s">
        <v>3793</v>
      </c>
      <c r="W724" s="9">
        <f t="shared" si="100"/>
        <v>39</v>
      </c>
      <c r="X724" s="5" t="str">
        <f t="shared" si="104"/>
        <v>[35 - 39 ans ]</v>
      </c>
      <c r="Y724" s="5" t="str">
        <f t="shared" si="105"/>
        <v xml:space="preserve"> Mellenials </v>
      </c>
      <c r="Z724" s="9">
        <f t="shared" si="106"/>
        <v>21</v>
      </c>
      <c r="AA724" s="5" t="str">
        <f t="shared" si="107"/>
        <v>RAS</v>
      </c>
      <c r="AB724" s="5" t="s">
        <v>3815</v>
      </c>
      <c r="AC724" s="6" t="s">
        <v>3799</v>
      </c>
      <c r="AE724" s="5" t="s">
        <v>3844</v>
      </c>
      <c r="AF724" s="5" t="s">
        <v>4482</v>
      </c>
      <c r="AG724" s="5" t="s">
        <v>4485</v>
      </c>
      <c r="AH724" s="5" t="s">
        <v>4488</v>
      </c>
      <c r="AI724" s="5" t="s">
        <v>4152</v>
      </c>
      <c r="AJ724" s="5" t="s">
        <v>4153</v>
      </c>
      <c r="AK724" s="5" t="s">
        <v>4154</v>
      </c>
      <c r="AL724" s="5" t="s">
        <v>3858</v>
      </c>
    </row>
    <row r="725" spans="1:38" x14ac:dyDescent="0.3">
      <c r="A725" s="4">
        <v>45716</v>
      </c>
      <c r="B725" s="5" t="s">
        <v>2578</v>
      </c>
      <c r="C725" s="5" t="s">
        <v>2579</v>
      </c>
      <c r="D725" s="5" t="s">
        <v>2580</v>
      </c>
      <c r="E725" s="5" t="s">
        <v>4494</v>
      </c>
      <c r="G725" s="5" t="s">
        <v>78</v>
      </c>
      <c r="H725" s="5" t="s">
        <v>1066</v>
      </c>
      <c r="I725" s="5" t="s">
        <v>1664</v>
      </c>
      <c r="J725" s="5" t="s">
        <v>1510</v>
      </c>
      <c r="K725" s="4">
        <v>41967</v>
      </c>
      <c r="L725" s="4">
        <v>40220</v>
      </c>
      <c r="M725" s="9">
        <f t="shared" si="99"/>
        <v>15</v>
      </c>
      <c r="N725" s="4" t="str">
        <f t="shared" si="101"/>
        <v>] 10 ; 15 ]</v>
      </c>
      <c r="O725" s="5" t="s">
        <v>3788</v>
      </c>
      <c r="P725" s="5" t="s">
        <v>3780</v>
      </c>
      <c r="Q725" s="5">
        <v>1</v>
      </c>
      <c r="R725" s="5" t="str">
        <f t="shared" si="102"/>
        <v>Qualification</v>
      </c>
      <c r="S725" s="5" t="s">
        <v>3789</v>
      </c>
      <c r="T725" s="4">
        <v>30641</v>
      </c>
      <c r="U725" s="5">
        <f t="shared" si="103"/>
        <v>1983</v>
      </c>
      <c r="V725" s="5" t="s">
        <v>3792</v>
      </c>
      <c r="W725" s="9">
        <f t="shared" si="100"/>
        <v>41</v>
      </c>
      <c r="X725" s="5" t="str">
        <f t="shared" si="104"/>
        <v>[40 - 44 ans]</v>
      </c>
      <c r="Y725" s="5" t="str">
        <f t="shared" si="105"/>
        <v xml:space="preserve"> Mellenials </v>
      </c>
      <c r="Z725" s="9">
        <f t="shared" si="106"/>
        <v>19</v>
      </c>
      <c r="AA725" s="5" t="str">
        <f t="shared" si="107"/>
        <v>RAS</v>
      </c>
      <c r="AB725" s="5" t="s">
        <v>3808</v>
      </c>
      <c r="AC725" s="6" t="s">
        <v>3799</v>
      </c>
      <c r="AE725" s="5" t="s">
        <v>3844</v>
      </c>
      <c r="AF725" s="5" t="s">
        <v>4482</v>
      </c>
      <c r="AG725" s="5" t="s">
        <v>4485</v>
      </c>
      <c r="AH725" s="5" t="s">
        <v>4488</v>
      </c>
      <c r="AI725" s="5" t="s">
        <v>4251</v>
      </c>
      <c r="AJ725" s="5" t="s">
        <v>4252</v>
      </c>
      <c r="AK725" s="5" t="s">
        <v>4242</v>
      </c>
      <c r="AL725" s="5" t="s">
        <v>3858</v>
      </c>
    </row>
    <row r="726" spans="1:38" x14ac:dyDescent="0.3">
      <c r="A726" s="4">
        <v>45716</v>
      </c>
      <c r="B726" s="5" t="s">
        <v>2581</v>
      </c>
      <c r="C726" s="5" t="s">
        <v>2582</v>
      </c>
      <c r="D726" s="5" t="s">
        <v>2583</v>
      </c>
      <c r="E726" s="5" t="s">
        <v>4494</v>
      </c>
      <c r="G726" s="5" t="s">
        <v>88</v>
      </c>
      <c r="H726" s="5" t="s">
        <v>2584</v>
      </c>
      <c r="I726" s="5" t="s">
        <v>1389</v>
      </c>
      <c r="J726" s="5" t="s">
        <v>182</v>
      </c>
      <c r="K726" s="4">
        <v>41995</v>
      </c>
      <c r="L726" s="4">
        <v>41141</v>
      </c>
      <c r="M726" s="9">
        <f t="shared" si="99"/>
        <v>12</v>
      </c>
      <c r="N726" s="4" t="str">
        <f t="shared" si="101"/>
        <v>] 10 ; 15 ]</v>
      </c>
      <c r="O726" s="5" t="s">
        <v>3782</v>
      </c>
      <c r="P726" s="5" t="s">
        <v>3782</v>
      </c>
      <c r="Q726" s="5">
        <v>1</v>
      </c>
      <c r="R726" s="5" t="str">
        <f t="shared" si="102"/>
        <v>Management &amp; Expertise</v>
      </c>
      <c r="S726" s="5" t="s">
        <v>3789</v>
      </c>
      <c r="T726" s="4">
        <v>32484</v>
      </c>
      <c r="U726" s="5">
        <f t="shared" si="103"/>
        <v>1988</v>
      </c>
      <c r="V726" s="5" t="s">
        <v>3792</v>
      </c>
      <c r="W726" s="9">
        <f t="shared" si="100"/>
        <v>36</v>
      </c>
      <c r="X726" s="5" t="str">
        <f t="shared" si="104"/>
        <v>[35 - 39 ans ]</v>
      </c>
      <c r="Y726" s="5" t="str">
        <f t="shared" si="105"/>
        <v xml:space="preserve"> Mellenials </v>
      </c>
      <c r="Z726" s="9">
        <f t="shared" si="106"/>
        <v>24</v>
      </c>
      <c r="AA726" s="5" t="str">
        <f t="shared" si="107"/>
        <v>RAS</v>
      </c>
      <c r="AB726" s="5" t="s">
        <v>3806</v>
      </c>
      <c r="AC726" s="6" t="s">
        <v>3799</v>
      </c>
      <c r="AE726" s="5" t="s">
        <v>3845</v>
      </c>
      <c r="AF726" s="5" t="s">
        <v>4481</v>
      </c>
      <c r="AG726" s="5" t="s">
        <v>4485</v>
      </c>
      <c r="AH726" s="5" t="s">
        <v>4488</v>
      </c>
      <c r="AI726" s="5" t="s">
        <v>4330</v>
      </c>
      <c r="AJ726" s="5" t="s">
        <v>4331</v>
      </c>
      <c r="AK726" s="5" t="s">
        <v>4100</v>
      </c>
      <c r="AL726" s="5" t="s">
        <v>3854</v>
      </c>
    </row>
    <row r="727" spans="1:38" x14ac:dyDescent="0.3">
      <c r="A727" s="4">
        <v>45716</v>
      </c>
      <c r="B727" s="5" t="s">
        <v>2585</v>
      </c>
      <c r="C727" s="5" t="s">
        <v>2586</v>
      </c>
      <c r="D727" s="5" t="s">
        <v>2587</v>
      </c>
      <c r="E727" s="5" t="s">
        <v>4494</v>
      </c>
      <c r="G727" s="5" t="s">
        <v>29</v>
      </c>
      <c r="H727" s="5" t="s">
        <v>2588</v>
      </c>
      <c r="I727" s="5" t="s">
        <v>2618</v>
      </c>
      <c r="J727" s="5" t="s">
        <v>157</v>
      </c>
      <c r="K727" s="4">
        <v>42005</v>
      </c>
      <c r="L727" s="4">
        <v>42005</v>
      </c>
      <c r="M727" s="9">
        <f t="shared" si="99"/>
        <v>10</v>
      </c>
      <c r="N727" s="4" t="str">
        <f t="shared" si="101"/>
        <v>] 8 ; 10 ]</v>
      </c>
      <c r="O727" s="5" t="s">
        <v>3786</v>
      </c>
      <c r="P727" s="5" t="s">
        <v>3786</v>
      </c>
      <c r="Q727" s="5">
        <v>1</v>
      </c>
      <c r="R727" s="5" t="str">
        <f t="shared" si="102"/>
        <v>Specialisation</v>
      </c>
      <c r="S727" s="5" t="s">
        <v>3789</v>
      </c>
      <c r="T727" s="4">
        <v>31563</v>
      </c>
      <c r="U727" s="5">
        <f t="shared" si="103"/>
        <v>1986</v>
      </c>
      <c r="V727" s="5" t="s">
        <v>3793</v>
      </c>
      <c r="W727" s="9">
        <f t="shared" si="100"/>
        <v>38</v>
      </c>
      <c r="X727" s="5" t="str">
        <f t="shared" si="104"/>
        <v>[35 - 39 ans ]</v>
      </c>
      <c r="Y727" s="5" t="str">
        <f t="shared" si="105"/>
        <v xml:space="preserve"> Mellenials </v>
      </c>
      <c r="Z727" s="9">
        <f t="shared" si="106"/>
        <v>22</v>
      </c>
      <c r="AA727" s="5" t="str">
        <f t="shared" si="107"/>
        <v>RAS</v>
      </c>
      <c r="AB727" s="5" t="s">
        <v>3806</v>
      </c>
      <c r="AC727" s="6" t="s">
        <v>3799</v>
      </c>
      <c r="AE727" s="5" t="s">
        <v>3844</v>
      </c>
      <c r="AF727" s="5" t="s">
        <v>4482</v>
      </c>
      <c r="AG727" s="5" t="s">
        <v>4485</v>
      </c>
      <c r="AH727" s="5" t="s">
        <v>4487</v>
      </c>
      <c r="AI727" s="5" t="s">
        <v>4342</v>
      </c>
      <c r="AJ727" s="5" t="s">
        <v>4343</v>
      </c>
      <c r="AK727" s="5" t="s">
        <v>4344</v>
      </c>
      <c r="AL727" s="5" t="s">
        <v>3858</v>
      </c>
    </row>
    <row r="728" spans="1:38" x14ac:dyDescent="0.3">
      <c r="A728" s="4">
        <v>45716</v>
      </c>
      <c r="B728" s="5" t="s">
        <v>2589</v>
      </c>
      <c r="C728" s="5" t="s">
        <v>2590</v>
      </c>
      <c r="D728" s="5" t="s">
        <v>2591</v>
      </c>
      <c r="E728" s="5" t="s">
        <v>4494</v>
      </c>
      <c r="G728" s="5" t="s">
        <v>78</v>
      </c>
      <c r="H728" s="5" t="s">
        <v>543</v>
      </c>
      <c r="I728" s="5" t="s">
        <v>1069</v>
      </c>
      <c r="J728" s="5" t="s">
        <v>298</v>
      </c>
      <c r="K728" s="4">
        <v>42005</v>
      </c>
      <c r="L728" s="4">
        <v>42005</v>
      </c>
      <c r="M728" s="9">
        <f t="shared" si="99"/>
        <v>10</v>
      </c>
      <c r="N728" s="4" t="str">
        <f t="shared" si="101"/>
        <v>] 8 ; 10 ]</v>
      </c>
      <c r="O728" s="5" t="s">
        <v>3788</v>
      </c>
      <c r="P728" s="5" t="s">
        <v>3788</v>
      </c>
      <c r="Q728" s="5">
        <v>2</v>
      </c>
      <c r="R728" s="5" t="str">
        <f t="shared" si="102"/>
        <v>Qualification</v>
      </c>
      <c r="S728" s="5" t="s">
        <v>3790</v>
      </c>
      <c r="T728" s="4">
        <v>31209</v>
      </c>
      <c r="U728" s="5">
        <f t="shared" si="103"/>
        <v>1985</v>
      </c>
      <c r="V728" s="5" t="s">
        <v>3793</v>
      </c>
      <c r="W728" s="9">
        <f t="shared" si="100"/>
        <v>39</v>
      </c>
      <c r="X728" s="5" t="str">
        <f t="shared" si="104"/>
        <v>[35 - 39 ans ]</v>
      </c>
      <c r="Y728" s="5" t="str">
        <f t="shared" si="105"/>
        <v xml:space="preserve"> Mellenials </v>
      </c>
      <c r="Z728" s="9">
        <f t="shared" si="106"/>
        <v>21</v>
      </c>
      <c r="AA728" s="5" t="str">
        <f t="shared" si="107"/>
        <v>RAS</v>
      </c>
      <c r="AB728" s="5" t="s">
        <v>3808</v>
      </c>
      <c r="AC728" s="6" t="s">
        <v>3799</v>
      </c>
      <c r="AE728" s="5" t="s">
        <v>3844</v>
      </c>
      <c r="AF728" s="5" t="s">
        <v>4482</v>
      </c>
      <c r="AG728" s="5" t="s">
        <v>4485</v>
      </c>
      <c r="AH728" s="5" t="s">
        <v>4488</v>
      </c>
      <c r="AI728" s="5" t="s">
        <v>4240</v>
      </c>
      <c r="AJ728" s="5" t="s">
        <v>4264</v>
      </c>
      <c r="AK728" s="5" t="s">
        <v>4090</v>
      </c>
      <c r="AL728" s="5" t="s">
        <v>3858</v>
      </c>
    </row>
    <row r="729" spans="1:38" x14ac:dyDescent="0.3">
      <c r="A729" s="4">
        <v>45716</v>
      </c>
      <c r="B729" s="5" t="s">
        <v>2592</v>
      </c>
      <c r="C729" s="5" t="s">
        <v>2593</v>
      </c>
      <c r="D729" s="5" t="s">
        <v>2594</v>
      </c>
      <c r="E729" s="5" t="s">
        <v>4494</v>
      </c>
      <c r="G729" s="5" t="s">
        <v>88</v>
      </c>
      <c r="H729" s="5" t="s">
        <v>456</v>
      </c>
      <c r="I729" s="5" t="s">
        <v>744</v>
      </c>
      <c r="J729" s="5" t="s">
        <v>883</v>
      </c>
      <c r="K729" s="4">
        <v>42005</v>
      </c>
      <c r="L729" s="4">
        <v>42005</v>
      </c>
      <c r="M729" s="9">
        <f t="shared" si="99"/>
        <v>10</v>
      </c>
      <c r="N729" s="4" t="str">
        <f t="shared" si="101"/>
        <v>] 8 ; 10 ]</v>
      </c>
      <c r="O729" s="5" t="s">
        <v>3780</v>
      </c>
      <c r="P729" s="5" t="s">
        <v>3780</v>
      </c>
      <c r="Q729" s="5">
        <v>3</v>
      </c>
      <c r="R729" s="5" t="str">
        <f t="shared" si="102"/>
        <v>Qualification</v>
      </c>
      <c r="S729" s="5" t="s">
        <v>3789</v>
      </c>
      <c r="T729" s="4">
        <v>32404</v>
      </c>
      <c r="U729" s="5">
        <f t="shared" si="103"/>
        <v>1988</v>
      </c>
      <c r="V729" s="5" t="s">
        <v>3792</v>
      </c>
      <c r="W729" s="9">
        <f t="shared" si="100"/>
        <v>36</v>
      </c>
      <c r="X729" s="5" t="str">
        <f t="shared" si="104"/>
        <v>[35 - 39 ans ]</v>
      </c>
      <c r="Y729" s="5" t="str">
        <f t="shared" si="105"/>
        <v xml:space="preserve"> Mellenials </v>
      </c>
      <c r="Z729" s="9">
        <f t="shared" si="106"/>
        <v>24</v>
      </c>
      <c r="AA729" s="5" t="str">
        <f t="shared" si="107"/>
        <v>RAS</v>
      </c>
      <c r="AB729" s="5" t="s">
        <v>3828</v>
      </c>
      <c r="AC729" s="6" t="s">
        <v>3799</v>
      </c>
      <c r="AE729" s="5" t="s">
        <v>3844</v>
      </c>
      <c r="AF729" s="5" t="s">
        <v>4482</v>
      </c>
      <c r="AG729" s="5" t="s">
        <v>4485</v>
      </c>
      <c r="AH729" s="5" t="s">
        <v>4488</v>
      </c>
      <c r="AI729" s="5" t="s">
        <v>4186</v>
      </c>
      <c r="AJ729" s="5" t="s">
        <v>4187</v>
      </c>
      <c r="AK729" s="5" t="s">
        <v>4183</v>
      </c>
      <c r="AL729" s="5" t="s">
        <v>3858</v>
      </c>
    </row>
    <row r="730" spans="1:38" x14ac:dyDescent="0.3">
      <c r="A730" s="4">
        <v>45716</v>
      </c>
      <c r="B730" s="5" t="s">
        <v>2595</v>
      </c>
      <c r="C730" s="5" t="s">
        <v>2596</v>
      </c>
      <c r="D730" s="5" t="s">
        <v>2597</v>
      </c>
      <c r="E730" s="5" t="s">
        <v>4494</v>
      </c>
      <c r="G730" s="5" t="s">
        <v>44</v>
      </c>
      <c r="H730" s="5" t="s">
        <v>2598</v>
      </c>
      <c r="I730" s="5" t="s">
        <v>3776</v>
      </c>
      <c r="J730" s="5" t="s">
        <v>1888</v>
      </c>
      <c r="K730" s="4">
        <v>42005</v>
      </c>
      <c r="L730" s="4">
        <v>42005</v>
      </c>
      <c r="M730" s="9">
        <f t="shared" si="99"/>
        <v>10</v>
      </c>
      <c r="N730" s="4" t="str">
        <f t="shared" si="101"/>
        <v>] 8 ; 10 ]</v>
      </c>
      <c r="O730" s="5" t="s">
        <v>3783</v>
      </c>
      <c r="P730" s="5" t="s">
        <v>3785</v>
      </c>
      <c r="Q730" s="5">
        <v>1</v>
      </c>
      <c r="R730" s="5" t="str">
        <f t="shared" si="102"/>
        <v>Specialisation</v>
      </c>
      <c r="S730" s="5" t="s">
        <v>3790</v>
      </c>
      <c r="T730" s="4">
        <v>30833</v>
      </c>
      <c r="U730" s="5">
        <f t="shared" si="103"/>
        <v>1984</v>
      </c>
      <c r="V730" s="5" t="s">
        <v>3793</v>
      </c>
      <c r="W730" s="9">
        <f t="shared" si="100"/>
        <v>40</v>
      </c>
      <c r="X730" s="5" t="str">
        <f t="shared" si="104"/>
        <v>[40 - 44 ans]</v>
      </c>
      <c r="Y730" s="5" t="str">
        <f t="shared" si="105"/>
        <v xml:space="preserve"> Mellenials </v>
      </c>
      <c r="Z730" s="9">
        <f t="shared" si="106"/>
        <v>20</v>
      </c>
      <c r="AA730" s="5" t="str">
        <f t="shared" si="107"/>
        <v>RAS</v>
      </c>
      <c r="AB730" s="5" t="s">
        <v>3806</v>
      </c>
      <c r="AC730" s="6" t="s">
        <v>3799</v>
      </c>
      <c r="AE730" s="5" t="s">
        <v>3844</v>
      </c>
      <c r="AF730" s="5" t="s">
        <v>4482</v>
      </c>
      <c r="AG730" s="5" t="s">
        <v>4485</v>
      </c>
      <c r="AH730" s="5" t="s">
        <v>4487</v>
      </c>
      <c r="AI730" s="5" t="s">
        <v>4253</v>
      </c>
      <c r="AJ730" s="5" t="s">
        <v>4254</v>
      </c>
      <c r="AK730" s="5" t="s">
        <v>3900</v>
      </c>
      <c r="AL730" s="5" t="s">
        <v>3858</v>
      </c>
    </row>
    <row r="731" spans="1:38" x14ac:dyDescent="0.3">
      <c r="A731" s="4">
        <v>45716</v>
      </c>
      <c r="B731" s="5" t="s">
        <v>2599</v>
      </c>
      <c r="C731" s="5" t="s">
        <v>2600</v>
      </c>
      <c r="D731" s="5" t="s">
        <v>2601</v>
      </c>
      <c r="E731" s="5" t="s">
        <v>4494</v>
      </c>
      <c r="G731" s="5" t="s">
        <v>88</v>
      </c>
      <c r="H731" s="5" t="s">
        <v>456</v>
      </c>
      <c r="I731" s="5" t="s">
        <v>1397</v>
      </c>
      <c r="J731" s="5" t="s">
        <v>883</v>
      </c>
      <c r="K731" s="4">
        <v>42005</v>
      </c>
      <c r="L731" s="4">
        <v>42005</v>
      </c>
      <c r="M731" s="9">
        <f t="shared" si="99"/>
        <v>10</v>
      </c>
      <c r="N731" s="4" t="str">
        <f t="shared" si="101"/>
        <v>] 8 ; 10 ]</v>
      </c>
      <c r="O731" s="5" t="s">
        <v>3780</v>
      </c>
      <c r="P731" s="5" t="s">
        <v>3780</v>
      </c>
      <c r="Q731" s="5">
        <v>2</v>
      </c>
      <c r="R731" s="5" t="str">
        <f t="shared" si="102"/>
        <v>Qualification</v>
      </c>
      <c r="S731" s="5" t="s">
        <v>3790</v>
      </c>
      <c r="T731" s="4">
        <v>32675</v>
      </c>
      <c r="U731" s="5">
        <f t="shared" si="103"/>
        <v>1989</v>
      </c>
      <c r="V731" s="5" t="s">
        <v>3793</v>
      </c>
      <c r="W731" s="9">
        <f t="shared" si="100"/>
        <v>35</v>
      </c>
      <c r="X731" s="5" t="str">
        <f t="shared" si="104"/>
        <v>[35 - 39 ans ]</v>
      </c>
      <c r="Y731" s="5" t="str">
        <f t="shared" si="105"/>
        <v xml:space="preserve"> Mellenials </v>
      </c>
      <c r="Z731" s="9">
        <f t="shared" si="106"/>
        <v>25</v>
      </c>
      <c r="AA731" s="5" t="str">
        <f t="shared" si="107"/>
        <v>RAS</v>
      </c>
      <c r="AB731" s="5" t="s">
        <v>3833</v>
      </c>
      <c r="AC731" s="6" t="s">
        <v>3801</v>
      </c>
      <c r="AE731" s="5" t="s">
        <v>3844</v>
      </c>
      <c r="AF731" s="5" t="s">
        <v>4482</v>
      </c>
      <c r="AG731" s="5" t="s">
        <v>4485</v>
      </c>
      <c r="AH731" s="5" t="s">
        <v>4488</v>
      </c>
      <c r="AI731" s="5" t="s">
        <v>4301</v>
      </c>
      <c r="AJ731" s="5" t="s">
        <v>4302</v>
      </c>
      <c r="AK731" s="5" t="s">
        <v>4303</v>
      </c>
      <c r="AL731" s="5" t="s">
        <v>3858</v>
      </c>
    </row>
    <row r="732" spans="1:38" x14ac:dyDescent="0.3">
      <c r="A732" s="4">
        <v>45716</v>
      </c>
      <c r="B732" s="5" t="s">
        <v>2602</v>
      </c>
      <c r="C732" s="5" t="s">
        <v>2603</v>
      </c>
      <c r="D732" s="5" t="s">
        <v>2604</v>
      </c>
      <c r="E732" s="5" t="s">
        <v>4494</v>
      </c>
      <c r="G732" s="5" t="s">
        <v>78</v>
      </c>
      <c r="H732" s="5" t="s">
        <v>2121</v>
      </c>
      <c r="I732" s="5" t="s">
        <v>2312</v>
      </c>
      <c r="J732" s="5" t="s">
        <v>298</v>
      </c>
      <c r="K732" s="4">
        <v>42005</v>
      </c>
      <c r="L732" s="4">
        <v>42005</v>
      </c>
      <c r="M732" s="9">
        <f t="shared" si="99"/>
        <v>10</v>
      </c>
      <c r="N732" s="4" t="str">
        <f t="shared" si="101"/>
        <v>] 8 ; 10 ]</v>
      </c>
      <c r="O732" s="5" t="s">
        <v>3788</v>
      </c>
      <c r="P732" s="5" t="s">
        <v>3788</v>
      </c>
      <c r="Q732" s="5">
        <v>2</v>
      </c>
      <c r="R732" s="5" t="str">
        <f t="shared" si="102"/>
        <v>Qualification</v>
      </c>
      <c r="S732" s="5" t="s">
        <v>3790</v>
      </c>
      <c r="T732" s="4">
        <v>30725</v>
      </c>
      <c r="U732" s="5">
        <f t="shared" si="103"/>
        <v>1984</v>
      </c>
      <c r="V732" s="5" t="s">
        <v>3793</v>
      </c>
      <c r="W732" s="9">
        <f t="shared" si="100"/>
        <v>41</v>
      </c>
      <c r="X732" s="5" t="str">
        <f t="shared" si="104"/>
        <v>[40 - 44 ans]</v>
      </c>
      <c r="Y732" s="5" t="str">
        <f t="shared" si="105"/>
        <v xml:space="preserve"> Mellenials </v>
      </c>
      <c r="Z732" s="9">
        <f t="shared" si="106"/>
        <v>19</v>
      </c>
      <c r="AA732" s="5" t="str">
        <f t="shared" si="107"/>
        <v>RAS</v>
      </c>
      <c r="AB732" s="5" t="s">
        <v>3808</v>
      </c>
      <c r="AC732" s="6" t="s">
        <v>3799</v>
      </c>
      <c r="AE732" s="5" t="s">
        <v>3844</v>
      </c>
      <c r="AF732" s="5" t="s">
        <v>4482</v>
      </c>
      <c r="AG732" s="5" t="s">
        <v>4485</v>
      </c>
      <c r="AH732" s="5" t="s">
        <v>4488</v>
      </c>
      <c r="AI732" s="5" t="s">
        <v>4381</v>
      </c>
      <c r="AJ732" s="5" t="s">
        <v>4382</v>
      </c>
      <c r="AK732" s="5" t="s">
        <v>3946</v>
      </c>
      <c r="AL732" s="5" t="s">
        <v>3858</v>
      </c>
    </row>
    <row r="733" spans="1:38" x14ac:dyDescent="0.3">
      <c r="A733" s="4">
        <v>45716</v>
      </c>
      <c r="B733" s="5" t="s">
        <v>2605</v>
      </c>
      <c r="C733" s="5" t="s">
        <v>2606</v>
      </c>
      <c r="D733" s="5" t="s">
        <v>2607</v>
      </c>
      <c r="E733" s="5" t="s">
        <v>4494</v>
      </c>
      <c r="G733" s="5" t="s">
        <v>88</v>
      </c>
      <c r="H733" s="5" t="s">
        <v>456</v>
      </c>
      <c r="I733" s="5" t="s">
        <v>744</v>
      </c>
      <c r="J733" s="5" t="s">
        <v>883</v>
      </c>
      <c r="K733" s="4">
        <v>42005</v>
      </c>
      <c r="L733" s="4">
        <v>42005</v>
      </c>
      <c r="M733" s="9">
        <f t="shared" si="99"/>
        <v>10</v>
      </c>
      <c r="N733" s="4" t="str">
        <f t="shared" si="101"/>
        <v>] 8 ; 10 ]</v>
      </c>
      <c r="O733" s="5" t="s">
        <v>3780</v>
      </c>
      <c r="P733" s="5" t="s">
        <v>3780</v>
      </c>
      <c r="Q733" s="5">
        <v>3</v>
      </c>
      <c r="R733" s="5" t="str">
        <f t="shared" si="102"/>
        <v>Qualification</v>
      </c>
      <c r="S733" s="5" t="s">
        <v>3789</v>
      </c>
      <c r="T733" s="4">
        <v>32392</v>
      </c>
      <c r="U733" s="5">
        <f t="shared" si="103"/>
        <v>1988</v>
      </c>
      <c r="V733" s="5" t="s">
        <v>3792</v>
      </c>
      <c r="W733" s="9">
        <f t="shared" si="100"/>
        <v>36</v>
      </c>
      <c r="X733" s="5" t="str">
        <f t="shared" si="104"/>
        <v>[35 - 39 ans ]</v>
      </c>
      <c r="Y733" s="5" t="str">
        <f t="shared" si="105"/>
        <v xml:space="preserve"> Mellenials </v>
      </c>
      <c r="Z733" s="9">
        <f t="shared" si="106"/>
        <v>24</v>
      </c>
      <c r="AA733" s="5" t="str">
        <f t="shared" si="107"/>
        <v>RAS</v>
      </c>
      <c r="AB733" s="5" t="s">
        <v>3828</v>
      </c>
      <c r="AC733" s="6" t="s">
        <v>3799</v>
      </c>
      <c r="AE733" s="5" t="s">
        <v>3844</v>
      </c>
      <c r="AF733" s="5" t="s">
        <v>4482</v>
      </c>
      <c r="AG733" s="5" t="s">
        <v>4485</v>
      </c>
      <c r="AH733" s="5" t="s">
        <v>4488</v>
      </c>
      <c r="AI733" s="5" t="s">
        <v>4186</v>
      </c>
      <c r="AJ733" s="5" t="s">
        <v>4187</v>
      </c>
      <c r="AK733" s="5" t="s">
        <v>4183</v>
      </c>
      <c r="AL733" s="5" t="s">
        <v>3858</v>
      </c>
    </row>
    <row r="734" spans="1:38" x14ac:dyDescent="0.3">
      <c r="A734" s="4">
        <v>45716</v>
      </c>
      <c r="B734" s="5" t="s">
        <v>2608</v>
      </c>
      <c r="C734" s="5" t="s">
        <v>2609</v>
      </c>
      <c r="D734" s="5" t="s">
        <v>2610</v>
      </c>
      <c r="E734" s="5" t="s">
        <v>4494</v>
      </c>
      <c r="G734" s="5" t="s">
        <v>39</v>
      </c>
      <c r="H734" s="5" t="s">
        <v>2611</v>
      </c>
      <c r="I734" s="5" t="s">
        <v>3274</v>
      </c>
      <c r="J734" s="5" t="s">
        <v>1256</v>
      </c>
      <c r="K734" s="4">
        <v>42095</v>
      </c>
      <c r="L734" s="4">
        <v>42095</v>
      </c>
      <c r="M734" s="9">
        <f t="shared" si="99"/>
        <v>9</v>
      </c>
      <c r="N734" s="4" t="str">
        <f t="shared" si="101"/>
        <v>] 8 ; 10 ]</v>
      </c>
      <c r="O734" s="5" t="s">
        <v>3785</v>
      </c>
      <c r="P734" s="5" t="s">
        <v>3785</v>
      </c>
      <c r="Q734" s="5">
        <v>1</v>
      </c>
      <c r="R734" s="5" t="str">
        <f t="shared" si="102"/>
        <v>Specialisation</v>
      </c>
      <c r="S734" s="5" t="s">
        <v>3789</v>
      </c>
      <c r="T734" s="4">
        <v>30408</v>
      </c>
      <c r="U734" s="5">
        <f t="shared" si="103"/>
        <v>1983</v>
      </c>
      <c r="V734" s="5" t="s">
        <v>3792</v>
      </c>
      <c r="W734" s="9">
        <f t="shared" si="100"/>
        <v>41</v>
      </c>
      <c r="X734" s="5" t="str">
        <f t="shared" si="104"/>
        <v>[40 - 44 ans]</v>
      </c>
      <c r="Y734" s="5" t="str">
        <f t="shared" si="105"/>
        <v xml:space="preserve"> Mellenials </v>
      </c>
      <c r="Z734" s="9">
        <f t="shared" si="106"/>
        <v>19</v>
      </c>
      <c r="AA734" s="5" t="str">
        <f t="shared" si="107"/>
        <v>RAS</v>
      </c>
      <c r="AB734" s="5" t="s">
        <v>3807</v>
      </c>
      <c r="AC734" s="6" t="s">
        <v>3799</v>
      </c>
      <c r="AE734" s="5" t="s">
        <v>3844</v>
      </c>
      <c r="AF734" s="5" t="s">
        <v>4481</v>
      </c>
      <c r="AG734" s="5" t="s">
        <v>4485</v>
      </c>
      <c r="AH734" s="5" t="s">
        <v>4489</v>
      </c>
      <c r="AI734" s="5" t="s">
        <v>4357</v>
      </c>
      <c r="AJ734" s="5" t="s">
        <v>4358</v>
      </c>
      <c r="AK734" s="5" t="s">
        <v>4280</v>
      </c>
      <c r="AL734" s="5" t="s">
        <v>3858</v>
      </c>
    </row>
    <row r="735" spans="1:38" x14ac:dyDescent="0.3">
      <c r="A735" s="4">
        <v>45716</v>
      </c>
      <c r="B735" s="5" t="s">
        <v>2612</v>
      </c>
      <c r="C735" s="5" t="s">
        <v>2613</v>
      </c>
      <c r="D735" s="5" t="s">
        <v>2614</v>
      </c>
      <c r="E735" s="5" t="s">
        <v>4494</v>
      </c>
      <c r="G735" s="5" t="s">
        <v>222</v>
      </c>
      <c r="H735" s="5" t="s">
        <v>2615</v>
      </c>
      <c r="I735" s="5" t="s">
        <v>2086</v>
      </c>
      <c r="J735" s="5" t="s">
        <v>2841</v>
      </c>
      <c r="K735" s="4">
        <v>42095</v>
      </c>
      <c r="L735" s="7">
        <v>42095</v>
      </c>
      <c r="M735" s="9">
        <f t="shared" si="99"/>
        <v>9</v>
      </c>
      <c r="N735" s="4" t="str">
        <f t="shared" si="101"/>
        <v>] 8 ; 10 ]</v>
      </c>
      <c r="O735" s="5" t="s">
        <v>3782</v>
      </c>
      <c r="P735" s="5" t="s">
        <v>3782</v>
      </c>
      <c r="Q735" s="5">
        <v>2</v>
      </c>
      <c r="R735" s="5" t="str">
        <f t="shared" si="102"/>
        <v>Management &amp; Expertise</v>
      </c>
      <c r="S735" s="5" t="s">
        <v>3790</v>
      </c>
      <c r="T735" s="4">
        <v>32475</v>
      </c>
      <c r="U735" s="5">
        <f t="shared" si="103"/>
        <v>1988</v>
      </c>
      <c r="V735" s="5" t="s">
        <v>3792</v>
      </c>
      <c r="W735" s="9">
        <f t="shared" si="100"/>
        <v>36</v>
      </c>
      <c r="X735" s="5" t="str">
        <f t="shared" si="104"/>
        <v>[35 - 39 ans ]</v>
      </c>
      <c r="Y735" s="5" t="str">
        <f t="shared" si="105"/>
        <v xml:space="preserve"> Mellenials </v>
      </c>
      <c r="Z735" s="9">
        <f t="shared" si="106"/>
        <v>24</v>
      </c>
      <c r="AA735" s="5" t="str">
        <f t="shared" si="107"/>
        <v>RAS</v>
      </c>
      <c r="AB735" s="5" t="s">
        <v>3837</v>
      </c>
      <c r="AC735" s="6" t="s">
        <v>3799</v>
      </c>
      <c r="AE735" s="5" t="s">
        <v>3845</v>
      </c>
      <c r="AF735" s="5" t="s">
        <v>4481</v>
      </c>
      <c r="AG735" s="5" t="s">
        <v>4485</v>
      </c>
      <c r="AH735" s="5" t="s">
        <v>4487</v>
      </c>
      <c r="AI735" s="5" t="s">
        <v>4424</v>
      </c>
      <c r="AJ735" s="5" t="s">
        <v>4425</v>
      </c>
      <c r="AK735" s="5" t="s">
        <v>4423</v>
      </c>
      <c r="AL735" s="5" t="s">
        <v>3854</v>
      </c>
    </row>
    <row r="736" spans="1:38" x14ac:dyDescent="0.3">
      <c r="A736" s="4">
        <v>45716</v>
      </c>
      <c r="B736" s="5" t="s">
        <v>2616</v>
      </c>
      <c r="C736" s="5" t="s">
        <v>2617</v>
      </c>
      <c r="D736" s="5" t="s">
        <v>2618</v>
      </c>
      <c r="E736" s="5" t="s">
        <v>4494</v>
      </c>
      <c r="G736" s="5" t="s">
        <v>29</v>
      </c>
      <c r="H736" s="5" t="s">
        <v>2619</v>
      </c>
      <c r="I736" s="5" t="s">
        <v>157</v>
      </c>
      <c r="J736" s="5" t="s">
        <v>2355</v>
      </c>
      <c r="K736" s="4">
        <v>42156</v>
      </c>
      <c r="L736" s="4">
        <v>42156</v>
      </c>
      <c r="M736" s="9">
        <f t="shared" si="99"/>
        <v>9</v>
      </c>
      <c r="N736" s="4" t="str">
        <f t="shared" si="101"/>
        <v>] 8 ; 10 ]</v>
      </c>
      <c r="O736" s="5" t="s">
        <v>3782</v>
      </c>
      <c r="P736" s="5" t="s">
        <v>3784</v>
      </c>
      <c r="Q736" s="5">
        <v>1</v>
      </c>
      <c r="R736" s="5" t="str">
        <f t="shared" si="102"/>
        <v>Management &amp; Expertise</v>
      </c>
      <c r="S736" s="5" t="s">
        <v>3790</v>
      </c>
      <c r="T736" s="4">
        <v>30561</v>
      </c>
      <c r="U736" s="5">
        <f t="shared" si="103"/>
        <v>1983</v>
      </c>
      <c r="V736" s="5" t="s">
        <v>3792</v>
      </c>
      <c r="W736" s="9">
        <f t="shared" si="100"/>
        <v>41</v>
      </c>
      <c r="X736" s="5" t="str">
        <f t="shared" si="104"/>
        <v>[40 - 44 ans]</v>
      </c>
      <c r="Y736" s="5" t="str">
        <f t="shared" si="105"/>
        <v xml:space="preserve"> Mellenials </v>
      </c>
      <c r="Z736" s="9">
        <f t="shared" si="106"/>
        <v>19</v>
      </c>
      <c r="AA736" s="5" t="str">
        <f t="shared" si="107"/>
        <v>RAS</v>
      </c>
      <c r="AB736" s="5" t="s">
        <v>3806</v>
      </c>
      <c r="AC736" s="6" t="s">
        <v>3799</v>
      </c>
      <c r="AE736" s="5" t="s">
        <v>3845</v>
      </c>
      <c r="AF736" s="5" t="s">
        <v>4481</v>
      </c>
      <c r="AG736" s="5" t="s">
        <v>4485</v>
      </c>
      <c r="AH736" s="5" t="s">
        <v>4487</v>
      </c>
      <c r="AI736" s="5" t="s">
        <v>4342</v>
      </c>
      <c r="AJ736" s="5" t="s">
        <v>4343</v>
      </c>
      <c r="AK736" s="5" t="s">
        <v>4344</v>
      </c>
      <c r="AL736" s="5" t="s">
        <v>3854</v>
      </c>
    </row>
    <row r="737" spans="1:38" x14ac:dyDescent="0.3">
      <c r="A737" s="4">
        <v>45716</v>
      </c>
      <c r="B737" s="5" t="s">
        <v>2620</v>
      </c>
      <c r="C737" s="5" t="s">
        <v>2621</v>
      </c>
      <c r="D737" s="5" t="s">
        <v>2622</v>
      </c>
      <c r="E737" s="5" t="s">
        <v>4494</v>
      </c>
      <c r="G737" s="5" t="s">
        <v>39</v>
      </c>
      <c r="H737" s="5" t="s">
        <v>1590</v>
      </c>
      <c r="I737" s="5" t="s">
        <v>38</v>
      </c>
      <c r="J737" s="5" t="s">
        <v>149</v>
      </c>
      <c r="K737" s="4">
        <v>42157</v>
      </c>
      <c r="L737" s="4">
        <v>39938</v>
      </c>
      <c r="M737" s="9">
        <f t="shared" si="99"/>
        <v>15</v>
      </c>
      <c r="N737" s="4" t="str">
        <f t="shared" si="101"/>
        <v>] 10 ; 15 ]</v>
      </c>
      <c r="O737" s="5" t="s">
        <v>3785</v>
      </c>
      <c r="P737" s="5" t="s">
        <v>3785</v>
      </c>
      <c r="Q737" s="5">
        <v>2</v>
      </c>
      <c r="R737" s="5" t="str">
        <f t="shared" si="102"/>
        <v>Specialisation</v>
      </c>
      <c r="S737" s="5" t="s">
        <v>3789</v>
      </c>
      <c r="T737" s="4">
        <v>31201</v>
      </c>
      <c r="U737" s="5">
        <f t="shared" si="103"/>
        <v>1985</v>
      </c>
      <c r="V737" s="5" t="s">
        <v>3793</v>
      </c>
      <c r="W737" s="9">
        <f t="shared" si="100"/>
        <v>39</v>
      </c>
      <c r="X737" s="5" t="str">
        <f t="shared" si="104"/>
        <v>[35 - 39 ans ]</v>
      </c>
      <c r="Y737" s="5" t="str">
        <f t="shared" si="105"/>
        <v xml:space="preserve"> Mellenials </v>
      </c>
      <c r="Z737" s="9">
        <f t="shared" si="106"/>
        <v>21</v>
      </c>
      <c r="AA737" s="5" t="str">
        <f t="shared" si="107"/>
        <v>RAS</v>
      </c>
      <c r="AB737" s="5" t="s">
        <v>3807</v>
      </c>
      <c r="AC737" s="6" t="s">
        <v>3799</v>
      </c>
      <c r="AE737" s="5" t="s">
        <v>3844</v>
      </c>
      <c r="AF737" s="5" t="s">
        <v>4481</v>
      </c>
      <c r="AG737" s="5" t="s">
        <v>4485</v>
      </c>
      <c r="AH737" s="5" t="s">
        <v>4489</v>
      </c>
      <c r="AI737" s="5" t="s">
        <v>3862</v>
      </c>
      <c r="AJ737" s="5" t="s">
        <v>3863</v>
      </c>
      <c r="AK737" s="5" t="s">
        <v>3864</v>
      </c>
      <c r="AL737" s="5" t="s">
        <v>3858</v>
      </c>
    </row>
    <row r="738" spans="1:38" x14ac:dyDescent="0.3">
      <c r="A738" s="4">
        <v>45716</v>
      </c>
      <c r="B738" s="5" t="s">
        <v>2623</v>
      </c>
      <c r="C738" s="5" t="s">
        <v>2624</v>
      </c>
      <c r="D738" s="5" t="s">
        <v>2625</v>
      </c>
      <c r="E738" s="5" t="s">
        <v>4494</v>
      </c>
      <c r="G738" s="5" t="s">
        <v>39</v>
      </c>
      <c r="H738" s="5" t="s">
        <v>621</v>
      </c>
      <c r="I738" s="5" t="s">
        <v>1795</v>
      </c>
      <c r="J738" s="5" t="s">
        <v>52</v>
      </c>
      <c r="K738" s="4">
        <v>42157</v>
      </c>
      <c r="L738" s="4">
        <v>40112</v>
      </c>
      <c r="M738" s="9">
        <f t="shared" si="99"/>
        <v>15</v>
      </c>
      <c r="N738" s="4" t="str">
        <f t="shared" si="101"/>
        <v>] 10 ; 15 ]</v>
      </c>
      <c r="O738" s="5" t="s">
        <v>3780</v>
      </c>
      <c r="P738" s="5" t="s">
        <v>3780</v>
      </c>
      <c r="Q738" s="5">
        <v>3</v>
      </c>
      <c r="R738" s="5" t="str">
        <f t="shared" si="102"/>
        <v>Qualification</v>
      </c>
      <c r="S738" s="5" t="s">
        <v>3789</v>
      </c>
      <c r="T738" s="4">
        <v>29965</v>
      </c>
      <c r="U738" s="5">
        <f t="shared" si="103"/>
        <v>1982</v>
      </c>
      <c r="V738" s="5" t="s">
        <v>3793</v>
      </c>
      <c r="W738" s="9">
        <f t="shared" si="100"/>
        <v>43</v>
      </c>
      <c r="X738" s="5" t="str">
        <f t="shared" si="104"/>
        <v>[40 - 44 ans]</v>
      </c>
      <c r="Y738" s="5" t="str">
        <f t="shared" si="105"/>
        <v xml:space="preserve"> Mellenials </v>
      </c>
      <c r="Z738" s="9">
        <f t="shared" si="106"/>
        <v>17</v>
      </c>
      <c r="AA738" s="5" t="str">
        <f t="shared" si="107"/>
        <v>RAS</v>
      </c>
      <c r="AB738" s="5" t="s">
        <v>3807</v>
      </c>
      <c r="AC738" s="6" t="s">
        <v>3799</v>
      </c>
      <c r="AE738" s="5" t="s">
        <v>3844</v>
      </c>
      <c r="AF738" s="5" t="s">
        <v>4482</v>
      </c>
      <c r="AG738" s="5" t="s">
        <v>4485</v>
      </c>
      <c r="AH738" s="5" t="s">
        <v>4489</v>
      </c>
      <c r="AI738" s="5" t="s">
        <v>4146</v>
      </c>
      <c r="AJ738" s="5" t="s">
        <v>4147</v>
      </c>
      <c r="AK738" s="5" t="s">
        <v>4148</v>
      </c>
      <c r="AL738" s="5" t="s">
        <v>3858</v>
      </c>
    </row>
    <row r="739" spans="1:38" x14ac:dyDescent="0.3">
      <c r="A739" s="4">
        <v>45716</v>
      </c>
      <c r="B739" s="5" t="s">
        <v>2626</v>
      </c>
      <c r="C739" s="5" t="s">
        <v>2627</v>
      </c>
      <c r="D739" s="5" t="s">
        <v>2628</v>
      </c>
      <c r="E739" s="5" t="s">
        <v>4494</v>
      </c>
      <c r="G739" s="5" t="s">
        <v>83</v>
      </c>
      <c r="H739" s="5" t="s">
        <v>2629</v>
      </c>
      <c r="I739" s="5" t="s">
        <v>3229</v>
      </c>
      <c r="J739" s="5" t="s">
        <v>346</v>
      </c>
      <c r="K739" s="4">
        <v>42163</v>
      </c>
      <c r="L739" s="4">
        <v>42163</v>
      </c>
      <c r="M739" s="9">
        <f t="shared" si="99"/>
        <v>9</v>
      </c>
      <c r="N739" s="4" t="str">
        <f t="shared" si="101"/>
        <v>] 8 ; 10 ]</v>
      </c>
      <c r="O739" s="5" t="s">
        <v>3785</v>
      </c>
      <c r="P739" s="5" t="s">
        <v>3785</v>
      </c>
      <c r="Q739" s="5">
        <v>1</v>
      </c>
      <c r="R739" s="5" t="str">
        <f t="shared" si="102"/>
        <v>Specialisation</v>
      </c>
      <c r="S739" s="5" t="s">
        <v>3789</v>
      </c>
      <c r="T739" s="4">
        <v>32604</v>
      </c>
      <c r="U739" s="5">
        <f t="shared" si="103"/>
        <v>1989</v>
      </c>
      <c r="V739" s="5" t="s">
        <v>3793</v>
      </c>
      <c r="W739" s="9">
        <f t="shared" si="100"/>
        <v>35</v>
      </c>
      <c r="X739" s="5" t="str">
        <f t="shared" si="104"/>
        <v>[35 - 39 ans ]</v>
      </c>
      <c r="Y739" s="5" t="str">
        <f t="shared" si="105"/>
        <v xml:space="preserve"> Mellenials </v>
      </c>
      <c r="Z739" s="9">
        <f t="shared" si="106"/>
        <v>25</v>
      </c>
      <c r="AA739" s="5" t="str">
        <f t="shared" si="107"/>
        <v>RAS</v>
      </c>
      <c r="AB739" s="5" t="s">
        <v>3807</v>
      </c>
      <c r="AC739" s="6" t="s">
        <v>3799</v>
      </c>
      <c r="AE739" s="5" t="s">
        <v>3844</v>
      </c>
      <c r="AF739" s="5" t="s">
        <v>4481</v>
      </c>
      <c r="AG739" s="5" t="s">
        <v>4485</v>
      </c>
      <c r="AH739" s="5" t="s">
        <v>4489</v>
      </c>
      <c r="AI739" s="5" t="s">
        <v>4426</v>
      </c>
      <c r="AJ739" s="5" t="s">
        <v>4427</v>
      </c>
      <c r="AK739" s="5" t="s">
        <v>3993</v>
      </c>
      <c r="AL739" s="5" t="s">
        <v>3858</v>
      </c>
    </row>
    <row r="740" spans="1:38" x14ac:dyDescent="0.3">
      <c r="A740" s="4">
        <v>45716</v>
      </c>
      <c r="B740" s="5" t="s">
        <v>2630</v>
      </c>
      <c r="C740" s="5" t="s">
        <v>2631</v>
      </c>
      <c r="D740" s="5" t="s">
        <v>2632</v>
      </c>
      <c r="E740" s="5" t="s">
        <v>4494</v>
      </c>
      <c r="G740" s="5" t="s">
        <v>39</v>
      </c>
      <c r="H740" s="5" t="s">
        <v>2633</v>
      </c>
      <c r="I740" s="5" t="s">
        <v>1451</v>
      </c>
      <c r="J740" s="5" t="s">
        <v>1372</v>
      </c>
      <c r="K740" s="4">
        <v>42226</v>
      </c>
      <c r="L740" s="4">
        <v>42226</v>
      </c>
      <c r="M740" s="9">
        <f t="shared" si="99"/>
        <v>9</v>
      </c>
      <c r="N740" s="4" t="str">
        <f t="shared" si="101"/>
        <v>] 8 ; 10 ]</v>
      </c>
      <c r="O740" s="5" t="s">
        <v>3782</v>
      </c>
      <c r="P740" s="5" t="s">
        <v>3782</v>
      </c>
      <c r="Q740" s="5">
        <v>2</v>
      </c>
      <c r="R740" s="5" t="str">
        <f t="shared" si="102"/>
        <v>Management &amp; Expertise</v>
      </c>
      <c r="S740" s="5" t="s">
        <v>3790</v>
      </c>
      <c r="T740" s="4">
        <v>33200</v>
      </c>
      <c r="U740" s="5">
        <f t="shared" si="103"/>
        <v>1990</v>
      </c>
      <c r="V740" s="5" t="s">
        <v>3792</v>
      </c>
      <c r="W740" s="9">
        <f t="shared" si="100"/>
        <v>34</v>
      </c>
      <c r="X740" s="5" t="str">
        <f t="shared" si="104"/>
        <v>[30 - 34 ans]</v>
      </c>
      <c r="Y740" s="5" t="str">
        <f t="shared" si="105"/>
        <v xml:space="preserve"> Mellenials </v>
      </c>
      <c r="Z740" s="9">
        <f t="shared" si="106"/>
        <v>26</v>
      </c>
      <c r="AA740" s="5" t="str">
        <f t="shared" si="107"/>
        <v>RAS</v>
      </c>
      <c r="AB740" s="5" t="s">
        <v>3805</v>
      </c>
      <c r="AC740" s="6" t="s">
        <v>3799</v>
      </c>
      <c r="AE740" s="5" t="s">
        <v>3844</v>
      </c>
      <c r="AF740" s="5" t="s">
        <v>4481</v>
      </c>
      <c r="AG740" s="5" t="s">
        <v>4485</v>
      </c>
      <c r="AH740" s="5" t="s">
        <v>4489</v>
      </c>
      <c r="AI740" s="5" t="s">
        <v>3957</v>
      </c>
      <c r="AJ740" s="5" t="s">
        <v>3958</v>
      </c>
      <c r="AK740" s="5" t="s">
        <v>3959</v>
      </c>
      <c r="AL740" s="5" t="s">
        <v>3858</v>
      </c>
    </row>
    <row r="741" spans="1:38" x14ac:dyDescent="0.3">
      <c r="A741" s="4">
        <v>45716</v>
      </c>
      <c r="B741" s="5" t="s">
        <v>2634</v>
      </c>
      <c r="C741" s="5" t="s">
        <v>2635</v>
      </c>
      <c r="D741" s="5" t="s">
        <v>2636</v>
      </c>
      <c r="E741" s="5" t="s">
        <v>4494</v>
      </c>
      <c r="G741" s="5" t="s">
        <v>83</v>
      </c>
      <c r="H741" s="5" t="s">
        <v>2637</v>
      </c>
      <c r="I741" s="5" t="s">
        <v>1482</v>
      </c>
      <c r="J741" s="5" t="s">
        <v>82</v>
      </c>
      <c r="K741" s="4">
        <v>42268</v>
      </c>
      <c r="L741" s="4">
        <v>42268</v>
      </c>
      <c r="M741" s="9">
        <f t="shared" si="99"/>
        <v>9</v>
      </c>
      <c r="N741" s="4" t="str">
        <f t="shared" si="101"/>
        <v>] 8 ; 10 ]</v>
      </c>
      <c r="O741" s="5" t="s">
        <v>3782</v>
      </c>
      <c r="P741" s="5" t="s">
        <v>3782</v>
      </c>
      <c r="Q741" s="5">
        <v>1</v>
      </c>
      <c r="R741" s="5" t="str">
        <f t="shared" si="102"/>
        <v>Management &amp; Expertise</v>
      </c>
      <c r="S741" s="5" t="s">
        <v>3790</v>
      </c>
      <c r="T741" s="4">
        <v>28643</v>
      </c>
      <c r="U741" s="5">
        <f t="shared" si="103"/>
        <v>1978</v>
      </c>
      <c r="V741" s="5" t="s">
        <v>3793</v>
      </c>
      <c r="W741" s="9">
        <f t="shared" si="100"/>
        <v>46</v>
      </c>
      <c r="X741" s="5" t="str">
        <f t="shared" si="104"/>
        <v>[45 - 49 ans]</v>
      </c>
      <c r="Y741" s="5" t="str">
        <f t="shared" si="105"/>
        <v xml:space="preserve"> Generation X </v>
      </c>
      <c r="Z741" s="9">
        <f t="shared" si="106"/>
        <v>14</v>
      </c>
      <c r="AA741" s="5" t="str">
        <f t="shared" si="107"/>
        <v>RAS</v>
      </c>
      <c r="AB741" s="5" t="s">
        <v>3807</v>
      </c>
      <c r="AC741" s="6" t="s">
        <v>3799</v>
      </c>
      <c r="AE741" s="5" t="s">
        <v>3845</v>
      </c>
      <c r="AF741" s="5" t="s">
        <v>4481</v>
      </c>
      <c r="AG741" s="5" t="s">
        <v>4485</v>
      </c>
      <c r="AH741" s="5" t="s">
        <v>4489</v>
      </c>
      <c r="AI741" s="5" t="s">
        <v>4428</v>
      </c>
      <c r="AJ741" s="5" t="s">
        <v>4429</v>
      </c>
      <c r="AK741" s="5" t="s">
        <v>4430</v>
      </c>
      <c r="AL741" s="5" t="s">
        <v>3858</v>
      </c>
    </row>
    <row r="742" spans="1:38" x14ac:dyDescent="0.3">
      <c r="A742" s="4">
        <v>45716</v>
      </c>
      <c r="B742" s="5" t="s">
        <v>2638</v>
      </c>
      <c r="C742" s="5" t="s">
        <v>2639</v>
      </c>
      <c r="D742" s="5" t="s">
        <v>2640</v>
      </c>
      <c r="E742" s="5" t="s">
        <v>4494</v>
      </c>
      <c r="G742" s="5" t="s">
        <v>1762</v>
      </c>
      <c r="H742" s="5" t="s">
        <v>2641</v>
      </c>
      <c r="I742" s="5" t="s">
        <v>2205</v>
      </c>
      <c r="J742" s="5" t="s">
        <v>1857</v>
      </c>
      <c r="K742" s="4">
        <v>42270</v>
      </c>
      <c r="L742" s="4">
        <v>42270</v>
      </c>
      <c r="M742" s="9">
        <f t="shared" si="99"/>
        <v>9</v>
      </c>
      <c r="N742" s="4" t="str">
        <f t="shared" si="101"/>
        <v>] 8 ; 10 ]</v>
      </c>
      <c r="O742" s="5" t="s">
        <v>3782</v>
      </c>
      <c r="P742" s="5" t="s">
        <v>3782</v>
      </c>
      <c r="Q742" s="5">
        <v>1</v>
      </c>
      <c r="R742" s="5" t="str">
        <f t="shared" si="102"/>
        <v>Management &amp; Expertise</v>
      </c>
      <c r="S742" s="5" t="s">
        <v>3790</v>
      </c>
      <c r="T742" s="4">
        <v>32361</v>
      </c>
      <c r="U742" s="5">
        <f t="shared" si="103"/>
        <v>1988</v>
      </c>
      <c r="V742" s="5" t="s">
        <v>3793</v>
      </c>
      <c r="W742" s="9">
        <f t="shared" si="100"/>
        <v>36</v>
      </c>
      <c r="X742" s="5" t="str">
        <f t="shared" si="104"/>
        <v>[35 - 39 ans ]</v>
      </c>
      <c r="Y742" s="5" t="str">
        <f t="shared" si="105"/>
        <v xml:space="preserve"> Mellenials </v>
      </c>
      <c r="Z742" s="9">
        <f t="shared" si="106"/>
        <v>24</v>
      </c>
      <c r="AA742" s="5" t="str">
        <f t="shared" si="107"/>
        <v>RAS</v>
      </c>
      <c r="AB742" s="5" t="s">
        <v>3806</v>
      </c>
      <c r="AC742" s="6" t="s">
        <v>3799</v>
      </c>
      <c r="AE742" s="5" t="s">
        <v>3845</v>
      </c>
      <c r="AF742" s="5" t="s">
        <v>4481</v>
      </c>
      <c r="AG742" s="5" t="s">
        <v>4485</v>
      </c>
      <c r="AH742" s="5" t="s">
        <v>4488</v>
      </c>
      <c r="AI742" s="5" t="s">
        <v>4398</v>
      </c>
      <c r="AJ742" s="5" t="s">
        <v>4399</v>
      </c>
      <c r="AK742" s="5" t="s">
        <v>4392</v>
      </c>
      <c r="AL742" s="5" t="s">
        <v>3854</v>
      </c>
    </row>
    <row r="743" spans="1:38" x14ac:dyDescent="0.3">
      <c r="A743" s="4">
        <v>45716</v>
      </c>
      <c r="B743" s="5" t="s">
        <v>2642</v>
      </c>
      <c r="C743" s="5" t="s">
        <v>2643</v>
      </c>
      <c r="D743" s="5" t="s">
        <v>2644</v>
      </c>
      <c r="E743" s="5" t="s">
        <v>4494</v>
      </c>
      <c r="G743" s="5" t="s">
        <v>554</v>
      </c>
      <c r="H743" s="5" t="s">
        <v>555</v>
      </c>
      <c r="I743" s="5" t="s">
        <v>2412</v>
      </c>
      <c r="J743" s="5" t="s">
        <v>2841</v>
      </c>
      <c r="K743" s="4">
        <v>42278</v>
      </c>
      <c r="L743" s="4">
        <v>40119</v>
      </c>
      <c r="M743" s="9">
        <f t="shared" si="99"/>
        <v>15</v>
      </c>
      <c r="N743" s="4" t="str">
        <f t="shared" si="101"/>
        <v>] 10 ; 15 ]</v>
      </c>
      <c r="O743" s="5" t="s">
        <v>3780</v>
      </c>
      <c r="P743" s="5" t="s">
        <v>3780</v>
      </c>
      <c r="Q743" s="5">
        <v>3</v>
      </c>
      <c r="R743" s="5" t="str">
        <f t="shared" si="102"/>
        <v>Qualification</v>
      </c>
      <c r="S743" s="5" t="s">
        <v>3790</v>
      </c>
      <c r="T743" s="4">
        <v>30703</v>
      </c>
      <c r="U743" s="5">
        <f t="shared" si="103"/>
        <v>1984</v>
      </c>
      <c r="V743" s="5" t="s">
        <v>3793</v>
      </c>
      <c r="W743" s="9">
        <f t="shared" si="100"/>
        <v>41</v>
      </c>
      <c r="X743" s="5" t="str">
        <f t="shared" si="104"/>
        <v>[40 - 44 ans]</v>
      </c>
      <c r="Y743" s="5" t="str">
        <f t="shared" si="105"/>
        <v xml:space="preserve"> Mellenials </v>
      </c>
      <c r="Z743" s="9">
        <f t="shared" si="106"/>
        <v>19</v>
      </c>
      <c r="AA743" s="5" t="str">
        <f t="shared" si="107"/>
        <v>RAS</v>
      </c>
      <c r="AB743" s="5" t="s">
        <v>3806</v>
      </c>
      <c r="AC743" s="6" t="s">
        <v>3799</v>
      </c>
      <c r="AE743" s="5" t="s">
        <v>3844</v>
      </c>
      <c r="AF743" s="5" t="s">
        <v>4482</v>
      </c>
      <c r="AG743" s="5" t="s">
        <v>4485</v>
      </c>
      <c r="AH743" s="5" t="s">
        <v>4487</v>
      </c>
      <c r="AI743" s="5" t="s">
        <v>4119</v>
      </c>
      <c r="AJ743" s="5" t="s">
        <v>4120</v>
      </c>
      <c r="AK743" s="5" t="s">
        <v>4121</v>
      </c>
      <c r="AL743" s="5" t="s">
        <v>3858</v>
      </c>
    </row>
    <row r="744" spans="1:38" x14ac:dyDescent="0.3">
      <c r="A744" s="4">
        <v>45716</v>
      </c>
      <c r="B744" s="5" t="s">
        <v>2645</v>
      </c>
      <c r="C744" s="5" t="s">
        <v>2646</v>
      </c>
      <c r="D744" s="5" t="s">
        <v>2647</v>
      </c>
      <c r="E744" s="5" t="s">
        <v>4494</v>
      </c>
      <c r="G744" s="5" t="s">
        <v>83</v>
      </c>
      <c r="H744" s="5" t="s">
        <v>315</v>
      </c>
      <c r="I744" s="5" t="s">
        <v>82</v>
      </c>
      <c r="J744" s="5" t="s">
        <v>2841</v>
      </c>
      <c r="K744" s="4">
        <v>42331</v>
      </c>
      <c r="L744" s="4">
        <v>42331</v>
      </c>
      <c r="M744" s="9">
        <f t="shared" si="99"/>
        <v>9</v>
      </c>
      <c r="N744" s="4" t="str">
        <f t="shared" si="101"/>
        <v>] 8 ; 10 ]</v>
      </c>
      <c r="O744" s="5" t="s">
        <v>3786</v>
      </c>
      <c r="P744" s="5" t="s">
        <v>3788</v>
      </c>
      <c r="Q744" s="5">
        <v>3</v>
      </c>
      <c r="R744" s="5" t="str">
        <f t="shared" si="102"/>
        <v>Specialisation</v>
      </c>
      <c r="S744" s="5" t="s">
        <v>3790</v>
      </c>
      <c r="T744" s="4">
        <v>30770</v>
      </c>
      <c r="U744" s="5">
        <f t="shared" si="103"/>
        <v>1984</v>
      </c>
      <c r="V744" s="5" t="s">
        <v>3792</v>
      </c>
      <c r="W744" s="9">
        <f t="shared" si="100"/>
        <v>40</v>
      </c>
      <c r="X744" s="5" t="str">
        <f t="shared" si="104"/>
        <v>[40 - 44 ans]</v>
      </c>
      <c r="Y744" s="5" t="str">
        <f t="shared" si="105"/>
        <v xml:space="preserve"> Mellenials </v>
      </c>
      <c r="Z744" s="9">
        <f t="shared" si="106"/>
        <v>20</v>
      </c>
      <c r="AA744" s="5" t="str">
        <f t="shared" si="107"/>
        <v>RAS</v>
      </c>
      <c r="AB744" s="5" t="s">
        <v>3806</v>
      </c>
      <c r="AC744" s="6" t="s">
        <v>3799</v>
      </c>
      <c r="AE744" s="5" t="s">
        <v>3844</v>
      </c>
      <c r="AF744" s="5" t="s">
        <v>4482</v>
      </c>
      <c r="AG744" s="5" t="s">
        <v>4485</v>
      </c>
      <c r="AH744" s="5" t="s">
        <v>4487</v>
      </c>
      <c r="AI744" s="5" t="s">
        <v>3892</v>
      </c>
      <c r="AJ744" s="5" t="s">
        <v>3893</v>
      </c>
      <c r="AK744" s="5" t="s">
        <v>3894</v>
      </c>
      <c r="AL744" s="5" t="s">
        <v>3858</v>
      </c>
    </row>
    <row r="745" spans="1:38" x14ac:dyDescent="0.3">
      <c r="A745" s="4">
        <v>45716</v>
      </c>
      <c r="B745" s="5" t="s">
        <v>2648</v>
      </c>
      <c r="C745" s="5" t="s">
        <v>2649</v>
      </c>
      <c r="D745" s="5" t="s">
        <v>2650</v>
      </c>
      <c r="E745" s="5" t="s">
        <v>4494</v>
      </c>
      <c r="G745" s="5" t="s">
        <v>88</v>
      </c>
      <c r="H745" s="5" t="s">
        <v>456</v>
      </c>
      <c r="I745" s="5" t="s">
        <v>741</v>
      </c>
      <c r="J745" s="5" t="s">
        <v>883</v>
      </c>
      <c r="K745" s="4">
        <v>42370</v>
      </c>
      <c r="L745" s="4">
        <v>42370</v>
      </c>
      <c r="M745" s="9">
        <f t="shared" si="99"/>
        <v>9</v>
      </c>
      <c r="N745" s="4" t="str">
        <f t="shared" si="101"/>
        <v>] 8 ; 10 ]</v>
      </c>
      <c r="O745" s="5" t="s">
        <v>3780</v>
      </c>
      <c r="P745" s="5" t="s">
        <v>3780</v>
      </c>
      <c r="Q745" s="5">
        <v>1</v>
      </c>
      <c r="R745" s="5" t="str">
        <f t="shared" si="102"/>
        <v>Qualification</v>
      </c>
      <c r="S745" s="5" t="s">
        <v>3789</v>
      </c>
      <c r="T745" s="4">
        <v>30932</v>
      </c>
      <c r="U745" s="5">
        <f t="shared" si="103"/>
        <v>1984</v>
      </c>
      <c r="V745" s="5" t="s">
        <v>3793</v>
      </c>
      <c r="W745" s="9">
        <f t="shared" si="100"/>
        <v>40</v>
      </c>
      <c r="X745" s="5" t="str">
        <f t="shared" si="104"/>
        <v>[40 - 44 ans]</v>
      </c>
      <c r="Y745" s="5" t="str">
        <f t="shared" si="105"/>
        <v xml:space="preserve"> Mellenials </v>
      </c>
      <c r="Z745" s="9">
        <f t="shared" si="106"/>
        <v>20</v>
      </c>
      <c r="AA745" s="5" t="str">
        <f t="shared" si="107"/>
        <v>RAS</v>
      </c>
      <c r="AB745" s="5" t="s">
        <v>3825</v>
      </c>
      <c r="AC745" s="6" t="s">
        <v>3799</v>
      </c>
      <c r="AE745" s="5" t="s">
        <v>3844</v>
      </c>
      <c r="AF745" s="5" t="s">
        <v>4482</v>
      </c>
      <c r="AG745" s="5" t="s">
        <v>4485</v>
      </c>
      <c r="AH745" s="5" t="s">
        <v>4488</v>
      </c>
      <c r="AI745" s="5" t="s">
        <v>4179</v>
      </c>
      <c r="AJ745" s="5" t="s">
        <v>4180</v>
      </c>
      <c r="AK745" s="5" t="s">
        <v>4181</v>
      </c>
      <c r="AL745" s="5" t="s">
        <v>3858</v>
      </c>
    </row>
    <row r="746" spans="1:38" x14ac:dyDescent="0.3">
      <c r="A746" s="4">
        <v>45716</v>
      </c>
      <c r="B746" s="5" t="s">
        <v>2651</v>
      </c>
      <c r="C746" s="5" t="s">
        <v>2652</v>
      </c>
      <c r="D746" s="5" t="s">
        <v>2653</v>
      </c>
      <c r="E746" s="5" t="s">
        <v>4494</v>
      </c>
      <c r="G746" s="5" t="s">
        <v>137</v>
      </c>
      <c r="H746" s="5" t="s">
        <v>2654</v>
      </c>
      <c r="I746" s="5" t="s">
        <v>871</v>
      </c>
      <c r="J746" s="5" t="s">
        <v>1346</v>
      </c>
      <c r="K746" s="4">
        <v>42370</v>
      </c>
      <c r="L746" s="4">
        <v>42370</v>
      </c>
      <c r="M746" s="9">
        <f t="shared" si="99"/>
        <v>9</v>
      </c>
      <c r="N746" s="4" t="str">
        <f t="shared" si="101"/>
        <v>] 8 ; 10 ]</v>
      </c>
      <c r="O746" s="5" t="s">
        <v>3787</v>
      </c>
      <c r="P746" s="5" t="s">
        <v>3788</v>
      </c>
      <c r="Q746" s="5">
        <v>1</v>
      </c>
      <c r="R746" s="5" t="str">
        <f t="shared" si="102"/>
        <v>Qualification</v>
      </c>
      <c r="S746" s="5" t="s">
        <v>3790</v>
      </c>
      <c r="T746" s="4">
        <v>32094</v>
      </c>
      <c r="U746" s="5">
        <f t="shared" si="103"/>
        <v>1987</v>
      </c>
      <c r="V746" s="5" t="s">
        <v>3792</v>
      </c>
      <c r="W746" s="9">
        <f t="shared" si="100"/>
        <v>37</v>
      </c>
      <c r="X746" s="5" t="str">
        <f t="shared" si="104"/>
        <v>[35 - 39 ans ]</v>
      </c>
      <c r="Y746" s="5" t="str">
        <f t="shared" si="105"/>
        <v xml:space="preserve"> Mellenials </v>
      </c>
      <c r="Z746" s="9">
        <f t="shared" si="106"/>
        <v>23</v>
      </c>
      <c r="AA746" s="5" t="str">
        <f t="shared" si="107"/>
        <v>RAS</v>
      </c>
      <c r="AB746" s="5" t="s">
        <v>3806</v>
      </c>
      <c r="AC746" s="6" t="s">
        <v>3799</v>
      </c>
      <c r="AE746" s="5" t="s">
        <v>3844</v>
      </c>
      <c r="AF746" s="5" t="s">
        <v>4482</v>
      </c>
      <c r="AG746" s="5" t="s">
        <v>4485</v>
      </c>
      <c r="AH746" s="5" t="s">
        <v>4487</v>
      </c>
      <c r="AI746" s="5" t="s">
        <v>4207</v>
      </c>
      <c r="AJ746" s="5" t="s">
        <v>4431</v>
      </c>
      <c r="AK746" s="5" t="s">
        <v>4208</v>
      </c>
      <c r="AL746" s="5" t="s">
        <v>3858</v>
      </c>
    </row>
    <row r="747" spans="1:38" x14ac:dyDescent="0.3">
      <c r="A747" s="4">
        <v>45716</v>
      </c>
      <c r="B747" s="5" t="s">
        <v>2655</v>
      </c>
      <c r="C747" s="5" t="s">
        <v>2656</v>
      </c>
      <c r="D747" s="5" t="s">
        <v>2657</v>
      </c>
      <c r="E747" s="5" t="s">
        <v>4494</v>
      </c>
      <c r="G747" s="5" t="s">
        <v>88</v>
      </c>
      <c r="H747" s="5" t="s">
        <v>456</v>
      </c>
      <c r="I747" s="5" t="s">
        <v>2079</v>
      </c>
      <c r="J747" s="5" t="s">
        <v>883</v>
      </c>
      <c r="K747" s="4">
        <v>42370</v>
      </c>
      <c r="L747" s="4">
        <v>42370</v>
      </c>
      <c r="M747" s="9">
        <f t="shared" si="99"/>
        <v>9</v>
      </c>
      <c r="N747" s="4" t="str">
        <f t="shared" si="101"/>
        <v>] 8 ; 10 ]</v>
      </c>
      <c r="O747" s="5" t="s">
        <v>3780</v>
      </c>
      <c r="P747" s="5" t="s">
        <v>3780</v>
      </c>
      <c r="Q747" s="5">
        <v>3</v>
      </c>
      <c r="R747" s="5" t="str">
        <f t="shared" si="102"/>
        <v>Qualification</v>
      </c>
      <c r="S747" s="5" t="s">
        <v>3790</v>
      </c>
      <c r="T747" s="4">
        <v>32197</v>
      </c>
      <c r="U747" s="5">
        <f t="shared" si="103"/>
        <v>1988</v>
      </c>
      <c r="V747" s="5" t="s">
        <v>3793</v>
      </c>
      <c r="W747" s="9">
        <f t="shared" si="100"/>
        <v>37</v>
      </c>
      <c r="X747" s="5" t="str">
        <f t="shared" si="104"/>
        <v>[35 - 39 ans ]</v>
      </c>
      <c r="Y747" s="5" t="str">
        <f t="shared" si="105"/>
        <v xml:space="preserve"> Mellenials </v>
      </c>
      <c r="Z747" s="9">
        <f t="shared" si="106"/>
        <v>23</v>
      </c>
      <c r="AA747" s="5" t="str">
        <f t="shared" si="107"/>
        <v>RAS</v>
      </c>
      <c r="AB747" s="5" t="s">
        <v>3824</v>
      </c>
      <c r="AC747" s="6" t="s">
        <v>3799</v>
      </c>
      <c r="AE747" s="5" t="s">
        <v>3844</v>
      </c>
      <c r="AF747" s="5" t="s">
        <v>4482</v>
      </c>
      <c r="AG747" s="5" t="s">
        <v>4485</v>
      </c>
      <c r="AH747" s="5" t="s">
        <v>4488</v>
      </c>
      <c r="AI747" s="5" t="s">
        <v>4176</v>
      </c>
      <c r="AJ747" s="5" t="s">
        <v>4177</v>
      </c>
      <c r="AK747" s="5" t="s">
        <v>4178</v>
      </c>
      <c r="AL747" s="5" t="s">
        <v>3858</v>
      </c>
    </row>
    <row r="748" spans="1:38" x14ac:dyDescent="0.3">
      <c r="A748" s="4">
        <v>45716</v>
      </c>
      <c r="B748" s="5" t="s">
        <v>2658</v>
      </c>
      <c r="C748" s="5" t="s">
        <v>2659</v>
      </c>
      <c r="D748" s="5" t="s">
        <v>2660</v>
      </c>
      <c r="E748" s="5" t="s">
        <v>4494</v>
      </c>
      <c r="G748" s="5" t="s">
        <v>88</v>
      </c>
      <c r="H748" s="5" t="s">
        <v>456</v>
      </c>
      <c r="I748" s="5" t="s">
        <v>2113</v>
      </c>
      <c r="J748" s="5" t="s">
        <v>883</v>
      </c>
      <c r="K748" s="4">
        <v>42370</v>
      </c>
      <c r="L748" s="4">
        <v>42370</v>
      </c>
      <c r="M748" s="9">
        <f t="shared" si="99"/>
        <v>9</v>
      </c>
      <c r="N748" s="4" t="str">
        <f t="shared" si="101"/>
        <v>] 8 ; 10 ]</v>
      </c>
      <c r="O748" s="5" t="s">
        <v>3780</v>
      </c>
      <c r="P748" s="5" t="s">
        <v>3780</v>
      </c>
      <c r="Q748" s="5">
        <v>3</v>
      </c>
      <c r="R748" s="5" t="str">
        <f t="shared" si="102"/>
        <v>Qualification</v>
      </c>
      <c r="S748" s="5" t="s">
        <v>3789</v>
      </c>
      <c r="T748" s="4">
        <v>31510</v>
      </c>
      <c r="U748" s="5">
        <f t="shared" si="103"/>
        <v>1986</v>
      </c>
      <c r="V748" s="5" t="s">
        <v>3792</v>
      </c>
      <c r="W748" s="9">
        <f t="shared" si="100"/>
        <v>38</v>
      </c>
      <c r="X748" s="5" t="str">
        <f t="shared" si="104"/>
        <v>[35 - 39 ans ]</v>
      </c>
      <c r="Y748" s="5" t="str">
        <f t="shared" si="105"/>
        <v xml:space="preserve"> Mellenials </v>
      </c>
      <c r="Z748" s="9">
        <f t="shared" si="106"/>
        <v>22</v>
      </c>
      <c r="AA748" s="5" t="str">
        <f t="shared" si="107"/>
        <v>RAS</v>
      </c>
      <c r="AB748" s="5" t="s">
        <v>3831</v>
      </c>
      <c r="AC748" s="6" t="s">
        <v>3800</v>
      </c>
      <c r="AE748" s="5" t="s">
        <v>3844</v>
      </c>
      <c r="AF748" s="5" t="s">
        <v>4482</v>
      </c>
      <c r="AG748" s="5" t="s">
        <v>4485</v>
      </c>
      <c r="AH748" s="5" t="s">
        <v>4488</v>
      </c>
      <c r="AI748" s="5" t="s">
        <v>4318</v>
      </c>
      <c r="AJ748" s="5" t="s">
        <v>3840</v>
      </c>
      <c r="AK748" s="5" t="s">
        <v>4319</v>
      </c>
      <c r="AL748" s="5" t="s">
        <v>3858</v>
      </c>
    </row>
    <row r="749" spans="1:38" s="15" customFormat="1" x14ac:dyDescent="0.3">
      <c r="A749" s="11">
        <v>45716</v>
      </c>
      <c r="B749" s="12" t="s">
        <v>2661</v>
      </c>
      <c r="C749" s="12" t="s">
        <v>2662</v>
      </c>
      <c r="D749" s="12" t="s">
        <v>2663</v>
      </c>
      <c r="E749" s="12" t="s">
        <v>4494</v>
      </c>
      <c r="F749" s="12"/>
      <c r="G749" s="12" t="s">
        <v>88</v>
      </c>
      <c r="H749" s="12" t="s">
        <v>1080</v>
      </c>
      <c r="I749" s="12" t="s">
        <v>1518</v>
      </c>
      <c r="J749" s="12" t="s">
        <v>3762</v>
      </c>
      <c r="K749" s="11">
        <v>42370</v>
      </c>
      <c r="L749" s="11">
        <v>42370</v>
      </c>
      <c r="M749" s="13">
        <f t="shared" si="99"/>
        <v>9</v>
      </c>
      <c r="N749" s="11" t="str">
        <f t="shared" si="101"/>
        <v>] 8 ; 10 ]</v>
      </c>
      <c r="O749" s="12" t="s">
        <v>3788</v>
      </c>
      <c r="P749" s="12" t="s">
        <v>3788</v>
      </c>
      <c r="Q749" s="12">
        <v>1</v>
      </c>
      <c r="R749" s="5" t="str">
        <f t="shared" si="102"/>
        <v>Qualification</v>
      </c>
      <c r="S749" s="12" t="s">
        <v>3789</v>
      </c>
      <c r="T749" s="11">
        <v>30862</v>
      </c>
      <c r="U749" s="12">
        <f t="shared" si="103"/>
        <v>1984</v>
      </c>
      <c r="V749" s="12" t="s">
        <v>3793</v>
      </c>
      <c r="W749" s="13">
        <f t="shared" si="100"/>
        <v>40</v>
      </c>
      <c r="X749" s="12" t="str">
        <f t="shared" si="104"/>
        <v>[40 - 44 ans]</v>
      </c>
      <c r="Y749" s="12" t="str">
        <f t="shared" si="105"/>
        <v xml:space="preserve"> Mellenials </v>
      </c>
      <c r="Z749" s="13">
        <f t="shared" si="106"/>
        <v>20</v>
      </c>
      <c r="AA749" s="12" t="str">
        <f t="shared" si="107"/>
        <v>RAS</v>
      </c>
      <c r="AB749" s="12" t="s">
        <v>3808</v>
      </c>
      <c r="AC749" s="14" t="s">
        <v>3799</v>
      </c>
      <c r="AD749" s="12"/>
      <c r="AE749" s="12" t="s">
        <v>3844</v>
      </c>
      <c r="AF749" s="12" t="s">
        <v>4482</v>
      </c>
      <c r="AG749" s="12" t="s">
        <v>4485</v>
      </c>
      <c r="AH749" s="12" t="s">
        <v>4488</v>
      </c>
      <c r="AI749" s="12" t="s">
        <v>4243</v>
      </c>
      <c r="AJ749" s="12" t="s">
        <v>4244</v>
      </c>
      <c r="AK749" s="12" t="s">
        <v>4090</v>
      </c>
      <c r="AL749" s="12" t="s">
        <v>3858</v>
      </c>
    </row>
    <row r="750" spans="1:38" x14ac:dyDescent="0.3">
      <c r="A750" s="4">
        <v>45716</v>
      </c>
      <c r="B750" s="5" t="s">
        <v>2664</v>
      </c>
      <c r="C750" s="5" t="s">
        <v>2665</v>
      </c>
      <c r="D750" s="5" t="s">
        <v>2666</v>
      </c>
      <c r="E750" s="5" t="s">
        <v>4494</v>
      </c>
      <c r="G750" s="5" t="s">
        <v>78</v>
      </c>
      <c r="H750" s="5" t="s">
        <v>1980</v>
      </c>
      <c r="I750" s="5" t="s">
        <v>2312</v>
      </c>
      <c r="J750" s="5" t="s">
        <v>298</v>
      </c>
      <c r="K750" s="4">
        <v>42370</v>
      </c>
      <c r="L750" s="4">
        <v>42370</v>
      </c>
      <c r="M750" s="9">
        <f t="shared" si="99"/>
        <v>9</v>
      </c>
      <c r="N750" s="4" t="str">
        <f t="shared" si="101"/>
        <v>] 8 ; 10 ]</v>
      </c>
      <c r="O750" s="5" t="s">
        <v>3788</v>
      </c>
      <c r="P750" s="5" t="s">
        <v>3788</v>
      </c>
      <c r="Q750" s="5">
        <v>2</v>
      </c>
      <c r="R750" s="5" t="str">
        <f t="shared" si="102"/>
        <v>Qualification</v>
      </c>
      <c r="S750" s="5" t="s">
        <v>3790</v>
      </c>
      <c r="T750" s="4">
        <v>31678</v>
      </c>
      <c r="U750" s="5">
        <f t="shared" si="103"/>
        <v>1986</v>
      </c>
      <c r="V750" s="5" t="s">
        <v>3793</v>
      </c>
      <c r="W750" s="9">
        <f t="shared" si="100"/>
        <v>38</v>
      </c>
      <c r="X750" s="5" t="str">
        <f t="shared" si="104"/>
        <v>[35 - 39 ans ]</v>
      </c>
      <c r="Y750" s="5" t="str">
        <f t="shared" si="105"/>
        <v xml:space="preserve"> Mellenials </v>
      </c>
      <c r="Z750" s="9">
        <f t="shared" si="106"/>
        <v>22</v>
      </c>
      <c r="AA750" s="5" t="str">
        <f t="shared" si="107"/>
        <v>RAS</v>
      </c>
      <c r="AB750" s="5" t="s">
        <v>3808</v>
      </c>
      <c r="AC750" s="6" t="s">
        <v>3799</v>
      </c>
      <c r="AE750" s="5" t="s">
        <v>3844</v>
      </c>
      <c r="AF750" s="5" t="s">
        <v>4482</v>
      </c>
      <c r="AG750" s="5" t="s">
        <v>4485</v>
      </c>
      <c r="AH750" s="5" t="s">
        <v>4488</v>
      </c>
      <c r="AI750" s="5" t="s">
        <v>4381</v>
      </c>
      <c r="AJ750" s="5" t="s">
        <v>4382</v>
      </c>
      <c r="AK750" s="5" t="s">
        <v>3946</v>
      </c>
      <c r="AL750" s="5" t="s">
        <v>3858</v>
      </c>
    </row>
    <row r="751" spans="1:38" x14ac:dyDescent="0.3">
      <c r="A751" s="4">
        <v>45716</v>
      </c>
      <c r="B751" s="5" t="s">
        <v>2667</v>
      </c>
      <c r="C751" s="5" t="s">
        <v>2668</v>
      </c>
      <c r="D751" s="5" t="s">
        <v>2669</v>
      </c>
      <c r="E751" s="5" t="s">
        <v>4494</v>
      </c>
      <c r="G751" s="5" t="s">
        <v>88</v>
      </c>
      <c r="H751" s="5" t="s">
        <v>456</v>
      </c>
      <c r="I751" s="5" t="s">
        <v>910</v>
      </c>
      <c r="J751" s="5" t="s">
        <v>883</v>
      </c>
      <c r="K751" s="4">
        <v>42370</v>
      </c>
      <c r="L751" s="4">
        <v>42370</v>
      </c>
      <c r="M751" s="9">
        <f t="shared" si="99"/>
        <v>9</v>
      </c>
      <c r="N751" s="4" t="str">
        <f t="shared" si="101"/>
        <v>] 8 ; 10 ]</v>
      </c>
      <c r="O751" s="5" t="s">
        <v>3780</v>
      </c>
      <c r="P751" s="5" t="s">
        <v>3780</v>
      </c>
      <c r="Q751" s="5">
        <v>3</v>
      </c>
      <c r="R751" s="5" t="str">
        <f t="shared" si="102"/>
        <v>Qualification</v>
      </c>
      <c r="S751" s="5" t="s">
        <v>3789</v>
      </c>
      <c r="T751" s="4">
        <v>31766</v>
      </c>
      <c r="U751" s="5">
        <f t="shared" si="103"/>
        <v>1986</v>
      </c>
      <c r="V751" s="5" t="s">
        <v>3793</v>
      </c>
      <c r="W751" s="9">
        <f t="shared" si="100"/>
        <v>38</v>
      </c>
      <c r="X751" s="5" t="str">
        <f t="shared" si="104"/>
        <v>[35 - 39 ans ]</v>
      </c>
      <c r="Y751" s="5" t="str">
        <f t="shared" si="105"/>
        <v xml:space="preserve"> Mellenials </v>
      </c>
      <c r="Z751" s="9">
        <f t="shared" si="106"/>
        <v>22</v>
      </c>
      <c r="AA751" s="5" t="str">
        <f t="shared" si="107"/>
        <v>RAS</v>
      </c>
      <c r="AB751" s="5" t="s">
        <v>3821</v>
      </c>
      <c r="AC751" s="6" t="s">
        <v>3799</v>
      </c>
      <c r="AE751" s="5" t="s">
        <v>3844</v>
      </c>
      <c r="AF751" s="5" t="s">
        <v>4482</v>
      </c>
      <c r="AG751" s="5" t="s">
        <v>4485</v>
      </c>
      <c r="AH751" s="5" t="s">
        <v>4488</v>
      </c>
      <c r="AI751" s="5" t="s">
        <v>4163</v>
      </c>
      <c r="AJ751" s="5" t="s">
        <v>4164</v>
      </c>
      <c r="AK751" s="5" t="s">
        <v>4165</v>
      </c>
      <c r="AL751" s="5" t="s">
        <v>3858</v>
      </c>
    </row>
    <row r="752" spans="1:38" x14ac:dyDescent="0.3">
      <c r="A752" s="4">
        <v>45716</v>
      </c>
      <c r="B752" s="5" t="s">
        <v>2670</v>
      </c>
      <c r="C752" s="5" t="s">
        <v>2671</v>
      </c>
      <c r="D752" s="5" t="s">
        <v>2672</v>
      </c>
      <c r="E752" s="5" t="s">
        <v>4494</v>
      </c>
      <c r="G752" s="5" t="s">
        <v>222</v>
      </c>
      <c r="H752" s="5" t="s">
        <v>315</v>
      </c>
      <c r="I752" s="5" t="s">
        <v>2086</v>
      </c>
      <c r="J752" s="5" t="s">
        <v>2841</v>
      </c>
      <c r="K752" s="4">
        <v>42370</v>
      </c>
      <c r="L752" s="4">
        <v>42370</v>
      </c>
      <c r="M752" s="9">
        <f t="shared" si="99"/>
        <v>9</v>
      </c>
      <c r="N752" s="4" t="str">
        <f t="shared" si="101"/>
        <v>] 8 ; 10 ]</v>
      </c>
      <c r="O752" s="5" t="s">
        <v>3786</v>
      </c>
      <c r="P752" s="5" t="s">
        <v>3788</v>
      </c>
      <c r="Q752" s="5">
        <v>3</v>
      </c>
      <c r="R752" s="5" t="str">
        <f t="shared" si="102"/>
        <v>Specialisation</v>
      </c>
      <c r="S752" s="5" t="s">
        <v>3790</v>
      </c>
      <c r="T752" s="4">
        <v>33497</v>
      </c>
      <c r="U752" s="5">
        <f t="shared" si="103"/>
        <v>1991</v>
      </c>
      <c r="V752" s="5" t="s">
        <v>3792</v>
      </c>
      <c r="W752" s="9">
        <f t="shared" si="100"/>
        <v>33</v>
      </c>
      <c r="X752" s="5" t="str">
        <f t="shared" si="104"/>
        <v>[30 - 34 ans]</v>
      </c>
      <c r="Y752" s="5" t="str">
        <f t="shared" si="105"/>
        <v xml:space="preserve"> Mellenials </v>
      </c>
      <c r="Z752" s="9">
        <f t="shared" si="106"/>
        <v>27</v>
      </c>
      <c r="AA752" s="5" t="str">
        <f t="shared" si="107"/>
        <v>RAS</v>
      </c>
      <c r="AB752" s="5" t="s">
        <v>3806</v>
      </c>
      <c r="AC752" s="6" t="s">
        <v>3799</v>
      </c>
      <c r="AE752" s="5" t="s">
        <v>3844</v>
      </c>
      <c r="AF752" s="5" t="s">
        <v>4482</v>
      </c>
      <c r="AG752" s="5" t="s">
        <v>4485</v>
      </c>
      <c r="AH752" s="5" t="s">
        <v>4487</v>
      </c>
      <c r="AI752" s="5" t="s">
        <v>3965</v>
      </c>
      <c r="AJ752" s="5" t="s">
        <v>3966</v>
      </c>
      <c r="AK752" s="5" t="s">
        <v>3967</v>
      </c>
      <c r="AL752" s="5" t="s">
        <v>3858</v>
      </c>
    </row>
    <row r="753" spans="1:38" x14ac:dyDescent="0.3">
      <c r="A753" s="4">
        <v>45716</v>
      </c>
      <c r="B753" s="5" t="s">
        <v>2673</v>
      </c>
      <c r="C753" s="5" t="s">
        <v>2674</v>
      </c>
      <c r="D753" s="5" t="s">
        <v>2675</v>
      </c>
      <c r="E753" s="5" t="s">
        <v>4494</v>
      </c>
      <c r="G753" s="5" t="s">
        <v>88</v>
      </c>
      <c r="H753" s="5" t="s">
        <v>2676</v>
      </c>
      <c r="I753" s="5" t="s">
        <v>213</v>
      </c>
      <c r="J753" s="5" t="s">
        <v>2739</v>
      </c>
      <c r="K753" s="4">
        <v>42370</v>
      </c>
      <c r="L753" s="4">
        <v>42370</v>
      </c>
      <c r="M753" s="9">
        <f t="shared" si="99"/>
        <v>9</v>
      </c>
      <c r="N753" s="4" t="str">
        <f t="shared" si="101"/>
        <v>] 8 ; 10 ]</v>
      </c>
      <c r="O753" s="5" t="s">
        <v>3780</v>
      </c>
      <c r="P753" s="5" t="s">
        <v>3780</v>
      </c>
      <c r="Q753" s="5">
        <v>3</v>
      </c>
      <c r="R753" s="5" t="str">
        <f t="shared" si="102"/>
        <v>Qualification</v>
      </c>
      <c r="S753" s="5" t="s">
        <v>3790</v>
      </c>
      <c r="T753" s="4">
        <v>31317</v>
      </c>
      <c r="U753" s="5">
        <f t="shared" si="103"/>
        <v>1985</v>
      </c>
      <c r="V753" s="5" t="s">
        <v>3793</v>
      </c>
      <c r="W753" s="9">
        <f t="shared" si="100"/>
        <v>39</v>
      </c>
      <c r="X753" s="5" t="str">
        <f t="shared" si="104"/>
        <v>[35 - 39 ans ]</v>
      </c>
      <c r="Y753" s="5" t="str">
        <f t="shared" si="105"/>
        <v xml:space="preserve"> Mellenials </v>
      </c>
      <c r="Z753" s="9">
        <f t="shared" si="106"/>
        <v>21</v>
      </c>
      <c r="AA753" s="5" t="str">
        <f t="shared" si="107"/>
        <v>RAS</v>
      </c>
      <c r="AB753" s="5" t="s">
        <v>3806</v>
      </c>
      <c r="AC753" s="6" t="s">
        <v>3799</v>
      </c>
      <c r="AE753" s="5" t="s">
        <v>3844</v>
      </c>
      <c r="AF753" s="5" t="s">
        <v>4482</v>
      </c>
      <c r="AG753" s="5" t="s">
        <v>4485</v>
      </c>
      <c r="AH753" s="5" t="s">
        <v>4488</v>
      </c>
      <c r="AI753" s="5" t="s">
        <v>3895</v>
      </c>
      <c r="AJ753" s="5" t="s">
        <v>3896</v>
      </c>
      <c r="AK753" s="5" t="s">
        <v>3897</v>
      </c>
      <c r="AL753" s="5" t="s">
        <v>3858</v>
      </c>
    </row>
    <row r="754" spans="1:38" x14ac:dyDescent="0.3">
      <c r="A754" s="4">
        <v>45716</v>
      </c>
      <c r="B754" s="5" t="s">
        <v>2677</v>
      </c>
      <c r="C754" s="5" t="s">
        <v>2678</v>
      </c>
      <c r="D754" s="5" t="s">
        <v>2679</v>
      </c>
      <c r="E754" s="5" t="s">
        <v>4494</v>
      </c>
      <c r="G754" s="5" t="s">
        <v>78</v>
      </c>
      <c r="H754" s="5" t="s">
        <v>543</v>
      </c>
      <c r="I754" s="5" t="s">
        <v>1069</v>
      </c>
      <c r="J754" s="5" t="s">
        <v>298</v>
      </c>
      <c r="K754" s="4">
        <v>42370</v>
      </c>
      <c r="L754" s="4">
        <v>42370</v>
      </c>
      <c r="M754" s="9">
        <f t="shared" si="99"/>
        <v>9</v>
      </c>
      <c r="N754" s="4" t="str">
        <f t="shared" si="101"/>
        <v>] 8 ; 10 ]</v>
      </c>
      <c r="O754" s="5" t="s">
        <v>3788</v>
      </c>
      <c r="P754" s="5" t="s">
        <v>3788</v>
      </c>
      <c r="Q754" s="5">
        <v>2</v>
      </c>
      <c r="R754" s="5" t="str">
        <f t="shared" si="102"/>
        <v>Qualification</v>
      </c>
      <c r="S754" s="5" t="s">
        <v>3789</v>
      </c>
      <c r="T754" s="4">
        <v>30884</v>
      </c>
      <c r="U754" s="5">
        <f t="shared" si="103"/>
        <v>1984</v>
      </c>
      <c r="V754" s="5" t="s">
        <v>3793</v>
      </c>
      <c r="W754" s="9">
        <f t="shared" si="100"/>
        <v>40</v>
      </c>
      <c r="X754" s="5" t="str">
        <f t="shared" si="104"/>
        <v>[40 - 44 ans]</v>
      </c>
      <c r="Y754" s="5" t="str">
        <f t="shared" si="105"/>
        <v xml:space="preserve"> Mellenials </v>
      </c>
      <c r="Z754" s="9">
        <f t="shared" si="106"/>
        <v>20</v>
      </c>
      <c r="AA754" s="5" t="str">
        <f t="shared" si="107"/>
        <v>RAS</v>
      </c>
      <c r="AB754" s="5" t="s">
        <v>3808</v>
      </c>
      <c r="AC754" s="6" t="s">
        <v>3799</v>
      </c>
      <c r="AE754" s="5" t="s">
        <v>3844</v>
      </c>
      <c r="AF754" s="5" t="s">
        <v>4482</v>
      </c>
      <c r="AG754" s="5" t="s">
        <v>4485</v>
      </c>
      <c r="AH754" s="5" t="s">
        <v>4488</v>
      </c>
      <c r="AI754" s="5" t="s">
        <v>4240</v>
      </c>
      <c r="AJ754" s="5" t="s">
        <v>4264</v>
      </c>
      <c r="AK754" s="5" t="s">
        <v>4090</v>
      </c>
      <c r="AL754" s="5" t="s">
        <v>3858</v>
      </c>
    </row>
    <row r="755" spans="1:38" x14ac:dyDescent="0.3">
      <c r="A755" s="4">
        <v>45716</v>
      </c>
      <c r="B755" s="5" t="s">
        <v>2680</v>
      </c>
      <c r="C755" s="5" t="s">
        <v>2681</v>
      </c>
      <c r="D755" s="5" t="s">
        <v>2682</v>
      </c>
      <c r="E755" s="5" t="s">
        <v>4494</v>
      </c>
      <c r="G755" s="5" t="s">
        <v>29</v>
      </c>
      <c r="H755" s="5" t="s">
        <v>1685</v>
      </c>
      <c r="I755" s="5" t="s">
        <v>408</v>
      </c>
      <c r="J755" s="5" t="s">
        <v>974</v>
      </c>
      <c r="K755" s="4">
        <v>42370</v>
      </c>
      <c r="L755" s="4">
        <v>42370</v>
      </c>
      <c r="M755" s="9">
        <f t="shared" si="99"/>
        <v>9</v>
      </c>
      <c r="N755" s="4" t="str">
        <f t="shared" si="101"/>
        <v>] 8 ; 10 ]</v>
      </c>
      <c r="O755" s="5" t="s">
        <v>3786</v>
      </c>
      <c r="P755" s="5" t="s">
        <v>3783</v>
      </c>
      <c r="Q755" s="5">
        <v>1</v>
      </c>
      <c r="R755" s="5" t="str">
        <f t="shared" si="102"/>
        <v>Specialisation</v>
      </c>
      <c r="S755" s="5" t="s">
        <v>3789</v>
      </c>
      <c r="T755" s="4">
        <v>32159</v>
      </c>
      <c r="U755" s="5">
        <f t="shared" si="103"/>
        <v>1988</v>
      </c>
      <c r="V755" s="5" t="s">
        <v>3793</v>
      </c>
      <c r="W755" s="9">
        <f t="shared" si="100"/>
        <v>37</v>
      </c>
      <c r="X755" s="5" t="str">
        <f t="shared" si="104"/>
        <v>[35 - 39 ans ]</v>
      </c>
      <c r="Y755" s="5" t="str">
        <f t="shared" si="105"/>
        <v xml:space="preserve"> Mellenials </v>
      </c>
      <c r="Z755" s="9">
        <f t="shared" si="106"/>
        <v>23</v>
      </c>
      <c r="AA755" s="5" t="str">
        <f t="shared" si="107"/>
        <v>RAS</v>
      </c>
      <c r="AB755" s="5" t="s">
        <v>3806</v>
      </c>
      <c r="AC755" s="6" t="s">
        <v>3799</v>
      </c>
      <c r="AE755" s="5" t="s">
        <v>3844</v>
      </c>
      <c r="AF755" s="5" t="s">
        <v>4482</v>
      </c>
      <c r="AG755" s="5" t="s">
        <v>4485</v>
      </c>
      <c r="AH755" s="5" t="s">
        <v>4487</v>
      </c>
      <c r="AI755" s="5" t="s">
        <v>4051</v>
      </c>
      <c r="AJ755" s="5" t="s">
        <v>4052</v>
      </c>
      <c r="AK755" s="5" t="s">
        <v>4053</v>
      </c>
      <c r="AL755" s="5" t="s">
        <v>3858</v>
      </c>
    </row>
    <row r="756" spans="1:38" x14ac:dyDescent="0.3">
      <c r="A756" s="4">
        <v>45716</v>
      </c>
      <c r="B756" s="5" t="s">
        <v>2683</v>
      </c>
      <c r="C756" s="5" t="s">
        <v>2684</v>
      </c>
      <c r="D756" s="5" t="s">
        <v>2685</v>
      </c>
      <c r="E756" s="5" t="s">
        <v>4494</v>
      </c>
      <c r="G756" s="5" t="s">
        <v>88</v>
      </c>
      <c r="H756" s="5" t="s">
        <v>456</v>
      </c>
      <c r="I756" s="5" t="s">
        <v>910</v>
      </c>
      <c r="J756" s="5" t="s">
        <v>883</v>
      </c>
      <c r="K756" s="4">
        <v>42370</v>
      </c>
      <c r="L756" s="4">
        <v>42370</v>
      </c>
      <c r="M756" s="9">
        <f t="shared" si="99"/>
        <v>9</v>
      </c>
      <c r="N756" s="4" t="str">
        <f t="shared" si="101"/>
        <v>] 8 ; 10 ]</v>
      </c>
      <c r="O756" s="5" t="s">
        <v>3780</v>
      </c>
      <c r="P756" s="5" t="s">
        <v>3780</v>
      </c>
      <c r="Q756" s="5">
        <v>3</v>
      </c>
      <c r="R756" s="5" t="str">
        <f t="shared" si="102"/>
        <v>Qualification</v>
      </c>
      <c r="S756" s="5" t="s">
        <v>3789</v>
      </c>
      <c r="T756" s="4">
        <v>30493</v>
      </c>
      <c r="U756" s="5">
        <f t="shared" si="103"/>
        <v>1983</v>
      </c>
      <c r="V756" s="5" t="s">
        <v>3792</v>
      </c>
      <c r="W756" s="9">
        <f t="shared" si="100"/>
        <v>41</v>
      </c>
      <c r="X756" s="5" t="str">
        <f t="shared" si="104"/>
        <v>[40 - 44 ans]</v>
      </c>
      <c r="Y756" s="5" t="str">
        <f t="shared" si="105"/>
        <v xml:space="preserve"> Mellenials </v>
      </c>
      <c r="Z756" s="9">
        <f t="shared" si="106"/>
        <v>19</v>
      </c>
      <c r="AA756" s="5" t="str">
        <f t="shared" si="107"/>
        <v>RAS</v>
      </c>
      <c r="AB756" s="5" t="s">
        <v>3815</v>
      </c>
      <c r="AC756" s="6" t="s">
        <v>3799</v>
      </c>
      <c r="AE756" s="5" t="s">
        <v>3844</v>
      </c>
      <c r="AF756" s="5" t="s">
        <v>4482</v>
      </c>
      <c r="AG756" s="5" t="s">
        <v>4485</v>
      </c>
      <c r="AH756" s="5" t="s">
        <v>4488</v>
      </c>
      <c r="AI756" s="5" t="s">
        <v>4152</v>
      </c>
      <c r="AJ756" s="5" t="s">
        <v>4153</v>
      </c>
      <c r="AK756" s="5" t="s">
        <v>4154</v>
      </c>
      <c r="AL756" s="5" t="s">
        <v>3858</v>
      </c>
    </row>
    <row r="757" spans="1:38" x14ac:dyDescent="0.3">
      <c r="A757" s="4">
        <v>45716</v>
      </c>
      <c r="B757" s="5" t="s">
        <v>2686</v>
      </c>
      <c r="C757" s="5" t="s">
        <v>2687</v>
      </c>
      <c r="D757" s="5" t="s">
        <v>2688</v>
      </c>
      <c r="E757" s="5" t="s">
        <v>4494</v>
      </c>
      <c r="G757" s="5" t="s">
        <v>78</v>
      </c>
      <c r="H757" s="5" t="s">
        <v>2689</v>
      </c>
      <c r="I757" s="5" t="s">
        <v>2288</v>
      </c>
      <c r="J757" s="5" t="s">
        <v>1823</v>
      </c>
      <c r="K757" s="4">
        <v>42370</v>
      </c>
      <c r="L757" s="4">
        <v>42370</v>
      </c>
      <c r="M757" s="9">
        <f t="shared" si="99"/>
        <v>9</v>
      </c>
      <c r="N757" s="4" t="str">
        <f t="shared" si="101"/>
        <v>] 8 ; 10 ]</v>
      </c>
      <c r="O757" s="5" t="s">
        <v>3786</v>
      </c>
      <c r="P757" s="5" t="s">
        <v>3786</v>
      </c>
      <c r="Q757" s="5">
        <v>1</v>
      </c>
      <c r="R757" s="5" t="str">
        <f t="shared" si="102"/>
        <v>Specialisation</v>
      </c>
      <c r="S757" s="5" t="s">
        <v>3789</v>
      </c>
      <c r="T757" s="4">
        <v>29125</v>
      </c>
      <c r="U757" s="5">
        <f t="shared" si="103"/>
        <v>1979</v>
      </c>
      <c r="V757" s="5" t="s">
        <v>3793</v>
      </c>
      <c r="W757" s="9">
        <f t="shared" si="100"/>
        <v>45</v>
      </c>
      <c r="X757" s="5" t="str">
        <f t="shared" si="104"/>
        <v>[45 - 49 ans]</v>
      </c>
      <c r="Y757" s="5" t="str">
        <f t="shared" si="105"/>
        <v xml:space="preserve"> Generation X </v>
      </c>
      <c r="Z757" s="9">
        <f t="shared" si="106"/>
        <v>15</v>
      </c>
      <c r="AA757" s="5" t="str">
        <f t="shared" si="107"/>
        <v>RAS</v>
      </c>
      <c r="AB757" s="5" t="s">
        <v>3808</v>
      </c>
      <c r="AC757" s="6" t="s">
        <v>3799</v>
      </c>
      <c r="AE757" s="5" t="s">
        <v>3844</v>
      </c>
      <c r="AF757" s="5" t="s">
        <v>4482</v>
      </c>
      <c r="AG757" s="5" t="s">
        <v>4485</v>
      </c>
      <c r="AH757" s="5" t="s">
        <v>4488</v>
      </c>
      <c r="AI757" s="5" t="s">
        <v>4271</v>
      </c>
      <c r="AJ757" s="5" t="s">
        <v>4272</v>
      </c>
      <c r="AK757" s="5" t="s">
        <v>3946</v>
      </c>
      <c r="AL757" s="5" t="s">
        <v>3858</v>
      </c>
    </row>
    <row r="758" spans="1:38" x14ac:dyDescent="0.3">
      <c r="A758" s="4">
        <v>45716</v>
      </c>
      <c r="B758" s="5" t="s">
        <v>2690</v>
      </c>
      <c r="C758" s="5" t="s">
        <v>2691</v>
      </c>
      <c r="D758" s="5" t="s">
        <v>2692</v>
      </c>
      <c r="E758" s="5" t="s">
        <v>4494</v>
      </c>
      <c r="G758" s="5" t="s">
        <v>78</v>
      </c>
      <c r="H758" s="5" t="s">
        <v>2693</v>
      </c>
      <c r="I758" s="5" t="s">
        <v>2288</v>
      </c>
      <c r="J758" s="5" t="s">
        <v>1823</v>
      </c>
      <c r="K758" s="4">
        <v>42370</v>
      </c>
      <c r="L758" s="4">
        <v>42370</v>
      </c>
      <c r="M758" s="9">
        <f t="shared" si="99"/>
        <v>9</v>
      </c>
      <c r="N758" s="4" t="str">
        <f t="shared" si="101"/>
        <v>] 8 ; 10 ]</v>
      </c>
      <c r="O758" s="5" t="s">
        <v>3786</v>
      </c>
      <c r="P758" s="5" t="s">
        <v>3786</v>
      </c>
      <c r="Q758" s="5">
        <v>1</v>
      </c>
      <c r="R758" s="5" t="str">
        <f t="shared" si="102"/>
        <v>Specialisation</v>
      </c>
      <c r="S758" s="5" t="s">
        <v>3790</v>
      </c>
      <c r="T758" s="4">
        <v>30839</v>
      </c>
      <c r="U758" s="5">
        <f t="shared" si="103"/>
        <v>1984</v>
      </c>
      <c r="V758" s="5" t="s">
        <v>3793</v>
      </c>
      <c r="W758" s="9">
        <f t="shared" si="100"/>
        <v>40</v>
      </c>
      <c r="X758" s="5" t="str">
        <f t="shared" si="104"/>
        <v>[40 - 44 ans]</v>
      </c>
      <c r="Y758" s="5" t="str">
        <f t="shared" si="105"/>
        <v xml:space="preserve"> Mellenials </v>
      </c>
      <c r="Z758" s="9">
        <f t="shared" si="106"/>
        <v>20</v>
      </c>
      <c r="AA758" s="5" t="str">
        <f t="shared" si="107"/>
        <v>RAS</v>
      </c>
      <c r="AB758" s="5" t="s">
        <v>3808</v>
      </c>
      <c r="AC758" s="6" t="s">
        <v>3799</v>
      </c>
      <c r="AE758" s="5" t="s">
        <v>3844</v>
      </c>
      <c r="AF758" s="5" t="s">
        <v>4482</v>
      </c>
      <c r="AG758" s="5" t="s">
        <v>4485</v>
      </c>
      <c r="AH758" s="5" t="s">
        <v>4488</v>
      </c>
      <c r="AI758" s="5" t="s">
        <v>4271</v>
      </c>
      <c r="AJ758" s="5" t="s">
        <v>4272</v>
      </c>
      <c r="AK758" s="5" t="s">
        <v>3946</v>
      </c>
      <c r="AL758" s="5" t="s">
        <v>3858</v>
      </c>
    </row>
    <row r="759" spans="1:38" x14ac:dyDescent="0.3">
      <c r="A759" s="4">
        <v>45716</v>
      </c>
      <c r="B759" s="5" t="s">
        <v>2694</v>
      </c>
      <c r="C759" s="5" t="s">
        <v>2695</v>
      </c>
      <c r="D759" s="5" t="s">
        <v>2696</v>
      </c>
      <c r="E759" s="5" t="s">
        <v>4494</v>
      </c>
      <c r="G759" s="5" t="s">
        <v>88</v>
      </c>
      <c r="H759" s="5" t="s">
        <v>456</v>
      </c>
      <c r="I759" s="5" t="s">
        <v>731</v>
      </c>
      <c r="J759" s="5" t="s">
        <v>883</v>
      </c>
      <c r="K759" s="4">
        <v>42370</v>
      </c>
      <c r="L759" s="4">
        <v>42370</v>
      </c>
      <c r="M759" s="9">
        <f t="shared" si="99"/>
        <v>9</v>
      </c>
      <c r="N759" s="4" t="str">
        <f t="shared" si="101"/>
        <v>] 8 ; 10 ]</v>
      </c>
      <c r="O759" s="5" t="s">
        <v>3780</v>
      </c>
      <c r="P759" s="5" t="s">
        <v>3780</v>
      </c>
      <c r="Q759" s="5">
        <v>3</v>
      </c>
      <c r="R759" s="5" t="str">
        <f t="shared" si="102"/>
        <v>Qualification</v>
      </c>
      <c r="S759" s="5" t="s">
        <v>3789</v>
      </c>
      <c r="T759" s="4">
        <v>30821</v>
      </c>
      <c r="U759" s="5">
        <f t="shared" si="103"/>
        <v>1984</v>
      </c>
      <c r="V759" s="5" t="s">
        <v>3792</v>
      </c>
      <c r="W759" s="9">
        <f t="shared" si="100"/>
        <v>40</v>
      </c>
      <c r="X759" s="5" t="str">
        <f t="shared" si="104"/>
        <v>[40 - 44 ans]</v>
      </c>
      <c r="Y759" s="5" t="str">
        <f t="shared" si="105"/>
        <v xml:space="preserve"> Mellenials </v>
      </c>
      <c r="Z759" s="9">
        <f t="shared" si="106"/>
        <v>20</v>
      </c>
      <c r="AA759" s="5" t="str">
        <f t="shared" si="107"/>
        <v>RAS</v>
      </c>
      <c r="AB759" s="5" t="s">
        <v>3826</v>
      </c>
      <c r="AC759" s="6" t="s">
        <v>3799</v>
      </c>
      <c r="AE759" s="5" t="s">
        <v>3844</v>
      </c>
      <c r="AF759" s="5" t="s">
        <v>4482</v>
      </c>
      <c r="AG759" s="5" t="s">
        <v>4485</v>
      </c>
      <c r="AH759" s="5" t="s">
        <v>4488</v>
      </c>
      <c r="AI759" s="5" t="s">
        <v>4182</v>
      </c>
      <c r="AJ759" s="5" t="s">
        <v>3826</v>
      </c>
      <c r="AK759" s="5" t="s">
        <v>4183</v>
      </c>
      <c r="AL759" s="5" t="s">
        <v>3858</v>
      </c>
    </row>
    <row r="760" spans="1:38" x14ac:dyDescent="0.3">
      <c r="A760" s="4">
        <v>45716</v>
      </c>
      <c r="B760" s="5" t="s">
        <v>2697</v>
      </c>
      <c r="C760" s="5" t="s">
        <v>2698</v>
      </c>
      <c r="D760" s="5" t="s">
        <v>2699</v>
      </c>
      <c r="E760" s="5" t="s">
        <v>4494</v>
      </c>
      <c r="G760" s="5" t="s">
        <v>39</v>
      </c>
      <c r="H760" s="5" t="s">
        <v>692</v>
      </c>
      <c r="I760" s="5" t="s">
        <v>2399</v>
      </c>
      <c r="J760" s="5" t="s">
        <v>48</v>
      </c>
      <c r="K760" s="4">
        <v>42370</v>
      </c>
      <c r="L760" s="4">
        <v>42370</v>
      </c>
      <c r="M760" s="9">
        <f t="shared" si="99"/>
        <v>9</v>
      </c>
      <c r="N760" s="4" t="str">
        <f t="shared" si="101"/>
        <v>] 8 ; 10 ]</v>
      </c>
      <c r="O760" s="5" t="s">
        <v>3786</v>
      </c>
      <c r="P760" s="5" t="s">
        <v>3786</v>
      </c>
      <c r="Q760" s="5">
        <v>1</v>
      </c>
      <c r="R760" s="5" t="str">
        <f t="shared" si="102"/>
        <v>Specialisation</v>
      </c>
      <c r="S760" s="5" t="s">
        <v>3789</v>
      </c>
      <c r="T760" s="4">
        <v>29785</v>
      </c>
      <c r="U760" s="5">
        <f t="shared" si="103"/>
        <v>1981</v>
      </c>
      <c r="V760" s="5" t="s">
        <v>3792</v>
      </c>
      <c r="W760" s="9">
        <f t="shared" si="100"/>
        <v>43</v>
      </c>
      <c r="X760" s="5" t="str">
        <f t="shared" si="104"/>
        <v>[40 - 44 ans]</v>
      </c>
      <c r="Y760" s="5" t="str">
        <f t="shared" si="105"/>
        <v xml:space="preserve"> Mellenials </v>
      </c>
      <c r="Z760" s="9">
        <f t="shared" si="106"/>
        <v>17</v>
      </c>
      <c r="AA760" s="5" t="str">
        <f t="shared" si="107"/>
        <v>RAS</v>
      </c>
      <c r="AB760" s="5" t="s">
        <v>3827</v>
      </c>
      <c r="AC760" s="6" t="s">
        <v>3799</v>
      </c>
      <c r="AE760" s="5" t="s">
        <v>3844</v>
      </c>
      <c r="AF760" s="5" t="s">
        <v>4482</v>
      </c>
      <c r="AG760" s="5" t="s">
        <v>4485</v>
      </c>
      <c r="AH760" s="5" t="s">
        <v>4489</v>
      </c>
      <c r="AI760" s="5" t="s">
        <v>4172</v>
      </c>
      <c r="AJ760" s="5" t="s">
        <v>4173</v>
      </c>
      <c r="AK760" s="5" t="s">
        <v>4080</v>
      </c>
      <c r="AL760" s="5" t="s">
        <v>3858</v>
      </c>
    </row>
    <row r="761" spans="1:38" x14ac:dyDescent="0.3">
      <c r="A761" s="4">
        <v>45716</v>
      </c>
      <c r="B761" s="5" t="s">
        <v>2700</v>
      </c>
      <c r="C761" s="5" t="s">
        <v>2701</v>
      </c>
      <c r="D761" s="5" t="s">
        <v>2702</v>
      </c>
      <c r="E761" s="5" t="s">
        <v>4494</v>
      </c>
      <c r="G761" s="5" t="s">
        <v>137</v>
      </c>
      <c r="H761" s="5" t="s">
        <v>504</v>
      </c>
      <c r="I761" s="5" t="s">
        <v>290</v>
      </c>
      <c r="J761" s="5" t="s">
        <v>290</v>
      </c>
      <c r="K761" s="4">
        <v>42370</v>
      </c>
      <c r="L761" s="4">
        <v>42370</v>
      </c>
      <c r="M761" s="9">
        <f t="shared" si="99"/>
        <v>9</v>
      </c>
      <c r="N761" s="4" t="str">
        <f t="shared" si="101"/>
        <v>] 8 ; 10 ]</v>
      </c>
      <c r="O761" s="5" t="s">
        <v>3780</v>
      </c>
      <c r="P761" s="5" t="s">
        <v>3780</v>
      </c>
      <c r="Q761" s="5">
        <v>3</v>
      </c>
      <c r="R761" s="5" t="str">
        <f t="shared" si="102"/>
        <v>Qualification</v>
      </c>
      <c r="S761" s="5" t="s">
        <v>3790</v>
      </c>
      <c r="T761" s="4">
        <v>29007</v>
      </c>
      <c r="U761" s="5">
        <f t="shared" si="103"/>
        <v>1979</v>
      </c>
      <c r="V761" s="5" t="s">
        <v>3793</v>
      </c>
      <c r="W761" s="9">
        <f t="shared" si="100"/>
        <v>45</v>
      </c>
      <c r="X761" s="5" t="str">
        <f t="shared" si="104"/>
        <v>[45 - 49 ans]</v>
      </c>
      <c r="Y761" s="5" t="str">
        <f t="shared" si="105"/>
        <v xml:space="preserve"> Generation X </v>
      </c>
      <c r="Z761" s="9">
        <f t="shared" si="106"/>
        <v>15</v>
      </c>
      <c r="AA761" s="5" t="str">
        <f t="shared" si="107"/>
        <v>RAS</v>
      </c>
      <c r="AB761" s="5" t="s">
        <v>3812</v>
      </c>
      <c r="AC761" s="6" t="s">
        <v>3799</v>
      </c>
      <c r="AE761" s="5" t="s">
        <v>3844</v>
      </c>
      <c r="AF761" s="5" t="s">
        <v>4482</v>
      </c>
      <c r="AG761" s="5" t="s">
        <v>4485</v>
      </c>
      <c r="AH761" s="5" t="s">
        <v>4487</v>
      </c>
      <c r="AI761" s="5" t="s">
        <v>4093</v>
      </c>
      <c r="AJ761" s="5" t="s">
        <v>4094</v>
      </c>
      <c r="AK761" s="5">
        <v>71300</v>
      </c>
      <c r="AL761" s="5" t="s">
        <v>3858</v>
      </c>
    </row>
    <row r="762" spans="1:38" x14ac:dyDescent="0.3">
      <c r="A762" s="4">
        <v>45716</v>
      </c>
      <c r="B762" s="5" t="s">
        <v>2703</v>
      </c>
      <c r="C762" s="5" t="s">
        <v>2704</v>
      </c>
      <c r="D762" s="5" t="s">
        <v>2705</v>
      </c>
      <c r="E762" s="5" t="s">
        <v>4494</v>
      </c>
      <c r="G762" s="5" t="s">
        <v>78</v>
      </c>
      <c r="H762" s="5" t="s">
        <v>2706</v>
      </c>
      <c r="I762" s="5" t="s">
        <v>1268</v>
      </c>
      <c r="J762" s="5" t="s">
        <v>52</v>
      </c>
      <c r="K762" s="4">
        <v>42370</v>
      </c>
      <c r="L762" s="4">
        <v>42370</v>
      </c>
      <c r="M762" s="9">
        <f t="shared" si="99"/>
        <v>9</v>
      </c>
      <c r="N762" s="4" t="str">
        <f t="shared" si="101"/>
        <v>] 8 ; 10 ]</v>
      </c>
      <c r="O762" s="5" t="s">
        <v>3786</v>
      </c>
      <c r="P762" s="5" t="s">
        <v>3786</v>
      </c>
      <c r="Q762" s="5">
        <v>1</v>
      </c>
      <c r="R762" s="5" t="str">
        <f t="shared" si="102"/>
        <v>Specialisation</v>
      </c>
      <c r="S762" s="5" t="s">
        <v>3790</v>
      </c>
      <c r="T762" s="4">
        <v>30812</v>
      </c>
      <c r="U762" s="5">
        <f t="shared" si="103"/>
        <v>1984</v>
      </c>
      <c r="V762" s="5" t="s">
        <v>3792</v>
      </c>
      <c r="W762" s="9">
        <f t="shared" si="100"/>
        <v>40</v>
      </c>
      <c r="X762" s="5" t="str">
        <f t="shared" si="104"/>
        <v>[40 - 44 ans]</v>
      </c>
      <c r="Y762" s="5" t="str">
        <f t="shared" si="105"/>
        <v xml:space="preserve"> Mellenials </v>
      </c>
      <c r="Z762" s="9">
        <f t="shared" si="106"/>
        <v>20</v>
      </c>
      <c r="AA762" s="5" t="str">
        <f t="shared" si="107"/>
        <v>RAS</v>
      </c>
      <c r="AB762" s="5" t="s">
        <v>3808</v>
      </c>
      <c r="AC762" s="6" t="s">
        <v>3799</v>
      </c>
      <c r="AE762" s="5" t="s">
        <v>3844</v>
      </c>
      <c r="AF762" s="5" t="s">
        <v>4482</v>
      </c>
      <c r="AG762" s="5" t="s">
        <v>4485</v>
      </c>
      <c r="AH762" s="5" t="s">
        <v>4488</v>
      </c>
      <c r="AI762" s="5" t="s">
        <v>4013</v>
      </c>
      <c r="AJ762" s="5" t="s">
        <v>4014</v>
      </c>
      <c r="AK762" s="5" t="s">
        <v>4015</v>
      </c>
      <c r="AL762" s="5" t="s">
        <v>3858</v>
      </c>
    </row>
    <row r="763" spans="1:38" x14ac:dyDescent="0.3">
      <c r="A763" s="4">
        <v>45716</v>
      </c>
      <c r="B763" s="5" t="s">
        <v>2707</v>
      </c>
      <c r="C763" s="5" t="s">
        <v>2708</v>
      </c>
      <c r="D763" s="5" t="s">
        <v>2709</v>
      </c>
      <c r="E763" s="5" t="s">
        <v>4494</v>
      </c>
      <c r="G763" s="5" t="s">
        <v>554</v>
      </c>
      <c r="H763" s="5" t="s">
        <v>2710</v>
      </c>
      <c r="I763" s="5" t="s">
        <v>2412</v>
      </c>
      <c r="J763" s="5" t="s">
        <v>2841</v>
      </c>
      <c r="K763" s="4">
        <v>42370</v>
      </c>
      <c r="L763" s="4">
        <v>42370</v>
      </c>
      <c r="M763" s="9">
        <f t="shared" si="99"/>
        <v>9</v>
      </c>
      <c r="N763" s="4" t="str">
        <f t="shared" si="101"/>
        <v>] 8 ; 10 ]</v>
      </c>
      <c r="O763" s="5" t="s">
        <v>3783</v>
      </c>
      <c r="P763" s="5" t="s">
        <v>3783</v>
      </c>
      <c r="Q763" s="5">
        <v>2</v>
      </c>
      <c r="R763" s="5" t="str">
        <f t="shared" si="102"/>
        <v>Specialisation</v>
      </c>
      <c r="S763" s="5" t="s">
        <v>3790</v>
      </c>
      <c r="T763" s="4">
        <v>31168</v>
      </c>
      <c r="U763" s="5">
        <f t="shared" si="103"/>
        <v>1985</v>
      </c>
      <c r="V763" s="5" t="s">
        <v>3793</v>
      </c>
      <c r="W763" s="9">
        <f t="shared" si="100"/>
        <v>39</v>
      </c>
      <c r="X763" s="5" t="str">
        <f t="shared" si="104"/>
        <v>[35 - 39 ans ]</v>
      </c>
      <c r="Y763" s="5" t="str">
        <f t="shared" si="105"/>
        <v xml:space="preserve"> Mellenials </v>
      </c>
      <c r="Z763" s="9">
        <f t="shared" si="106"/>
        <v>21</v>
      </c>
      <c r="AA763" s="5" t="str">
        <f t="shared" si="107"/>
        <v>RAS</v>
      </c>
      <c r="AB763" s="5" t="s">
        <v>3806</v>
      </c>
      <c r="AC763" s="6" t="s">
        <v>3799</v>
      </c>
      <c r="AE763" s="5" t="s">
        <v>3844</v>
      </c>
      <c r="AF763" s="5" t="s">
        <v>4482</v>
      </c>
      <c r="AG763" s="5" t="s">
        <v>4485</v>
      </c>
      <c r="AH763" s="5" t="s">
        <v>4487</v>
      </c>
      <c r="AI763" s="5" t="s">
        <v>4119</v>
      </c>
      <c r="AJ763" s="5" t="s">
        <v>4120</v>
      </c>
      <c r="AK763" s="5" t="s">
        <v>4121</v>
      </c>
      <c r="AL763" s="5" t="s">
        <v>3858</v>
      </c>
    </row>
    <row r="764" spans="1:38" x14ac:dyDescent="0.3">
      <c r="A764" s="4">
        <v>45716</v>
      </c>
      <c r="B764" s="5" t="s">
        <v>2711</v>
      </c>
      <c r="C764" s="5" t="s">
        <v>2712</v>
      </c>
      <c r="D764" s="5" t="s">
        <v>2713</v>
      </c>
      <c r="E764" s="5" t="s">
        <v>4494</v>
      </c>
      <c r="G764" s="5" t="s">
        <v>24</v>
      </c>
      <c r="H764" s="5" t="s">
        <v>256</v>
      </c>
      <c r="I764" s="5" t="s">
        <v>899</v>
      </c>
      <c r="J764" s="5" t="s">
        <v>23</v>
      </c>
      <c r="K764" s="4">
        <v>42370</v>
      </c>
      <c r="L764" s="4">
        <v>42370</v>
      </c>
      <c r="M764" s="9">
        <f t="shared" si="99"/>
        <v>9</v>
      </c>
      <c r="N764" s="4" t="str">
        <f t="shared" si="101"/>
        <v>] 8 ; 10 ]</v>
      </c>
      <c r="O764" s="5" t="s">
        <v>3786</v>
      </c>
      <c r="P764" s="5" t="s">
        <v>3783</v>
      </c>
      <c r="Q764" s="5">
        <v>1</v>
      </c>
      <c r="R764" s="5" t="str">
        <f t="shared" si="102"/>
        <v>Specialisation</v>
      </c>
      <c r="S764" s="5" t="s">
        <v>3790</v>
      </c>
      <c r="T764" s="4">
        <v>31844</v>
      </c>
      <c r="U764" s="5">
        <f t="shared" si="103"/>
        <v>1987</v>
      </c>
      <c r="V764" s="5" t="s">
        <v>3793</v>
      </c>
      <c r="W764" s="9">
        <f t="shared" si="100"/>
        <v>37</v>
      </c>
      <c r="X764" s="5" t="str">
        <f t="shared" si="104"/>
        <v>[35 - 39 ans ]</v>
      </c>
      <c r="Y764" s="5" t="str">
        <f t="shared" si="105"/>
        <v xml:space="preserve"> Mellenials </v>
      </c>
      <c r="Z764" s="9">
        <f t="shared" si="106"/>
        <v>23</v>
      </c>
      <c r="AA764" s="5" t="str">
        <f t="shared" si="107"/>
        <v>RAS</v>
      </c>
      <c r="AB764" s="5" t="s">
        <v>3805</v>
      </c>
      <c r="AC764" s="6" t="s">
        <v>3799</v>
      </c>
      <c r="AE764" s="5" t="s">
        <v>3844</v>
      </c>
      <c r="AF764" s="5" t="s">
        <v>4482</v>
      </c>
      <c r="AG764" s="5" t="s">
        <v>4485</v>
      </c>
      <c r="AH764" s="5" t="s">
        <v>4488</v>
      </c>
      <c r="AI764" s="5" t="s">
        <v>4218</v>
      </c>
      <c r="AJ764" s="5" t="s">
        <v>4248</v>
      </c>
      <c r="AK764" s="5" t="s">
        <v>3983</v>
      </c>
      <c r="AL764" s="5" t="s">
        <v>3858</v>
      </c>
    </row>
    <row r="765" spans="1:38" x14ac:dyDescent="0.3">
      <c r="A765" s="4">
        <v>45716</v>
      </c>
      <c r="B765" s="5" t="s">
        <v>2714</v>
      </c>
      <c r="C765" s="5" t="s">
        <v>2715</v>
      </c>
      <c r="D765" s="5" t="s">
        <v>2716</v>
      </c>
      <c r="E765" s="5" t="s">
        <v>4494</v>
      </c>
      <c r="G765" s="5" t="s">
        <v>44</v>
      </c>
      <c r="H765" s="5" t="s">
        <v>2717</v>
      </c>
      <c r="I765" s="5" t="s">
        <v>476</v>
      </c>
      <c r="J765" s="5" t="s">
        <v>2337</v>
      </c>
      <c r="K765" s="4">
        <v>42370</v>
      </c>
      <c r="L765" s="4">
        <v>42370</v>
      </c>
      <c r="M765" s="9">
        <f t="shared" si="99"/>
        <v>9</v>
      </c>
      <c r="N765" s="4" t="str">
        <f t="shared" si="101"/>
        <v>] 8 ; 10 ]</v>
      </c>
      <c r="O765" s="5" t="s">
        <v>3783</v>
      </c>
      <c r="P765" s="5" t="s">
        <v>3783</v>
      </c>
      <c r="Q765" s="5">
        <v>1</v>
      </c>
      <c r="R765" s="5" t="str">
        <f t="shared" si="102"/>
        <v>Specialisation</v>
      </c>
      <c r="S765" s="5" t="s">
        <v>3790</v>
      </c>
      <c r="T765" s="4">
        <v>32159</v>
      </c>
      <c r="U765" s="5">
        <f t="shared" si="103"/>
        <v>1988</v>
      </c>
      <c r="V765" s="5" t="s">
        <v>3793</v>
      </c>
      <c r="W765" s="9">
        <f t="shared" si="100"/>
        <v>37</v>
      </c>
      <c r="X765" s="5" t="str">
        <f t="shared" si="104"/>
        <v>[35 - 39 ans ]</v>
      </c>
      <c r="Y765" s="5" t="str">
        <f t="shared" si="105"/>
        <v xml:space="preserve"> Mellenials </v>
      </c>
      <c r="Z765" s="9">
        <f t="shared" si="106"/>
        <v>23</v>
      </c>
      <c r="AA765" s="5" t="str">
        <f t="shared" si="107"/>
        <v>RAS</v>
      </c>
      <c r="AB765" s="5" t="s">
        <v>3806</v>
      </c>
      <c r="AC765" s="6" t="s">
        <v>3799</v>
      </c>
      <c r="AE765" s="5" t="s">
        <v>3844</v>
      </c>
      <c r="AF765" s="5" t="s">
        <v>4482</v>
      </c>
      <c r="AG765" s="5" t="s">
        <v>4485</v>
      </c>
      <c r="AH765" s="5" t="s">
        <v>4487</v>
      </c>
      <c r="AI765" s="5" t="s">
        <v>4083</v>
      </c>
      <c r="AJ765" s="5" t="s">
        <v>4084</v>
      </c>
      <c r="AK765" s="5" t="s">
        <v>4085</v>
      </c>
      <c r="AL765" s="5" t="s">
        <v>3858</v>
      </c>
    </row>
    <row r="766" spans="1:38" x14ac:dyDescent="0.3">
      <c r="A766" s="4">
        <v>45716</v>
      </c>
      <c r="B766" s="5" t="s">
        <v>2718</v>
      </c>
      <c r="C766" s="5" t="s">
        <v>2719</v>
      </c>
      <c r="D766" s="5" t="s">
        <v>2720</v>
      </c>
      <c r="E766" s="5" t="s">
        <v>4494</v>
      </c>
      <c r="G766" s="5" t="s">
        <v>39</v>
      </c>
      <c r="H766" s="5" t="s">
        <v>2721</v>
      </c>
      <c r="I766" s="5" t="s">
        <v>393</v>
      </c>
      <c r="J766" s="5" t="s">
        <v>153</v>
      </c>
      <c r="K766" s="4">
        <v>42370</v>
      </c>
      <c r="L766" s="4">
        <v>42370</v>
      </c>
      <c r="M766" s="9">
        <f t="shared" si="99"/>
        <v>9</v>
      </c>
      <c r="N766" s="4" t="str">
        <f t="shared" si="101"/>
        <v>] 8 ; 10 ]</v>
      </c>
      <c r="O766" s="5" t="s">
        <v>3785</v>
      </c>
      <c r="P766" s="5" t="s">
        <v>3785</v>
      </c>
      <c r="Q766" s="5">
        <v>1</v>
      </c>
      <c r="R766" s="5" t="str">
        <f t="shared" si="102"/>
        <v>Specialisation</v>
      </c>
      <c r="S766" s="5" t="s">
        <v>3789</v>
      </c>
      <c r="T766" s="4">
        <v>30116</v>
      </c>
      <c r="U766" s="5">
        <f t="shared" si="103"/>
        <v>1982</v>
      </c>
      <c r="V766" s="5" t="s">
        <v>3793</v>
      </c>
      <c r="W766" s="9">
        <f t="shared" si="100"/>
        <v>42</v>
      </c>
      <c r="X766" s="5" t="str">
        <f t="shared" si="104"/>
        <v>[40 - 44 ans]</v>
      </c>
      <c r="Y766" s="5" t="str">
        <f t="shared" si="105"/>
        <v xml:space="preserve"> Mellenials </v>
      </c>
      <c r="Z766" s="9">
        <f t="shared" si="106"/>
        <v>18</v>
      </c>
      <c r="AA766" s="5" t="str">
        <f t="shared" si="107"/>
        <v>RAS</v>
      </c>
      <c r="AB766" s="5" t="s">
        <v>3807</v>
      </c>
      <c r="AC766" s="6" t="s">
        <v>3799</v>
      </c>
      <c r="AE766" s="5" t="s">
        <v>3844</v>
      </c>
      <c r="AF766" s="5" t="s">
        <v>4481</v>
      </c>
      <c r="AG766" s="5" t="s">
        <v>4485</v>
      </c>
      <c r="AH766" s="5" t="s">
        <v>4489</v>
      </c>
      <c r="AI766" s="5" t="s">
        <v>4044</v>
      </c>
      <c r="AJ766" s="5" t="s">
        <v>4045</v>
      </c>
      <c r="AK766" s="5" t="s">
        <v>4046</v>
      </c>
      <c r="AL766" s="5" t="s">
        <v>3858</v>
      </c>
    </row>
    <row r="767" spans="1:38" x14ac:dyDescent="0.3">
      <c r="A767" s="4">
        <v>45716</v>
      </c>
      <c r="B767" s="5" t="s">
        <v>2722</v>
      </c>
      <c r="C767" s="5" t="s">
        <v>2723</v>
      </c>
      <c r="D767" s="5" t="s">
        <v>2724</v>
      </c>
      <c r="E767" s="5" t="s">
        <v>4494</v>
      </c>
      <c r="G767" s="5" t="s">
        <v>88</v>
      </c>
      <c r="H767" s="5" t="s">
        <v>2725</v>
      </c>
      <c r="I767" s="5" t="s">
        <v>182</v>
      </c>
      <c r="J767" s="5" t="s">
        <v>1857</v>
      </c>
      <c r="K767" s="4">
        <v>42436</v>
      </c>
      <c r="L767" s="4">
        <v>42436</v>
      </c>
      <c r="M767" s="9">
        <f t="shared" si="99"/>
        <v>8</v>
      </c>
      <c r="N767" s="4" t="str">
        <f t="shared" si="101"/>
        <v>] 5 ; 8 ]</v>
      </c>
      <c r="O767" s="5" t="s">
        <v>3784</v>
      </c>
      <c r="P767" s="5" t="s">
        <v>3784</v>
      </c>
      <c r="Q767" s="5">
        <v>2</v>
      </c>
      <c r="R767" s="5" t="str">
        <f t="shared" si="102"/>
        <v>Management &amp; Expertise</v>
      </c>
      <c r="S767" s="5" t="s">
        <v>3789</v>
      </c>
      <c r="T767" s="4">
        <v>28476</v>
      </c>
      <c r="U767" s="5">
        <f t="shared" si="103"/>
        <v>1977</v>
      </c>
      <c r="V767" s="5" t="s">
        <v>3793</v>
      </c>
      <c r="W767" s="9">
        <f t="shared" si="100"/>
        <v>47</v>
      </c>
      <c r="X767" s="5" t="str">
        <f t="shared" si="104"/>
        <v>[45 - 49 ans]</v>
      </c>
      <c r="Y767" s="5" t="str">
        <f t="shared" si="105"/>
        <v xml:space="preserve"> Generation X </v>
      </c>
      <c r="Z767" s="9">
        <f t="shared" si="106"/>
        <v>13</v>
      </c>
      <c r="AA767" s="5" t="str">
        <f t="shared" si="107"/>
        <v>RAS</v>
      </c>
      <c r="AB767" s="5" t="s">
        <v>3806</v>
      </c>
      <c r="AC767" s="6" t="s">
        <v>3799</v>
      </c>
      <c r="AE767" s="5" t="s">
        <v>3845</v>
      </c>
      <c r="AF767" s="5" t="s">
        <v>4481</v>
      </c>
      <c r="AG767" s="5" t="s">
        <v>4485</v>
      </c>
      <c r="AH767" s="5" t="s">
        <v>4488</v>
      </c>
      <c r="AI767" s="5" t="s">
        <v>4216</v>
      </c>
      <c r="AJ767" s="5" t="s">
        <v>4217</v>
      </c>
      <c r="AK767" s="5" t="s">
        <v>3943</v>
      </c>
      <c r="AL767" s="5" t="s">
        <v>3854</v>
      </c>
    </row>
    <row r="768" spans="1:38" x14ac:dyDescent="0.3">
      <c r="A768" s="4">
        <v>45716</v>
      </c>
      <c r="B768" s="5" t="s">
        <v>2726</v>
      </c>
      <c r="C768" s="5" t="s">
        <v>2727</v>
      </c>
      <c r="D768" s="5" t="s">
        <v>2728</v>
      </c>
      <c r="E768" s="5" t="s">
        <v>4494</v>
      </c>
      <c r="G768" s="5" t="s">
        <v>88</v>
      </c>
      <c r="H768" s="5" t="s">
        <v>2729</v>
      </c>
      <c r="I768" s="5" t="s">
        <v>2739</v>
      </c>
      <c r="J768" s="5" t="s">
        <v>182</v>
      </c>
      <c r="K768" s="4">
        <v>42450</v>
      </c>
      <c r="L768" s="4">
        <v>42450</v>
      </c>
      <c r="M768" s="9">
        <f t="shared" si="99"/>
        <v>8</v>
      </c>
      <c r="N768" s="4" t="str">
        <f t="shared" si="101"/>
        <v>] 5 ; 8 ]</v>
      </c>
      <c r="O768" s="5" t="s">
        <v>3782</v>
      </c>
      <c r="P768" s="5" t="s">
        <v>3782</v>
      </c>
      <c r="Q768" s="5">
        <v>1</v>
      </c>
      <c r="R768" s="5" t="str">
        <f t="shared" si="102"/>
        <v>Management &amp; Expertise</v>
      </c>
      <c r="S768" s="5" t="s">
        <v>3790</v>
      </c>
      <c r="T768" s="4">
        <v>31061</v>
      </c>
      <c r="U768" s="5">
        <f t="shared" si="103"/>
        <v>1985</v>
      </c>
      <c r="V768" s="5" t="s">
        <v>3793</v>
      </c>
      <c r="W768" s="9">
        <f t="shared" si="100"/>
        <v>40</v>
      </c>
      <c r="X768" s="5" t="str">
        <f t="shared" si="104"/>
        <v>[40 - 44 ans]</v>
      </c>
      <c r="Y768" s="5" t="str">
        <f t="shared" si="105"/>
        <v xml:space="preserve"> Mellenials </v>
      </c>
      <c r="Z768" s="9">
        <f t="shared" si="106"/>
        <v>20</v>
      </c>
      <c r="AA768" s="5" t="str">
        <f t="shared" si="107"/>
        <v>RAS</v>
      </c>
      <c r="AB768" s="5" t="s">
        <v>3806</v>
      </c>
      <c r="AC768" s="6" t="s">
        <v>3799</v>
      </c>
      <c r="AE768" s="5" t="s">
        <v>3845</v>
      </c>
      <c r="AF768" s="5" t="s">
        <v>4481</v>
      </c>
      <c r="AG768" s="5" t="s">
        <v>4485</v>
      </c>
      <c r="AH768" s="5" t="s">
        <v>4488</v>
      </c>
      <c r="AI768" s="5" t="s">
        <v>4432</v>
      </c>
      <c r="AJ768" s="5" t="s">
        <v>4433</v>
      </c>
      <c r="AK768" s="5">
        <v>11160</v>
      </c>
      <c r="AL768" s="5" t="s">
        <v>4202</v>
      </c>
    </row>
    <row r="769" spans="1:38" x14ac:dyDescent="0.3">
      <c r="A769" s="4">
        <v>45716</v>
      </c>
      <c r="B769" s="5" t="s">
        <v>2730</v>
      </c>
      <c r="C769" s="5" t="s">
        <v>2731</v>
      </c>
      <c r="D769" s="5" t="s">
        <v>2732</v>
      </c>
      <c r="E769" s="5" t="s">
        <v>4494</v>
      </c>
      <c r="G769" s="5" t="s">
        <v>24</v>
      </c>
      <c r="H769" s="5" t="s">
        <v>1138</v>
      </c>
      <c r="I769" s="5" t="s">
        <v>1317</v>
      </c>
      <c r="J769" s="5" t="s">
        <v>23</v>
      </c>
      <c r="K769" s="4">
        <v>42458</v>
      </c>
      <c r="L769" s="4">
        <v>42458</v>
      </c>
      <c r="M769" s="9">
        <f t="shared" ref="M769:M832" si="108">DATEDIF(L769,A769,"y")</f>
        <v>8</v>
      </c>
      <c r="N769" s="4" t="str">
        <f t="shared" si="101"/>
        <v>] 5 ; 8 ]</v>
      </c>
      <c r="O769" s="5" t="s">
        <v>3785</v>
      </c>
      <c r="P769" s="5" t="s">
        <v>3782</v>
      </c>
      <c r="Q769" s="5">
        <v>1</v>
      </c>
      <c r="R769" s="5" t="str">
        <f t="shared" si="102"/>
        <v>Specialisation</v>
      </c>
      <c r="S769" s="5" t="s">
        <v>3789</v>
      </c>
      <c r="T769" s="4">
        <v>33452</v>
      </c>
      <c r="U769" s="5">
        <f t="shared" si="103"/>
        <v>1991</v>
      </c>
      <c r="V769" s="5" t="s">
        <v>3793</v>
      </c>
      <c r="W769" s="9">
        <f t="shared" ref="W769:W832" si="109">DATEDIF(T769,A769,"y")</f>
        <v>33</v>
      </c>
      <c r="X769" s="5" t="str">
        <f t="shared" si="104"/>
        <v>[30 - 34 ans]</v>
      </c>
      <c r="Y769" s="5" t="str">
        <f t="shared" si="105"/>
        <v xml:space="preserve"> Mellenials </v>
      </c>
      <c r="Z769" s="9">
        <f t="shared" si="106"/>
        <v>27</v>
      </c>
      <c r="AA769" s="5" t="str">
        <f t="shared" si="107"/>
        <v>RAS</v>
      </c>
      <c r="AB769" s="5" t="s">
        <v>3805</v>
      </c>
      <c r="AC769" s="6" t="s">
        <v>3799</v>
      </c>
      <c r="AE769" s="5" t="s">
        <v>3844</v>
      </c>
      <c r="AF769" s="5" t="s">
        <v>4481</v>
      </c>
      <c r="AG769" s="5" t="s">
        <v>4485</v>
      </c>
      <c r="AH769" s="5" t="s">
        <v>4488</v>
      </c>
      <c r="AI769" s="5" t="s">
        <v>4133</v>
      </c>
      <c r="AJ769" s="5" t="s">
        <v>4134</v>
      </c>
      <c r="AK769" s="5" t="s">
        <v>3983</v>
      </c>
      <c r="AL769" s="5" t="s">
        <v>3858</v>
      </c>
    </row>
    <row r="770" spans="1:38" x14ac:dyDescent="0.3">
      <c r="A770" s="4">
        <v>45716</v>
      </c>
      <c r="B770" s="5" t="s">
        <v>2733</v>
      </c>
      <c r="C770" s="5" t="s">
        <v>2734</v>
      </c>
      <c r="D770" s="5" t="s">
        <v>2735</v>
      </c>
      <c r="E770" s="5" t="s">
        <v>4494</v>
      </c>
      <c r="G770" s="5" t="s">
        <v>29</v>
      </c>
      <c r="H770" s="5" t="s">
        <v>2736</v>
      </c>
      <c r="I770" s="5" t="s">
        <v>806</v>
      </c>
      <c r="J770" s="5" t="s">
        <v>2355</v>
      </c>
      <c r="K770" s="4">
        <v>42491</v>
      </c>
      <c r="L770" s="4">
        <v>40940</v>
      </c>
      <c r="M770" s="9">
        <f t="shared" si="108"/>
        <v>13</v>
      </c>
      <c r="N770" s="4" t="str">
        <f t="shared" ref="N770:N832" si="110">IF(M770&lt;=2," ] 0 ; 2 ]",IF(AND(M770&gt;2,M770&lt;=5),"] 2 ; 5 ]",IF(AND(M770&gt;5,M770&lt;=8),"] 5 ; 8 ]",IF(AND(M770&gt;8,M770&lt;=10),"] 8 ; 10 ]",IF(AND(M770&gt;10,M770&lt;=15),"] 10 ; 15 ]","] 15 ; +oo [")))))</f>
        <v>] 10 ; 15 ]</v>
      </c>
      <c r="O770" s="5" t="s">
        <v>3783</v>
      </c>
      <c r="P770" s="5" t="s">
        <v>3783</v>
      </c>
      <c r="Q770" s="5">
        <v>1</v>
      </c>
      <c r="R770" s="5" t="str">
        <f t="shared" ref="R770:R833" si="111">IF(OR(O770="A",O770="B",O770="C",O770="D"),"Qualification",IF(OR(O770="E",O770="F",O770="G"),"Specialisation","Management &amp; Expertise"))</f>
        <v>Specialisation</v>
      </c>
      <c r="S770" s="5" t="s">
        <v>3789</v>
      </c>
      <c r="T770" s="4">
        <v>31067</v>
      </c>
      <c r="U770" s="5">
        <f t="shared" ref="U770:U832" si="112">YEAR(T770)</f>
        <v>1985</v>
      </c>
      <c r="V770" s="5" t="s">
        <v>3792</v>
      </c>
      <c r="W770" s="9">
        <f t="shared" si="109"/>
        <v>40</v>
      </c>
      <c r="X770" s="5" t="str">
        <f t="shared" ref="X770:X833" si="113">IF(W770&lt;30,"[20 - 29 ans[",IF(AND(W770&gt;=30,W770&lt;35),"[30 - 34 ans]",IF(AND(W770&gt;=35,W770&lt;40),"[35 - 39 ans ]",IF(AND(W770&gt;=40,W770&lt;45),"[40 - 44 ans]",IF(AND(W770&gt;=45,W770&lt;50),"[45 - 49 ans]","[50 ans, +oo [")))))</f>
        <v>[40 - 44 ans]</v>
      </c>
      <c r="Y770" s="5" t="str">
        <f t="shared" ref="Y770:Y833" si="114">IF(AND(U770&gt;1946,U770&lt;=1965)," Baby - Boomers ",IF(AND(U770&gt;1965,U770&lt;=1980)," Generation X ",IF(AND(U770&gt;1980,U770&lt;1996)," Mellenials ",IF(AND(U770&gt;1996,U770&lt;2012)," Gen Z "," Gen Alpha"))))</f>
        <v xml:space="preserve"> Mellenials </v>
      </c>
      <c r="Z770" s="9">
        <f t="shared" ref="Z770:Z832" si="115">60-W770</f>
        <v>20</v>
      </c>
      <c r="AA770" s="5" t="str">
        <f t="shared" ref="AA770:AA833" si="116">IF(Z770&lt;=5,"Départ à la Retraite 5ans","RAS")</f>
        <v>RAS</v>
      </c>
      <c r="AB770" s="5" t="s">
        <v>3807</v>
      </c>
      <c r="AC770" s="6" t="s">
        <v>3799</v>
      </c>
      <c r="AE770" s="5" t="s">
        <v>3844</v>
      </c>
      <c r="AF770" s="5" t="s">
        <v>4482</v>
      </c>
      <c r="AG770" s="5" t="s">
        <v>4485</v>
      </c>
      <c r="AH770" s="5" t="s">
        <v>4487</v>
      </c>
      <c r="AI770" s="5" t="s">
        <v>4111</v>
      </c>
      <c r="AJ770" s="5" t="s">
        <v>4112</v>
      </c>
      <c r="AK770" s="5">
        <v>61000</v>
      </c>
      <c r="AL770" s="5" t="s">
        <v>3858</v>
      </c>
    </row>
    <row r="771" spans="1:38" x14ac:dyDescent="0.3">
      <c r="A771" s="4">
        <v>45716</v>
      </c>
      <c r="B771" s="5" t="s">
        <v>2737</v>
      </c>
      <c r="C771" s="5" t="s">
        <v>2738</v>
      </c>
      <c r="D771" s="5" t="s">
        <v>2739</v>
      </c>
      <c r="E771" s="5" t="s">
        <v>4494</v>
      </c>
      <c r="G771" s="5" t="s">
        <v>88</v>
      </c>
      <c r="H771" s="5" t="s">
        <v>2740</v>
      </c>
      <c r="I771" s="5" t="s">
        <v>182</v>
      </c>
      <c r="J771" s="5" t="s">
        <v>1857</v>
      </c>
      <c r="K771" s="4">
        <v>42552</v>
      </c>
      <c r="L771" s="4">
        <v>42552</v>
      </c>
      <c r="M771" s="9">
        <f t="shared" si="108"/>
        <v>8</v>
      </c>
      <c r="N771" s="4" t="str">
        <f t="shared" si="110"/>
        <v>] 5 ; 8 ]</v>
      </c>
      <c r="O771" s="5" t="s">
        <v>3784</v>
      </c>
      <c r="P771" s="5" t="s">
        <v>3784</v>
      </c>
      <c r="Q771" s="5">
        <v>2</v>
      </c>
      <c r="R771" s="5" t="str">
        <f t="shared" si="111"/>
        <v>Management &amp; Expertise</v>
      </c>
      <c r="S771" s="5" t="s">
        <v>3789</v>
      </c>
      <c r="T771" s="4">
        <v>29493</v>
      </c>
      <c r="U771" s="5">
        <f t="shared" si="112"/>
        <v>1980</v>
      </c>
      <c r="V771" s="5" t="s">
        <v>3793</v>
      </c>
      <c r="W771" s="9">
        <f t="shared" si="109"/>
        <v>44</v>
      </c>
      <c r="X771" s="5" t="str">
        <f t="shared" si="113"/>
        <v>[40 - 44 ans]</v>
      </c>
      <c r="Y771" s="5" t="str">
        <f t="shared" si="114"/>
        <v xml:space="preserve"> Generation X </v>
      </c>
      <c r="Z771" s="9">
        <f t="shared" si="115"/>
        <v>16</v>
      </c>
      <c r="AA771" s="5" t="str">
        <f t="shared" si="116"/>
        <v>RAS</v>
      </c>
      <c r="AB771" s="5" t="s">
        <v>3806</v>
      </c>
      <c r="AC771" s="6" t="s">
        <v>3799</v>
      </c>
      <c r="AE771" s="5" t="s">
        <v>3845</v>
      </c>
      <c r="AF771" s="5" t="s">
        <v>4481</v>
      </c>
      <c r="AG771" s="5" t="s">
        <v>4485</v>
      </c>
      <c r="AH771" s="5" t="s">
        <v>4488</v>
      </c>
      <c r="AI771" s="5" t="s">
        <v>4416</v>
      </c>
      <c r="AJ771" s="5" t="s">
        <v>4417</v>
      </c>
      <c r="AK771" s="5">
        <v>11100</v>
      </c>
      <c r="AL771" s="5" t="s">
        <v>3854</v>
      </c>
    </row>
    <row r="772" spans="1:38" x14ac:dyDescent="0.3">
      <c r="A772" s="4">
        <v>45716</v>
      </c>
      <c r="B772" s="5" t="s">
        <v>2741</v>
      </c>
      <c r="C772" s="5" t="s">
        <v>2742</v>
      </c>
      <c r="D772" s="5" t="s">
        <v>2743</v>
      </c>
      <c r="E772" s="5" t="s">
        <v>4494</v>
      </c>
      <c r="G772" s="5" t="s">
        <v>39</v>
      </c>
      <c r="H772" s="5" t="s">
        <v>2744</v>
      </c>
      <c r="I772" s="5" t="s">
        <v>149</v>
      </c>
      <c r="J772" s="5" t="s">
        <v>2821</v>
      </c>
      <c r="K772" s="4">
        <v>42614</v>
      </c>
      <c r="L772" s="4">
        <v>42614</v>
      </c>
      <c r="M772" s="9">
        <f t="shared" si="108"/>
        <v>8</v>
      </c>
      <c r="N772" s="4" t="str">
        <f t="shared" si="110"/>
        <v>] 5 ; 8 ]</v>
      </c>
      <c r="O772" s="5" t="s">
        <v>3782</v>
      </c>
      <c r="P772" s="5" t="s">
        <v>3782</v>
      </c>
      <c r="Q772" s="5">
        <v>2</v>
      </c>
      <c r="R772" s="5" t="str">
        <f t="shared" si="111"/>
        <v>Management &amp; Expertise</v>
      </c>
      <c r="S772" s="5" t="s">
        <v>3789</v>
      </c>
      <c r="T772" s="4">
        <v>28289</v>
      </c>
      <c r="U772" s="5">
        <f t="shared" si="112"/>
        <v>1977</v>
      </c>
      <c r="V772" s="5" t="s">
        <v>3793</v>
      </c>
      <c r="W772" s="9">
        <f t="shared" si="109"/>
        <v>47</v>
      </c>
      <c r="X772" s="5" t="str">
        <f t="shared" si="113"/>
        <v>[45 - 49 ans]</v>
      </c>
      <c r="Y772" s="5" t="str">
        <f t="shared" si="114"/>
        <v xml:space="preserve"> Generation X </v>
      </c>
      <c r="Z772" s="9">
        <f t="shared" si="115"/>
        <v>13</v>
      </c>
      <c r="AA772" s="5" t="str">
        <f t="shared" si="116"/>
        <v>RAS</v>
      </c>
      <c r="AB772" s="5" t="s">
        <v>3807</v>
      </c>
      <c r="AC772" s="6" t="s">
        <v>3799</v>
      </c>
      <c r="AE772" s="5" t="s">
        <v>3845</v>
      </c>
      <c r="AF772" s="5" t="s">
        <v>4481</v>
      </c>
      <c r="AG772" s="5" t="s">
        <v>4485</v>
      </c>
      <c r="AH772" s="5" t="s">
        <v>4489</v>
      </c>
      <c r="AI772" s="5" t="s">
        <v>3971</v>
      </c>
      <c r="AJ772" s="5" t="s">
        <v>3972</v>
      </c>
      <c r="AK772" s="5" t="s">
        <v>3873</v>
      </c>
      <c r="AL772" s="5" t="s">
        <v>3854</v>
      </c>
    </row>
    <row r="773" spans="1:38" x14ac:dyDescent="0.3">
      <c r="A773" s="4">
        <v>45716</v>
      </c>
      <c r="B773" s="5" t="s">
        <v>2745</v>
      </c>
      <c r="C773" s="5" t="s">
        <v>2746</v>
      </c>
      <c r="D773" s="5" t="s">
        <v>2747</v>
      </c>
      <c r="E773" s="5" t="s">
        <v>4494</v>
      </c>
      <c r="G773" s="5" t="s">
        <v>39</v>
      </c>
      <c r="H773" s="5" t="s">
        <v>179</v>
      </c>
      <c r="I773" s="5" t="s">
        <v>2821</v>
      </c>
      <c r="J773" s="5" t="s">
        <v>2841</v>
      </c>
      <c r="K773" s="4">
        <v>42644</v>
      </c>
      <c r="L773" s="4">
        <v>42644</v>
      </c>
      <c r="M773" s="9">
        <f t="shared" si="108"/>
        <v>8</v>
      </c>
      <c r="N773" s="4" t="str">
        <f t="shared" si="110"/>
        <v>] 5 ; 8 ]</v>
      </c>
      <c r="O773" s="5" t="s">
        <v>3785</v>
      </c>
      <c r="P773" s="5" t="s">
        <v>3783</v>
      </c>
      <c r="Q773" s="5">
        <v>2</v>
      </c>
      <c r="R773" s="5" t="str">
        <f t="shared" si="111"/>
        <v>Specialisation</v>
      </c>
      <c r="S773" s="5" t="s">
        <v>3790</v>
      </c>
      <c r="T773" s="4">
        <v>30617</v>
      </c>
      <c r="U773" s="5">
        <f t="shared" si="112"/>
        <v>1983</v>
      </c>
      <c r="V773" s="5" t="s">
        <v>3793</v>
      </c>
      <c r="W773" s="9">
        <f t="shared" si="109"/>
        <v>41</v>
      </c>
      <c r="X773" s="5" t="str">
        <f t="shared" si="113"/>
        <v>[40 - 44 ans]</v>
      </c>
      <c r="Y773" s="5" t="str">
        <f t="shared" si="114"/>
        <v xml:space="preserve"> Mellenials </v>
      </c>
      <c r="Z773" s="9">
        <f t="shared" si="115"/>
        <v>19</v>
      </c>
      <c r="AA773" s="5" t="str">
        <f t="shared" si="116"/>
        <v>RAS</v>
      </c>
      <c r="AB773" s="5" t="s">
        <v>3807</v>
      </c>
      <c r="AC773" s="6" t="s">
        <v>3799</v>
      </c>
      <c r="AE773" s="5" t="s">
        <v>3844</v>
      </c>
      <c r="AF773" s="5" t="s">
        <v>4481</v>
      </c>
      <c r="AG773" s="5" t="s">
        <v>4485</v>
      </c>
      <c r="AH773" s="5" t="s">
        <v>4487</v>
      </c>
      <c r="AI773" s="5" t="s">
        <v>4434</v>
      </c>
      <c r="AJ773" s="5" t="s">
        <v>4435</v>
      </c>
      <c r="AK773" s="5" t="s">
        <v>4436</v>
      </c>
      <c r="AL773" s="5" t="s">
        <v>3858</v>
      </c>
    </row>
    <row r="774" spans="1:38" x14ac:dyDescent="0.3">
      <c r="A774" s="4">
        <v>45716</v>
      </c>
      <c r="B774" s="5" t="s">
        <v>2748</v>
      </c>
      <c r="C774" s="5" t="s">
        <v>2749</v>
      </c>
      <c r="D774" s="5" t="s">
        <v>2750</v>
      </c>
      <c r="E774" s="5" t="s">
        <v>4494</v>
      </c>
      <c r="G774" s="5" t="s">
        <v>83</v>
      </c>
      <c r="H774" s="5" t="s">
        <v>2751</v>
      </c>
      <c r="I774" s="5" t="s">
        <v>96</v>
      </c>
      <c r="J774" s="5" t="s">
        <v>1222</v>
      </c>
      <c r="K774" s="4">
        <v>42675</v>
      </c>
      <c r="L774" s="4">
        <v>42675</v>
      </c>
      <c r="M774" s="9">
        <f t="shared" si="108"/>
        <v>8</v>
      </c>
      <c r="N774" s="4" t="str">
        <f t="shared" si="110"/>
        <v>] 5 ; 8 ]</v>
      </c>
      <c r="O774" s="5" t="s">
        <v>3783</v>
      </c>
      <c r="P774" s="5" t="s">
        <v>3783</v>
      </c>
      <c r="Q774" s="5">
        <v>2</v>
      </c>
      <c r="R774" s="5" t="str">
        <f t="shared" si="111"/>
        <v>Specialisation</v>
      </c>
      <c r="S774" s="5" t="s">
        <v>3789</v>
      </c>
      <c r="T774" s="4">
        <v>32341</v>
      </c>
      <c r="U774" s="5">
        <f t="shared" si="112"/>
        <v>1988</v>
      </c>
      <c r="V774" s="5" t="s">
        <v>3792</v>
      </c>
      <c r="W774" s="9">
        <f t="shared" si="109"/>
        <v>36</v>
      </c>
      <c r="X774" s="5" t="str">
        <f t="shared" si="113"/>
        <v>[35 - 39 ans ]</v>
      </c>
      <c r="Y774" s="5" t="str">
        <f t="shared" si="114"/>
        <v xml:space="preserve"> Mellenials </v>
      </c>
      <c r="Z774" s="9">
        <f t="shared" si="115"/>
        <v>24</v>
      </c>
      <c r="AA774" s="5" t="str">
        <f t="shared" si="116"/>
        <v>RAS</v>
      </c>
      <c r="AB774" s="5" t="s">
        <v>3807</v>
      </c>
      <c r="AC774" s="6" t="s">
        <v>3799</v>
      </c>
      <c r="AE774" s="5" t="s">
        <v>3844</v>
      </c>
      <c r="AF774" s="5" t="s">
        <v>4482</v>
      </c>
      <c r="AG774" s="5" t="s">
        <v>4485</v>
      </c>
      <c r="AH774" s="5" t="s">
        <v>4489</v>
      </c>
      <c r="AI774" s="5" t="s">
        <v>3901</v>
      </c>
      <c r="AJ774" s="5" t="s">
        <v>3902</v>
      </c>
      <c r="AK774" s="5" t="s">
        <v>3903</v>
      </c>
      <c r="AL774" s="5" t="s">
        <v>3858</v>
      </c>
    </row>
    <row r="775" spans="1:38" x14ac:dyDescent="0.3">
      <c r="A775" s="4">
        <v>45716</v>
      </c>
      <c r="B775" s="5" t="s">
        <v>2752</v>
      </c>
      <c r="C775" s="5" t="s">
        <v>2753</v>
      </c>
      <c r="D775" s="5" t="s">
        <v>2754</v>
      </c>
      <c r="E775" s="5" t="s">
        <v>4494</v>
      </c>
      <c r="G775" s="5" t="s">
        <v>29</v>
      </c>
      <c r="H775" s="5" t="s">
        <v>2437</v>
      </c>
      <c r="I775" s="5" t="s">
        <v>3366</v>
      </c>
      <c r="J775" s="5" t="s">
        <v>157</v>
      </c>
      <c r="K775" s="4">
        <v>42675</v>
      </c>
      <c r="L775" s="4">
        <v>42675</v>
      </c>
      <c r="M775" s="9">
        <f t="shared" si="108"/>
        <v>8</v>
      </c>
      <c r="N775" s="4" t="str">
        <f t="shared" si="110"/>
        <v>] 5 ; 8 ]</v>
      </c>
      <c r="O775" s="5" t="s">
        <v>3786</v>
      </c>
      <c r="P775" s="5" t="s">
        <v>3786</v>
      </c>
      <c r="Q775" s="5">
        <v>2</v>
      </c>
      <c r="R775" s="5" t="str">
        <f t="shared" si="111"/>
        <v>Specialisation</v>
      </c>
      <c r="S775" s="5" t="s">
        <v>3789</v>
      </c>
      <c r="T775" s="4">
        <v>30603</v>
      </c>
      <c r="U775" s="5">
        <f t="shared" si="112"/>
        <v>1983</v>
      </c>
      <c r="V775" s="5" t="s">
        <v>3792</v>
      </c>
      <c r="W775" s="9">
        <f t="shared" si="109"/>
        <v>41</v>
      </c>
      <c r="X775" s="5" t="str">
        <f t="shared" si="113"/>
        <v>[40 - 44 ans]</v>
      </c>
      <c r="Y775" s="5" t="str">
        <f t="shared" si="114"/>
        <v xml:space="preserve"> Mellenials </v>
      </c>
      <c r="Z775" s="9">
        <f t="shared" si="115"/>
        <v>19</v>
      </c>
      <c r="AA775" s="5" t="str">
        <f t="shared" si="116"/>
        <v>RAS</v>
      </c>
      <c r="AB775" s="5" t="s">
        <v>3806</v>
      </c>
      <c r="AC775" s="6" t="s">
        <v>3799</v>
      </c>
      <c r="AE775" s="5" t="s">
        <v>3844</v>
      </c>
      <c r="AF775" s="5" t="s">
        <v>4482</v>
      </c>
      <c r="AG775" s="5" t="s">
        <v>4485</v>
      </c>
      <c r="AH775" s="5" t="s">
        <v>4487</v>
      </c>
      <c r="AI775" s="5" t="s">
        <v>4006</v>
      </c>
      <c r="AJ775" s="5" t="s">
        <v>4007</v>
      </c>
      <c r="AK775" s="5" t="s">
        <v>3937</v>
      </c>
      <c r="AL775" s="5" t="s">
        <v>3858</v>
      </c>
    </row>
    <row r="776" spans="1:38" x14ac:dyDescent="0.3">
      <c r="A776" s="4">
        <v>45716</v>
      </c>
      <c r="B776" s="5" t="s">
        <v>2755</v>
      </c>
      <c r="C776" s="5" t="s">
        <v>2756</v>
      </c>
      <c r="D776" s="5" t="s">
        <v>2757</v>
      </c>
      <c r="E776" s="5" t="s">
        <v>4494</v>
      </c>
      <c r="G776" s="5" t="s">
        <v>78</v>
      </c>
      <c r="H776" s="5" t="s">
        <v>575</v>
      </c>
      <c r="I776" s="5" t="s">
        <v>1548</v>
      </c>
      <c r="J776" s="5" t="s">
        <v>1526</v>
      </c>
      <c r="K776" s="4">
        <v>42675</v>
      </c>
      <c r="L776" s="4">
        <v>42675</v>
      </c>
      <c r="M776" s="9">
        <f t="shared" si="108"/>
        <v>8</v>
      </c>
      <c r="N776" s="4" t="str">
        <f t="shared" si="110"/>
        <v>] 5 ; 8 ]</v>
      </c>
      <c r="O776" s="5" t="s">
        <v>3786</v>
      </c>
      <c r="P776" s="5" t="s">
        <v>3786</v>
      </c>
      <c r="Q776" s="5">
        <v>1</v>
      </c>
      <c r="R776" s="5" t="str">
        <f t="shared" si="111"/>
        <v>Specialisation</v>
      </c>
      <c r="S776" s="5" t="s">
        <v>3790</v>
      </c>
      <c r="T776" s="4">
        <v>31223</v>
      </c>
      <c r="U776" s="5">
        <f t="shared" si="112"/>
        <v>1985</v>
      </c>
      <c r="V776" s="5" t="s">
        <v>3793</v>
      </c>
      <c r="W776" s="9">
        <f t="shared" si="109"/>
        <v>39</v>
      </c>
      <c r="X776" s="5" t="str">
        <f t="shared" si="113"/>
        <v>[35 - 39 ans ]</v>
      </c>
      <c r="Y776" s="5" t="str">
        <f t="shared" si="114"/>
        <v xml:space="preserve"> Mellenials </v>
      </c>
      <c r="Z776" s="9">
        <f t="shared" si="115"/>
        <v>21</v>
      </c>
      <c r="AA776" s="5" t="str">
        <f t="shared" si="116"/>
        <v>RAS</v>
      </c>
      <c r="AB776" s="5" t="s">
        <v>3838</v>
      </c>
      <c r="AC776" s="6" t="s">
        <v>3799</v>
      </c>
      <c r="AE776" s="5" t="s">
        <v>3844</v>
      </c>
      <c r="AF776" s="5" t="s">
        <v>4482</v>
      </c>
      <c r="AG776" s="5" t="s">
        <v>4485</v>
      </c>
      <c r="AH776" s="5" t="s">
        <v>4488</v>
      </c>
      <c r="AI776" s="5" t="s">
        <v>4131</v>
      </c>
      <c r="AJ776" s="5" t="s">
        <v>4132</v>
      </c>
      <c r="AK776" s="5" t="s">
        <v>4090</v>
      </c>
      <c r="AL776" s="5" t="s">
        <v>3858</v>
      </c>
    </row>
    <row r="777" spans="1:38" x14ac:dyDescent="0.3">
      <c r="A777" s="4">
        <v>45716</v>
      </c>
      <c r="B777" s="5" t="s">
        <v>2758</v>
      </c>
      <c r="C777" s="5" t="s">
        <v>2759</v>
      </c>
      <c r="D777" s="5" t="s">
        <v>2760</v>
      </c>
      <c r="E777" s="5" t="s">
        <v>4494</v>
      </c>
      <c r="G777" s="5" t="s">
        <v>39</v>
      </c>
      <c r="H777" s="5" t="s">
        <v>2363</v>
      </c>
      <c r="I777" s="5" t="s">
        <v>2991</v>
      </c>
      <c r="J777" s="5" t="s">
        <v>278</v>
      </c>
      <c r="K777" s="4">
        <v>42705</v>
      </c>
      <c r="L777" s="4">
        <v>42705</v>
      </c>
      <c r="M777" s="9">
        <f t="shared" si="108"/>
        <v>8</v>
      </c>
      <c r="N777" s="4" t="str">
        <f t="shared" si="110"/>
        <v>] 5 ; 8 ]</v>
      </c>
      <c r="O777" s="5" t="s">
        <v>3782</v>
      </c>
      <c r="P777" s="5" t="s">
        <v>3782</v>
      </c>
      <c r="Q777" s="5">
        <v>1</v>
      </c>
      <c r="R777" s="5" t="str">
        <f t="shared" si="111"/>
        <v>Management &amp; Expertise</v>
      </c>
      <c r="S777" s="5" t="s">
        <v>3790</v>
      </c>
      <c r="T777" s="4">
        <v>33207</v>
      </c>
      <c r="U777" s="5">
        <f t="shared" si="112"/>
        <v>1990</v>
      </c>
      <c r="V777" s="5" t="s">
        <v>3793</v>
      </c>
      <c r="W777" s="9">
        <f t="shared" si="109"/>
        <v>34</v>
      </c>
      <c r="X777" s="5" t="str">
        <f t="shared" si="113"/>
        <v>[30 - 34 ans]</v>
      </c>
      <c r="Y777" s="5" t="str">
        <f t="shared" si="114"/>
        <v xml:space="preserve"> Mellenials </v>
      </c>
      <c r="Z777" s="9">
        <f t="shared" si="115"/>
        <v>26</v>
      </c>
      <c r="AA777" s="5" t="str">
        <f t="shared" si="116"/>
        <v>RAS</v>
      </c>
      <c r="AB777" s="5" t="s">
        <v>3807</v>
      </c>
      <c r="AC777" s="6" t="s">
        <v>3799</v>
      </c>
      <c r="AE777" s="5" t="s">
        <v>3844</v>
      </c>
      <c r="AF777" s="5" t="s">
        <v>4481</v>
      </c>
      <c r="AG777" s="5" t="s">
        <v>4485</v>
      </c>
      <c r="AH777" s="5" t="s">
        <v>4489</v>
      </c>
      <c r="AI777" s="5" t="s">
        <v>4407</v>
      </c>
      <c r="AJ777" s="5" t="s">
        <v>4408</v>
      </c>
      <c r="AK777" s="5" t="s">
        <v>4409</v>
      </c>
      <c r="AL777" s="5" t="s">
        <v>3858</v>
      </c>
    </row>
    <row r="778" spans="1:38" x14ac:dyDescent="0.3">
      <c r="A778" s="4">
        <v>45716</v>
      </c>
      <c r="B778" s="5" t="s">
        <v>2761</v>
      </c>
      <c r="C778" s="5" t="s">
        <v>2762</v>
      </c>
      <c r="D778" s="5" t="s">
        <v>2763</v>
      </c>
      <c r="E778" s="5" t="s">
        <v>4494</v>
      </c>
      <c r="G778" s="5" t="s">
        <v>39</v>
      </c>
      <c r="H778" s="5" t="s">
        <v>621</v>
      </c>
      <c r="I778" s="5" t="s">
        <v>1795</v>
      </c>
      <c r="J778" s="5" t="s">
        <v>52</v>
      </c>
      <c r="K778" s="4">
        <v>42705</v>
      </c>
      <c r="L778" s="4">
        <v>42705</v>
      </c>
      <c r="M778" s="9">
        <f t="shared" si="108"/>
        <v>8</v>
      </c>
      <c r="N778" s="4" t="str">
        <f t="shared" si="110"/>
        <v>] 5 ; 8 ]</v>
      </c>
      <c r="O778" s="5" t="s">
        <v>3780</v>
      </c>
      <c r="P778" s="5" t="s">
        <v>3780</v>
      </c>
      <c r="Q778" s="5">
        <v>1</v>
      </c>
      <c r="R778" s="5" t="str">
        <f t="shared" si="111"/>
        <v>Qualification</v>
      </c>
      <c r="S778" s="5" t="s">
        <v>3789</v>
      </c>
      <c r="T778" s="4">
        <v>31855</v>
      </c>
      <c r="U778" s="5">
        <f t="shared" si="112"/>
        <v>1987</v>
      </c>
      <c r="V778" s="5" t="s">
        <v>3793</v>
      </c>
      <c r="W778" s="9">
        <f t="shared" si="109"/>
        <v>37</v>
      </c>
      <c r="X778" s="5" t="str">
        <f t="shared" si="113"/>
        <v>[35 - 39 ans ]</v>
      </c>
      <c r="Y778" s="5" t="str">
        <f t="shared" si="114"/>
        <v xml:space="preserve"> Mellenials </v>
      </c>
      <c r="Z778" s="9">
        <f t="shared" si="115"/>
        <v>23</v>
      </c>
      <c r="AA778" s="5" t="str">
        <f t="shared" si="116"/>
        <v>RAS</v>
      </c>
      <c r="AB778" s="5" t="s">
        <v>3807</v>
      </c>
      <c r="AC778" s="6" t="s">
        <v>3799</v>
      </c>
      <c r="AE778" s="5" t="s">
        <v>3844</v>
      </c>
      <c r="AF778" s="5" t="s">
        <v>4482</v>
      </c>
      <c r="AG778" s="5" t="s">
        <v>4485</v>
      </c>
      <c r="AH778" s="5" t="s">
        <v>4489</v>
      </c>
      <c r="AI778" s="5" t="s">
        <v>4146</v>
      </c>
      <c r="AJ778" s="5" t="s">
        <v>4147</v>
      </c>
      <c r="AK778" s="5" t="s">
        <v>4148</v>
      </c>
      <c r="AL778" s="5" t="s">
        <v>3858</v>
      </c>
    </row>
    <row r="779" spans="1:38" x14ac:dyDescent="0.3">
      <c r="A779" s="4">
        <v>45716</v>
      </c>
      <c r="B779" s="5" t="s">
        <v>2764</v>
      </c>
      <c r="C779" s="5" t="s">
        <v>2765</v>
      </c>
      <c r="D779" s="5" t="s">
        <v>2766</v>
      </c>
      <c r="E779" s="5" t="s">
        <v>4494</v>
      </c>
      <c r="G779" s="5" t="s">
        <v>78</v>
      </c>
      <c r="H779" s="5" t="s">
        <v>1180</v>
      </c>
      <c r="I779" s="5" t="s">
        <v>3225</v>
      </c>
      <c r="J779" s="5" t="s">
        <v>3762</v>
      </c>
      <c r="K779" s="4">
        <v>42705</v>
      </c>
      <c r="L779" s="4">
        <v>42705</v>
      </c>
      <c r="M779" s="9">
        <f t="shared" si="108"/>
        <v>8</v>
      </c>
      <c r="N779" s="4" t="str">
        <f t="shared" si="110"/>
        <v>] 5 ; 8 ]</v>
      </c>
      <c r="O779" s="5" t="s">
        <v>3788</v>
      </c>
      <c r="P779" s="5" t="s">
        <v>3780</v>
      </c>
      <c r="Q779" s="5">
        <v>1</v>
      </c>
      <c r="R779" s="5" t="str">
        <f t="shared" si="111"/>
        <v>Qualification</v>
      </c>
      <c r="S779" s="5" t="s">
        <v>3789</v>
      </c>
      <c r="T779" s="4">
        <v>30958</v>
      </c>
      <c r="U779" s="5">
        <f t="shared" si="112"/>
        <v>1984</v>
      </c>
      <c r="V779" s="5" t="s">
        <v>3793</v>
      </c>
      <c r="W779" s="9">
        <f t="shared" si="109"/>
        <v>40</v>
      </c>
      <c r="X779" s="5" t="str">
        <f t="shared" si="113"/>
        <v>[40 - 44 ans]</v>
      </c>
      <c r="Y779" s="5" t="str">
        <f t="shared" si="114"/>
        <v xml:space="preserve"> Mellenials </v>
      </c>
      <c r="Z779" s="9">
        <f t="shared" si="115"/>
        <v>20</v>
      </c>
      <c r="AA779" s="5" t="str">
        <f t="shared" si="116"/>
        <v>RAS</v>
      </c>
      <c r="AB779" s="5" t="s">
        <v>3808</v>
      </c>
      <c r="AC779" s="6" t="s">
        <v>3799</v>
      </c>
      <c r="AE779" s="5" t="s">
        <v>3844</v>
      </c>
      <c r="AF779" s="5" t="s">
        <v>4482</v>
      </c>
      <c r="AG779" s="5" t="s">
        <v>4485</v>
      </c>
      <c r="AH779" s="5" t="s">
        <v>4488</v>
      </c>
      <c r="AI779" s="5" t="s">
        <v>4257</v>
      </c>
      <c r="AJ779" s="5" t="s">
        <v>4258</v>
      </c>
      <c r="AK779" s="5" t="s">
        <v>4090</v>
      </c>
      <c r="AL779" s="5" t="s">
        <v>3858</v>
      </c>
    </row>
    <row r="780" spans="1:38" x14ac:dyDescent="0.3">
      <c r="A780" s="4">
        <v>45716</v>
      </c>
      <c r="B780" s="5" t="s">
        <v>2767</v>
      </c>
      <c r="C780" s="5" t="s">
        <v>2768</v>
      </c>
      <c r="D780" s="5" t="s">
        <v>2769</v>
      </c>
      <c r="E780" s="5" t="s">
        <v>4494</v>
      </c>
      <c r="G780" s="5" t="s">
        <v>78</v>
      </c>
      <c r="H780" s="5" t="s">
        <v>575</v>
      </c>
      <c r="I780" s="5" t="s">
        <v>1548</v>
      </c>
      <c r="J780" s="5" t="s">
        <v>1526</v>
      </c>
      <c r="K780" s="4">
        <v>42705</v>
      </c>
      <c r="L780" s="4">
        <v>42705</v>
      </c>
      <c r="M780" s="9">
        <f t="shared" si="108"/>
        <v>8</v>
      </c>
      <c r="N780" s="4" t="str">
        <f t="shared" si="110"/>
        <v>] 5 ; 8 ]</v>
      </c>
      <c r="O780" s="5" t="s">
        <v>3786</v>
      </c>
      <c r="P780" s="5" t="s">
        <v>3786</v>
      </c>
      <c r="Q780" s="5">
        <v>2</v>
      </c>
      <c r="R780" s="5" t="str">
        <f t="shared" si="111"/>
        <v>Specialisation</v>
      </c>
      <c r="S780" s="5" t="s">
        <v>3789</v>
      </c>
      <c r="T780" s="4">
        <v>31331</v>
      </c>
      <c r="U780" s="5">
        <f t="shared" si="112"/>
        <v>1985</v>
      </c>
      <c r="V780" s="5" t="s">
        <v>3792</v>
      </c>
      <c r="W780" s="9">
        <f t="shared" si="109"/>
        <v>39</v>
      </c>
      <c r="X780" s="5" t="str">
        <f t="shared" si="113"/>
        <v>[35 - 39 ans ]</v>
      </c>
      <c r="Y780" s="5" t="str">
        <f t="shared" si="114"/>
        <v xml:space="preserve"> Mellenials </v>
      </c>
      <c r="Z780" s="9">
        <f t="shared" si="115"/>
        <v>21</v>
      </c>
      <c r="AA780" s="5" t="str">
        <f t="shared" si="116"/>
        <v>RAS</v>
      </c>
      <c r="AB780" s="5" t="s">
        <v>3808</v>
      </c>
      <c r="AC780" s="6" t="s">
        <v>3799</v>
      </c>
      <c r="AE780" s="5" t="s">
        <v>3844</v>
      </c>
      <c r="AF780" s="5" t="s">
        <v>4482</v>
      </c>
      <c r="AG780" s="5" t="s">
        <v>4485</v>
      </c>
      <c r="AH780" s="5" t="s">
        <v>4488</v>
      </c>
      <c r="AI780" s="5" t="s">
        <v>4131</v>
      </c>
      <c r="AJ780" s="5" t="s">
        <v>4132</v>
      </c>
      <c r="AK780" s="5" t="s">
        <v>4090</v>
      </c>
      <c r="AL780" s="5" t="s">
        <v>3858</v>
      </c>
    </row>
    <row r="781" spans="1:38" x14ac:dyDescent="0.3">
      <c r="A781" s="4">
        <v>45716</v>
      </c>
      <c r="B781" s="5" t="s">
        <v>2770</v>
      </c>
      <c r="C781" s="5" t="s">
        <v>2771</v>
      </c>
      <c r="D781" s="5" t="s">
        <v>2772</v>
      </c>
      <c r="E781" s="5" t="s">
        <v>4494</v>
      </c>
      <c r="G781" s="5" t="s">
        <v>78</v>
      </c>
      <c r="H781" s="5" t="s">
        <v>1614</v>
      </c>
      <c r="I781" s="5" t="s">
        <v>1626</v>
      </c>
      <c r="J781" s="5" t="s">
        <v>3294</v>
      </c>
      <c r="K781" s="4">
        <v>42736</v>
      </c>
      <c r="L781" s="4">
        <v>42736</v>
      </c>
      <c r="M781" s="9">
        <f t="shared" si="108"/>
        <v>8</v>
      </c>
      <c r="N781" s="4" t="str">
        <f t="shared" si="110"/>
        <v>] 5 ; 8 ]</v>
      </c>
      <c r="O781" s="5" t="s">
        <v>3788</v>
      </c>
      <c r="P781" s="5" t="s">
        <v>3788</v>
      </c>
      <c r="Q781" s="5">
        <v>2</v>
      </c>
      <c r="R781" s="5" t="str">
        <f t="shared" si="111"/>
        <v>Qualification</v>
      </c>
      <c r="S781" s="5" t="s">
        <v>3790</v>
      </c>
      <c r="T781" s="4">
        <v>30593</v>
      </c>
      <c r="U781" s="5">
        <f t="shared" si="112"/>
        <v>1983</v>
      </c>
      <c r="V781" s="5" t="s">
        <v>3792</v>
      </c>
      <c r="W781" s="9">
        <f t="shared" si="109"/>
        <v>41</v>
      </c>
      <c r="X781" s="5" t="str">
        <f t="shared" si="113"/>
        <v>[40 - 44 ans]</v>
      </c>
      <c r="Y781" s="5" t="str">
        <f t="shared" si="114"/>
        <v xml:space="preserve"> Mellenials </v>
      </c>
      <c r="Z781" s="9">
        <f t="shared" si="115"/>
        <v>19</v>
      </c>
      <c r="AA781" s="5" t="str">
        <f t="shared" si="116"/>
        <v>RAS</v>
      </c>
      <c r="AB781" s="5" t="s">
        <v>3808</v>
      </c>
      <c r="AC781" s="6" t="s">
        <v>3799</v>
      </c>
      <c r="AE781" s="5" t="s">
        <v>3844</v>
      </c>
      <c r="AF781" s="5" t="s">
        <v>4482</v>
      </c>
      <c r="AG781" s="5" t="s">
        <v>4485</v>
      </c>
      <c r="AH781" s="5" t="s">
        <v>4488</v>
      </c>
      <c r="AI781" s="5" t="s">
        <v>4339</v>
      </c>
      <c r="AJ781" s="5" t="s">
        <v>4340</v>
      </c>
      <c r="AK781" s="5" t="s">
        <v>4341</v>
      </c>
      <c r="AL781" s="5" t="s">
        <v>3858</v>
      </c>
    </row>
    <row r="782" spans="1:38" x14ac:dyDescent="0.3">
      <c r="A782" s="4">
        <v>45716</v>
      </c>
      <c r="B782" s="5" t="s">
        <v>2773</v>
      </c>
      <c r="C782" s="5" t="s">
        <v>2774</v>
      </c>
      <c r="D782" s="5" t="s">
        <v>2775</v>
      </c>
      <c r="E782" s="5" t="s">
        <v>4494</v>
      </c>
      <c r="G782" s="5" t="s">
        <v>39</v>
      </c>
      <c r="H782" s="5" t="s">
        <v>2776</v>
      </c>
      <c r="I782" s="5" t="s">
        <v>1506</v>
      </c>
      <c r="J782" s="5" t="s">
        <v>1256</v>
      </c>
      <c r="K782" s="4">
        <v>42736</v>
      </c>
      <c r="L782" s="4">
        <v>42736</v>
      </c>
      <c r="M782" s="9">
        <f t="shared" si="108"/>
        <v>8</v>
      </c>
      <c r="N782" s="4" t="str">
        <f t="shared" si="110"/>
        <v>] 5 ; 8 ]</v>
      </c>
      <c r="O782" s="5" t="s">
        <v>3785</v>
      </c>
      <c r="P782" s="5" t="s">
        <v>3785</v>
      </c>
      <c r="Q782" s="5">
        <v>1</v>
      </c>
      <c r="R782" s="5" t="str">
        <f t="shared" si="111"/>
        <v>Specialisation</v>
      </c>
      <c r="S782" s="5" t="s">
        <v>3789</v>
      </c>
      <c r="T782" s="4">
        <v>33297</v>
      </c>
      <c r="U782" s="5">
        <f t="shared" si="112"/>
        <v>1991</v>
      </c>
      <c r="V782" s="5" t="s">
        <v>3792</v>
      </c>
      <c r="W782" s="9">
        <f t="shared" si="109"/>
        <v>34</v>
      </c>
      <c r="X782" s="5" t="str">
        <f t="shared" si="113"/>
        <v>[30 - 34 ans]</v>
      </c>
      <c r="Y782" s="5" t="str">
        <f t="shared" si="114"/>
        <v xml:space="preserve"> Mellenials </v>
      </c>
      <c r="Z782" s="9">
        <f t="shared" si="115"/>
        <v>26</v>
      </c>
      <c r="AA782" s="5" t="str">
        <f t="shared" si="116"/>
        <v>RAS</v>
      </c>
      <c r="AB782" s="5" t="s">
        <v>3807</v>
      </c>
      <c r="AC782" s="6" t="s">
        <v>3799</v>
      </c>
      <c r="AE782" s="5" t="s">
        <v>3844</v>
      </c>
      <c r="AF782" s="5" t="s">
        <v>4481</v>
      </c>
      <c r="AG782" s="5" t="s">
        <v>4485</v>
      </c>
      <c r="AH782" s="5" t="s">
        <v>4489</v>
      </c>
      <c r="AI782" s="5" t="s">
        <v>4322</v>
      </c>
      <c r="AJ782" s="5" t="s">
        <v>4437</v>
      </c>
      <c r="AK782" s="5" t="s">
        <v>4280</v>
      </c>
      <c r="AL782" s="5" t="s">
        <v>3858</v>
      </c>
    </row>
    <row r="783" spans="1:38" x14ac:dyDescent="0.3">
      <c r="A783" s="4">
        <v>45716</v>
      </c>
      <c r="B783" s="5" t="s">
        <v>2777</v>
      </c>
      <c r="C783" s="5" t="s">
        <v>2778</v>
      </c>
      <c r="D783" s="5" t="s">
        <v>2779</v>
      </c>
      <c r="E783" s="5" t="s">
        <v>4494</v>
      </c>
      <c r="G783" s="5" t="s">
        <v>88</v>
      </c>
      <c r="H783" s="5" t="s">
        <v>2780</v>
      </c>
      <c r="I783" s="5" t="s">
        <v>230</v>
      </c>
      <c r="J783" s="5" t="s">
        <v>2739</v>
      </c>
      <c r="K783" s="4">
        <v>42736</v>
      </c>
      <c r="L783" s="4">
        <v>42736</v>
      </c>
      <c r="M783" s="9">
        <f t="shared" si="108"/>
        <v>8</v>
      </c>
      <c r="N783" s="4" t="str">
        <f t="shared" si="110"/>
        <v>] 5 ; 8 ]</v>
      </c>
      <c r="O783" s="5" t="s">
        <v>3786</v>
      </c>
      <c r="P783" s="5" t="s">
        <v>3786</v>
      </c>
      <c r="Q783" s="5">
        <v>1</v>
      </c>
      <c r="R783" s="5" t="str">
        <f t="shared" si="111"/>
        <v>Specialisation</v>
      </c>
      <c r="S783" s="5" t="s">
        <v>3789</v>
      </c>
      <c r="T783" s="4">
        <v>27986</v>
      </c>
      <c r="U783" s="5">
        <f t="shared" si="112"/>
        <v>1976</v>
      </c>
      <c r="V783" s="5" t="s">
        <v>3793</v>
      </c>
      <c r="W783" s="9">
        <f t="shared" si="109"/>
        <v>48</v>
      </c>
      <c r="X783" s="5" t="str">
        <f t="shared" si="113"/>
        <v>[45 - 49 ans]</v>
      </c>
      <c r="Y783" s="5" t="str">
        <f t="shared" si="114"/>
        <v xml:space="preserve"> Generation X </v>
      </c>
      <c r="Z783" s="9">
        <f t="shared" si="115"/>
        <v>12</v>
      </c>
      <c r="AA783" s="5" t="str">
        <f t="shared" si="116"/>
        <v>RAS</v>
      </c>
      <c r="AB783" s="5" t="s">
        <v>3830</v>
      </c>
      <c r="AC783" s="6" t="s">
        <v>3801</v>
      </c>
      <c r="AE783" s="5" t="s">
        <v>3844</v>
      </c>
      <c r="AF783" s="5" t="s">
        <v>4482</v>
      </c>
      <c r="AG783" s="5" t="s">
        <v>4485</v>
      </c>
      <c r="AH783" s="5" t="s">
        <v>4488</v>
      </c>
      <c r="AI783" s="5" t="s">
        <v>3968</v>
      </c>
      <c r="AJ783" s="5" t="s">
        <v>3969</v>
      </c>
      <c r="AK783" s="5" t="s">
        <v>3970</v>
      </c>
      <c r="AL783" s="5" t="s">
        <v>3858</v>
      </c>
    </row>
    <row r="784" spans="1:38" x14ac:dyDescent="0.3">
      <c r="A784" s="4">
        <v>45716</v>
      </c>
      <c r="B784" s="5" t="s">
        <v>2781</v>
      </c>
      <c r="C784" s="5" t="s">
        <v>2782</v>
      </c>
      <c r="D784" s="5" t="s">
        <v>2783</v>
      </c>
      <c r="E784" s="5" t="s">
        <v>4494</v>
      </c>
      <c r="G784" s="5" t="s">
        <v>29</v>
      </c>
      <c r="H784" s="5" t="s">
        <v>1638</v>
      </c>
      <c r="I784" s="5" t="s">
        <v>377</v>
      </c>
      <c r="J784" s="5" t="s">
        <v>69</v>
      </c>
      <c r="K784" s="4">
        <v>42736</v>
      </c>
      <c r="L784" s="4">
        <v>42736</v>
      </c>
      <c r="M784" s="9">
        <f t="shared" si="108"/>
        <v>8</v>
      </c>
      <c r="N784" s="4" t="str">
        <f t="shared" si="110"/>
        <v>] 5 ; 8 ]</v>
      </c>
      <c r="O784" s="5" t="s">
        <v>3780</v>
      </c>
      <c r="P784" s="5" t="s">
        <v>3780</v>
      </c>
      <c r="Q784" s="5">
        <v>3</v>
      </c>
      <c r="R784" s="5" t="str">
        <f t="shared" si="111"/>
        <v>Qualification</v>
      </c>
      <c r="S784" s="5" t="s">
        <v>3789</v>
      </c>
      <c r="T784" s="4">
        <v>31241</v>
      </c>
      <c r="U784" s="5">
        <f t="shared" si="112"/>
        <v>1985</v>
      </c>
      <c r="V784" s="5" t="s">
        <v>3793</v>
      </c>
      <c r="W784" s="9">
        <f t="shared" si="109"/>
        <v>39</v>
      </c>
      <c r="X784" s="5" t="str">
        <f t="shared" si="113"/>
        <v>[35 - 39 ans ]</v>
      </c>
      <c r="Y784" s="5" t="str">
        <f t="shared" si="114"/>
        <v xml:space="preserve"> Mellenials </v>
      </c>
      <c r="Z784" s="9">
        <f t="shared" si="115"/>
        <v>21</v>
      </c>
      <c r="AA784" s="5" t="str">
        <f t="shared" si="116"/>
        <v>RAS</v>
      </c>
      <c r="AB784" s="5" t="s">
        <v>3820</v>
      </c>
      <c r="AC784" s="6" t="s">
        <v>3800</v>
      </c>
      <c r="AE784" s="5" t="s">
        <v>3844</v>
      </c>
      <c r="AF784" s="5" t="s">
        <v>4482</v>
      </c>
      <c r="AG784" s="5" t="s">
        <v>4485</v>
      </c>
      <c r="AH784" s="5" t="s">
        <v>4488</v>
      </c>
      <c r="AI784" s="5" t="s">
        <v>3855</v>
      </c>
      <c r="AJ784" s="5" t="s">
        <v>3856</v>
      </c>
      <c r="AK784" s="5" t="s">
        <v>3857</v>
      </c>
      <c r="AL784" s="5" t="s">
        <v>3858</v>
      </c>
    </row>
    <row r="785" spans="1:38" x14ac:dyDescent="0.3">
      <c r="A785" s="4">
        <v>45716</v>
      </c>
      <c r="B785" s="5" t="s">
        <v>2784</v>
      </c>
      <c r="C785" s="5" t="s">
        <v>2785</v>
      </c>
      <c r="D785" s="5" t="s">
        <v>2786</v>
      </c>
      <c r="E785" s="5" t="s">
        <v>4494</v>
      </c>
      <c r="G785" s="5" t="s">
        <v>78</v>
      </c>
      <c r="H785" s="5" t="s">
        <v>2787</v>
      </c>
      <c r="I785" s="5" t="s">
        <v>1514</v>
      </c>
      <c r="J785" s="5" t="s">
        <v>3294</v>
      </c>
      <c r="K785" s="4">
        <v>42736</v>
      </c>
      <c r="L785" s="4">
        <v>42736</v>
      </c>
      <c r="M785" s="9">
        <f t="shared" si="108"/>
        <v>8</v>
      </c>
      <c r="N785" s="4" t="str">
        <f t="shared" si="110"/>
        <v>] 5 ; 8 ]</v>
      </c>
      <c r="O785" s="5" t="s">
        <v>3788</v>
      </c>
      <c r="P785" s="5" t="s">
        <v>3788</v>
      </c>
      <c r="Q785" s="5">
        <v>3</v>
      </c>
      <c r="R785" s="5" t="str">
        <f t="shared" si="111"/>
        <v>Qualification</v>
      </c>
      <c r="S785" s="5" t="s">
        <v>3790</v>
      </c>
      <c r="T785" s="4">
        <v>31817</v>
      </c>
      <c r="U785" s="5">
        <f t="shared" si="112"/>
        <v>1987</v>
      </c>
      <c r="V785" s="5" t="s">
        <v>3793</v>
      </c>
      <c r="W785" s="9">
        <f t="shared" si="109"/>
        <v>38</v>
      </c>
      <c r="X785" s="5" t="str">
        <f t="shared" si="113"/>
        <v>[35 - 39 ans ]</v>
      </c>
      <c r="Y785" s="5" t="str">
        <f t="shared" si="114"/>
        <v xml:space="preserve"> Mellenials </v>
      </c>
      <c r="Z785" s="9">
        <f t="shared" si="115"/>
        <v>22</v>
      </c>
      <c r="AA785" s="5" t="str">
        <f t="shared" si="116"/>
        <v>RAS</v>
      </c>
      <c r="AB785" s="5" t="s">
        <v>3808</v>
      </c>
      <c r="AC785" s="6" t="s">
        <v>3799</v>
      </c>
      <c r="AE785" s="5" t="s">
        <v>3844</v>
      </c>
      <c r="AF785" s="5" t="s">
        <v>4482</v>
      </c>
      <c r="AG785" s="5" t="s">
        <v>4485</v>
      </c>
      <c r="AH785" s="5" t="s">
        <v>4488</v>
      </c>
      <c r="AI785" s="5" t="s">
        <v>4326</v>
      </c>
      <c r="AJ785" s="5" t="s">
        <v>4327</v>
      </c>
      <c r="AK785" s="5" t="s">
        <v>4090</v>
      </c>
      <c r="AL785" s="5" t="s">
        <v>3858</v>
      </c>
    </row>
    <row r="786" spans="1:38" x14ac:dyDescent="0.3">
      <c r="A786" s="4">
        <v>45716</v>
      </c>
      <c r="B786" s="5" t="s">
        <v>2788</v>
      </c>
      <c r="C786" s="5" t="s">
        <v>2789</v>
      </c>
      <c r="D786" s="5" t="s">
        <v>2790</v>
      </c>
      <c r="E786" s="5" t="s">
        <v>4494</v>
      </c>
      <c r="G786" s="5" t="s">
        <v>78</v>
      </c>
      <c r="H786" s="5" t="s">
        <v>2121</v>
      </c>
      <c r="I786" s="5" t="s">
        <v>2312</v>
      </c>
      <c r="J786" s="5" t="s">
        <v>298</v>
      </c>
      <c r="K786" s="4">
        <v>42736</v>
      </c>
      <c r="L786" s="4">
        <v>42736</v>
      </c>
      <c r="M786" s="9">
        <f t="shared" si="108"/>
        <v>8</v>
      </c>
      <c r="N786" s="4" t="str">
        <f t="shared" si="110"/>
        <v>] 5 ; 8 ]</v>
      </c>
      <c r="O786" s="5" t="s">
        <v>3788</v>
      </c>
      <c r="P786" s="5" t="s">
        <v>3788</v>
      </c>
      <c r="Q786" s="5">
        <v>3</v>
      </c>
      <c r="R786" s="5" t="str">
        <f t="shared" si="111"/>
        <v>Qualification</v>
      </c>
      <c r="S786" s="5" t="s">
        <v>3790</v>
      </c>
      <c r="T786" s="4">
        <v>30717</v>
      </c>
      <c r="U786" s="5">
        <f t="shared" si="112"/>
        <v>1984</v>
      </c>
      <c r="V786" s="5" t="s">
        <v>3792</v>
      </c>
      <c r="W786" s="9">
        <f t="shared" si="109"/>
        <v>41</v>
      </c>
      <c r="X786" s="5" t="str">
        <f t="shared" si="113"/>
        <v>[40 - 44 ans]</v>
      </c>
      <c r="Y786" s="5" t="str">
        <f t="shared" si="114"/>
        <v xml:space="preserve"> Mellenials </v>
      </c>
      <c r="Z786" s="9">
        <f t="shared" si="115"/>
        <v>19</v>
      </c>
      <c r="AA786" s="5" t="str">
        <f t="shared" si="116"/>
        <v>RAS</v>
      </c>
      <c r="AB786" s="5" t="s">
        <v>3838</v>
      </c>
      <c r="AC786" s="6" t="s">
        <v>3799</v>
      </c>
      <c r="AE786" s="5" t="s">
        <v>3844</v>
      </c>
      <c r="AF786" s="5" t="s">
        <v>4482</v>
      </c>
      <c r="AG786" s="5" t="s">
        <v>4485</v>
      </c>
      <c r="AH786" s="5" t="s">
        <v>4488</v>
      </c>
      <c r="AI786" s="5" t="s">
        <v>4381</v>
      </c>
      <c r="AJ786" s="5" t="s">
        <v>4382</v>
      </c>
      <c r="AK786" s="5" t="s">
        <v>3946</v>
      </c>
      <c r="AL786" s="5" t="s">
        <v>3858</v>
      </c>
    </row>
    <row r="787" spans="1:38" x14ac:dyDescent="0.3">
      <c r="A787" s="4">
        <v>45716</v>
      </c>
      <c r="B787" s="5" t="s">
        <v>2791</v>
      </c>
      <c r="C787" s="5" t="s">
        <v>2792</v>
      </c>
      <c r="D787" s="5" t="s">
        <v>2793</v>
      </c>
      <c r="E787" s="5" t="s">
        <v>4494</v>
      </c>
      <c r="G787" s="5" t="s">
        <v>178</v>
      </c>
      <c r="H787" s="5" t="s">
        <v>2794</v>
      </c>
      <c r="I787" s="5" t="s">
        <v>3397</v>
      </c>
      <c r="J787" s="5" t="s">
        <v>435</v>
      </c>
      <c r="K787" s="4">
        <v>42736</v>
      </c>
      <c r="L787" s="4">
        <v>42736</v>
      </c>
      <c r="M787" s="9">
        <f t="shared" si="108"/>
        <v>8</v>
      </c>
      <c r="N787" s="4" t="str">
        <f t="shared" si="110"/>
        <v>] 5 ; 8 ]</v>
      </c>
      <c r="O787" s="5" t="s">
        <v>3786</v>
      </c>
      <c r="P787" s="5" t="s">
        <v>3786</v>
      </c>
      <c r="Q787" s="5">
        <v>1</v>
      </c>
      <c r="R787" s="5" t="str">
        <f t="shared" si="111"/>
        <v>Specialisation</v>
      </c>
      <c r="S787" s="5" t="s">
        <v>3789</v>
      </c>
      <c r="T787" s="4">
        <v>31865</v>
      </c>
      <c r="U787" s="5">
        <f t="shared" si="112"/>
        <v>1987</v>
      </c>
      <c r="V787" s="5" t="s">
        <v>3793</v>
      </c>
      <c r="W787" s="9">
        <f t="shared" si="109"/>
        <v>37</v>
      </c>
      <c r="X787" s="5" t="str">
        <f t="shared" si="113"/>
        <v>[35 - 39 ans ]</v>
      </c>
      <c r="Y787" s="5" t="str">
        <f t="shared" si="114"/>
        <v xml:space="preserve"> Mellenials </v>
      </c>
      <c r="Z787" s="9">
        <f t="shared" si="115"/>
        <v>23</v>
      </c>
      <c r="AA787" s="5" t="str">
        <f t="shared" si="116"/>
        <v>RAS</v>
      </c>
      <c r="AB787" s="5" t="s">
        <v>3806</v>
      </c>
      <c r="AC787" s="6" t="s">
        <v>3799</v>
      </c>
      <c r="AE787" s="5" t="s">
        <v>3844</v>
      </c>
      <c r="AF787" s="5" t="s">
        <v>4482</v>
      </c>
      <c r="AG787" s="5" t="s">
        <v>4485</v>
      </c>
      <c r="AH787" s="5" t="s">
        <v>4488</v>
      </c>
      <c r="AI787" s="5" t="s">
        <v>4034</v>
      </c>
      <c r="AJ787" s="5" t="s">
        <v>4035</v>
      </c>
      <c r="AK787" s="5" t="s">
        <v>3962</v>
      </c>
      <c r="AL787" s="5" t="s">
        <v>3858</v>
      </c>
    </row>
    <row r="788" spans="1:38" x14ac:dyDescent="0.3">
      <c r="A788" s="4">
        <v>45716</v>
      </c>
      <c r="B788" s="5" t="s">
        <v>2795</v>
      </c>
      <c r="C788" s="5" t="s">
        <v>2796</v>
      </c>
      <c r="D788" s="5" t="s">
        <v>2797</v>
      </c>
      <c r="E788" s="5" t="s">
        <v>4494</v>
      </c>
      <c r="G788" s="5" t="s">
        <v>787</v>
      </c>
      <c r="H788" s="5" t="s">
        <v>1184</v>
      </c>
      <c r="I788" s="5" t="s">
        <v>2254</v>
      </c>
      <c r="J788" s="5" t="s">
        <v>3419</v>
      </c>
      <c r="K788" s="4">
        <v>42736</v>
      </c>
      <c r="L788" s="4">
        <v>42736</v>
      </c>
      <c r="M788" s="9">
        <f t="shared" si="108"/>
        <v>8</v>
      </c>
      <c r="N788" s="4" t="str">
        <f t="shared" si="110"/>
        <v>] 5 ; 8 ]</v>
      </c>
      <c r="O788" s="5" t="s">
        <v>3786</v>
      </c>
      <c r="P788" s="5" t="s">
        <v>3786</v>
      </c>
      <c r="Q788" s="5">
        <v>1</v>
      </c>
      <c r="R788" s="5" t="str">
        <f t="shared" si="111"/>
        <v>Specialisation</v>
      </c>
      <c r="S788" s="5" t="s">
        <v>3789</v>
      </c>
      <c r="T788" s="4">
        <v>32761</v>
      </c>
      <c r="U788" s="5">
        <f t="shared" si="112"/>
        <v>1989</v>
      </c>
      <c r="V788" s="5" t="s">
        <v>3792</v>
      </c>
      <c r="W788" s="9">
        <f t="shared" si="109"/>
        <v>35</v>
      </c>
      <c r="X788" s="5" t="str">
        <f t="shared" si="113"/>
        <v>[35 - 39 ans ]</v>
      </c>
      <c r="Y788" s="5" t="str">
        <f t="shared" si="114"/>
        <v xml:space="preserve"> Mellenials </v>
      </c>
      <c r="Z788" s="9">
        <f t="shared" si="115"/>
        <v>25</v>
      </c>
      <c r="AA788" s="5" t="str">
        <f t="shared" si="116"/>
        <v>RAS</v>
      </c>
      <c r="AB788" s="5" t="s">
        <v>3806</v>
      </c>
      <c r="AC788" s="6" t="s">
        <v>3799</v>
      </c>
      <c r="AE788" s="5" t="s">
        <v>3844</v>
      </c>
      <c r="AF788" s="5" t="s">
        <v>4482</v>
      </c>
      <c r="AG788" s="5" t="s">
        <v>4485</v>
      </c>
      <c r="AH788" s="5" t="s">
        <v>4487</v>
      </c>
      <c r="AI788" s="5" t="s">
        <v>4064</v>
      </c>
      <c r="AJ788" s="5" t="s">
        <v>4260</v>
      </c>
      <c r="AK788" s="5" t="s">
        <v>4066</v>
      </c>
      <c r="AL788" s="5" t="s">
        <v>3858</v>
      </c>
    </row>
    <row r="789" spans="1:38" s="15" customFormat="1" x14ac:dyDescent="0.3">
      <c r="A789" s="11">
        <v>45716</v>
      </c>
      <c r="B789" s="12" t="s">
        <v>2798</v>
      </c>
      <c r="C789" s="12" t="s">
        <v>2799</v>
      </c>
      <c r="D789" s="12" t="s">
        <v>2800</v>
      </c>
      <c r="E789" s="12" t="s">
        <v>4494</v>
      </c>
      <c r="F789" s="12"/>
      <c r="G789" s="12" t="s">
        <v>88</v>
      </c>
      <c r="H789" s="12" t="s">
        <v>2801</v>
      </c>
      <c r="I789" s="12" t="s">
        <v>213</v>
      </c>
      <c r="J789" s="12" t="s">
        <v>2739</v>
      </c>
      <c r="K789" s="11">
        <v>42736</v>
      </c>
      <c r="L789" s="11">
        <v>42736</v>
      </c>
      <c r="M789" s="13">
        <f t="shared" si="108"/>
        <v>8</v>
      </c>
      <c r="N789" s="11" t="str">
        <f t="shared" si="110"/>
        <v>] 5 ; 8 ]</v>
      </c>
      <c r="O789" s="12" t="s">
        <v>3780</v>
      </c>
      <c r="P789" s="12" t="s">
        <v>3786</v>
      </c>
      <c r="Q789" s="12">
        <v>1</v>
      </c>
      <c r="R789" s="5" t="str">
        <f t="shared" si="111"/>
        <v>Qualification</v>
      </c>
      <c r="S789" s="12" t="s">
        <v>3789</v>
      </c>
      <c r="T789" s="11">
        <v>32108</v>
      </c>
      <c r="U789" s="12">
        <f t="shared" si="112"/>
        <v>1987</v>
      </c>
      <c r="V789" s="12" t="s">
        <v>3792</v>
      </c>
      <c r="W789" s="13">
        <f t="shared" si="109"/>
        <v>37</v>
      </c>
      <c r="X789" s="12" t="str">
        <f t="shared" si="113"/>
        <v>[35 - 39 ans ]</v>
      </c>
      <c r="Y789" s="12" t="str">
        <f t="shared" si="114"/>
        <v xml:space="preserve"> Mellenials </v>
      </c>
      <c r="Z789" s="13">
        <f t="shared" si="115"/>
        <v>23</v>
      </c>
      <c r="AA789" s="12" t="str">
        <f t="shared" si="116"/>
        <v>RAS</v>
      </c>
      <c r="AB789" s="12" t="s">
        <v>3812</v>
      </c>
      <c r="AC789" s="14" t="s">
        <v>3799</v>
      </c>
      <c r="AD789" s="12"/>
      <c r="AE789" s="12" t="s">
        <v>3845</v>
      </c>
      <c r="AF789" s="12" t="s">
        <v>4482</v>
      </c>
      <c r="AG789" s="12" t="s">
        <v>4485</v>
      </c>
      <c r="AH789" s="12" t="s">
        <v>4487</v>
      </c>
      <c r="AI789" s="12" t="s">
        <v>3895</v>
      </c>
      <c r="AJ789" s="12" t="s">
        <v>3896</v>
      </c>
      <c r="AK789" s="12" t="s">
        <v>3897</v>
      </c>
      <c r="AL789" s="12" t="s">
        <v>3854</v>
      </c>
    </row>
    <row r="790" spans="1:38" x14ac:dyDescent="0.3">
      <c r="A790" s="4">
        <v>45716</v>
      </c>
      <c r="B790" s="5" t="s">
        <v>2802</v>
      </c>
      <c r="C790" s="5" t="s">
        <v>2803</v>
      </c>
      <c r="D790" s="5" t="s">
        <v>2804</v>
      </c>
      <c r="E790" s="5" t="s">
        <v>4494</v>
      </c>
      <c r="G790" s="5" t="s">
        <v>88</v>
      </c>
      <c r="H790" s="5" t="s">
        <v>456</v>
      </c>
      <c r="I790" s="5" t="s">
        <v>1397</v>
      </c>
      <c r="J790" s="5" t="s">
        <v>883</v>
      </c>
      <c r="K790" s="4">
        <v>42736</v>
      </c>
      <c r="L790" s="4">
        <v>42736</v>
      </c>
      <c r="M790" s="9">
        <f t="shared" si="108"/>
        <v>8</v>
      </c>
      <c r="N790" s="4" t="str">
        <f t="shared" si="110"/>
        <v>] 5 ; 8 ]</v>
      </c>
      <c r="O790" s="5" t="s">
        <v>3780</v>
      </c>
      <c r="P790" s="5" t="s">
        <v>3780</v>
      </c>
      <c r="Q790" s="5">
        <v>3</v>
      </c>
      <c r="R790" s="5" t="str">
        <f t="shared" si="111"/>
        <v>Qualification</v>
      </c>
      <c r="S790" s="5" t="s">
        <v>3789</v>
      </c>
      <c r="T790" s="4">
        <v>32319</v>
      </c>
      <c r="U790" s="5">
        <f t="shared" si="112"/>
        <v>1988</v>
      </c>
      <c r="V790" s="5" t="s">
        <v>3793</v>
      </c>
      <c r="W790" s="9">
        <f t="shared" si="109"/>
        <v>36</v>
      </c>
      <c r="X790" s="5" t="str">
        <f t="shared" si="113"/>
        <v>[35 - 39 ans ]</v>
      </c>
      <c r="Y790" s="5" t="str">
        <f t="shared" si="114"/>
        <v xml:space="preserve"> Mellenials </v>
      </c>
      <c r="Z790" s="9">
        <f t="shared" si="115"/>
        <v>24</v>
      </c>
      <c r="AA790" s="5" t="str">
        <f t="shared" si="116"/>
        <v>RAS</v>
      </c>
      <c r="AB790" s="5" t="s">
        <v>3833</v>
      </c>
      <c r="AC790" s="6" t="s">
        <v>3801</v>
      </c>
      <c r="AE790" s="5" t="s">
        <v>3844</v>
      </c>
      <c r="AF790" s="5" t="s">
        <v>4482</v>
      </c>
      <c r="AG790" s="5" t="s">
        <v>4485</v>
      </c>
      <c r="AH790" s="5" t="s">
        <v>4488</v>
      </c>
      <c r="AI790" s="5" t="s">
        <v>4301</v>
      </c>
      <c r="AJ790" s="5" t="s">
        <v>4302</v>
      </c>
      <c r="AK790" s="5" t="s">
        <v>4303</v>
      </c>
      <c r="AL790" s="5" t="s">
        <v>3858</v>
      </c>
    </row>
    <row r="791" spans="1:38" x14ac:dyDescent="0.3">
      <c r="A791" s="4">
        <v>45716</v>
      </c>
      <c r="B791" s="5" t="s">
        <v>2805</v>
      </c>
      <c r="C791" s="5" t="s">
        <v>2806</v>
      </c>
      <c r="D791" s="5" t="s">
        <v>2807</v>
      </c>
      <c r="E791" s="5" t="s">
        <v>4494</v>
      </c>
      <c r="G791" s="5" t="s">
        <v>88</v>
      </c>
      <c r="H791" s="5" t="s">
        <v>456</v>
      </c>
      <c r="I791" s="5" t="s">
        <v>1814</v>
      </c>
      <c r="J791" s="5" t="s">
        <v>883</v>
      </c>
      <c r="K791" s="4">
        <v>42736</v>
      </c>
      <c r="L791" s="4">
        <v>42736</v>
      </c>
      <c r="M791" s="9">
        <f t="shared" si="108"/>
        <v>8</v>
      </c>
      <c r="N791" s="4" t="str">
        <f t="shared" si="110"/>
        <v>] 5 ; 8 ]</v>
      </c>
      <c r="O791" s="5" t="s">
        <v>3780</v>
      </c>
      <c r="P791" s="5" t="s">
        <v>3786</v>
      </c>
      <c r="Q791" s="5">
        <v>1</v>
      </c>
      <c r="R791" s="5" t="str">
        <f t="shared" si="111"/>
        <v>Qualification</v>
      </c>
      <c r="S791" s="5" t="s">
        <v>3790</v>
      </c>
      <c r="T791" s="4">
        <v>33028</v>
      </c>
      <c r="U791" s="5">
        <f t="shared" si="112"/>
        <v>1990</v>
      </c>
      <c r="V791" s="5" t="s">
        <v>3793</v>
      </c>
      <c r="W791" s="9">
        <f t="shared" si="109"/>
        <v>34</v>
      </c>
      <c r="X791" s="5" t="str">
        <f t="shared" si="113"/>
        <v>[30 - 34 ans]</v>
      </c>
      <c r="Y791" s="5" t="str">
        <f t="shared" si="114"/>
        <v xml:space="preserve"> Mellenials </v>
      </c>
      <c r="Z791" s="9">
        <f t="shared" si="115"/>
        <v>26</v>
      </c>
      <c r="AA791" s="5" t="str">
        <f t="shared" si="116"/>
        <v>RAS</v>
      </c>
      <c r="AB791" s="5" t="s">
        <v>3813</v>
      </c>
      <c r="AC791" s="6" t="s">
        <v>3799</v>
      </c>
      <c r="AE791" s="5" t="s">
        <v>3844</v>
      </c>
      <c r="AF791" s="5" t="s">
        <v>4482</v>
      </c>
      <c r="AG791" s="5" t="s">
        <v>4485</v>
      </c>
      <c r="AH791" s="5" t="s">
        <v>4488</v>
      </c>
      <c r="AI791" s="5" t="s">
        <v>4188</v>
      </c>
      <c r="AJ791" s="5" t="s">
        <v>4068</v>
      </c>
      <c r="AK791" s="5" t="s">
        <v>4069</v>
      </c>
      <c r="AL791" s="5" t="s">
        <v>3858</v>
      </c>
    </row>
    <row r="792" spans="1:38" x14ac:dyDescent="0.3">
      <c r="A792" s="4">
        <v>45716</v>
      </c>
      <c r="B792" s="5" t="s">
        <v>2808</v>
      </c>
      <c r="C792" s="5" t="s">
        <v>2809</v>
      </c>
      <c r="D792" s="5" t="s">
        <v>2810</v>
      </c>
      <c r="E792" s="5" t="s">
        <v>4494</v>
      </c>
      <c r="G792" s="5" t="s">
        <v>88</v>
      </c>
      <c r="H792" s="5" t="s">
        <v>2811</v>
      </c>
      <c r="I792" s="5" t="s">
        <v>2728</v>
      </c>
      <c r="J792" s="5" t="s">
        <v>2739</v>
      </c>
      <c r="K792" s="4">
        <v>42736</v>
      </c>
      <c r="L792" s="4">
        <v>42736</v>
      </c>
      <c r="M792" s="9">
        <f t="shared" si="108"/>
        <v>8</v>
      </c>
      <c r="N792" s="4" t="str">
        <f t="shared" si="110"/>
        <v>] 5 ; 8 ]</v>
      </c>
      <c r="O792" s="5" t="s">
        <v>3786</v>
      </c>
      <c r="P792" s="5" t="s">
        <v>3786</v>
      </c>
      <c r="Q792" s="5">
        <v>2</v>
      </c>
      <c r="R792" s="5" t="str">
        <f t="shared" si="111"/>
        <v>Specialisation</v>
      </c>
      <c r="S792" s="5" t="s">
        <v>3789</v>
      </c>
      <c r="T792" s="4">
        <v>30191</v>
      </c>
      <c r="U792" s="5">
        <f t="shared" si="112"/>
        <v>1982</v>
      </c>
      <c r="V792" s="5" t="s">
        <v>3792</v>
      </c>
      <c r="W792" s="9">
        <f t="shared" si="109"/>
        <v>42</v>
      </c>
      <c r="X792" s="5" t="str">
        <f t="shared" si="113"/>
        <v>[40 - 44 ans]</v>
      </c>
      <c r="Y792" s="5" t="str">
        <f t="shared" si="114"/>
        <v xml:space="preserve"> Mellenials </v>
      </c>
      <c r="Z792" s="9">
        <f t="shared" si="115"/>
        <v>18</v>
      </c>
      <c r="AA792" s="5" t="str">
        <f t="shared" si="116"/>
        <v>RAS</v>
      </c>
      <c r="AB792" s="5" t="s">
        <v>3806</v>
      </c>
      <c r="AC792" s="6" t="s">
        <v>3799</v>
      </c>
      <c r="AE792" s="5" t="s">
        <v>3844</v>
      </c>
      <c r="AF792" s="5" t="s">
        <v>4482</v>
      </c>
      <c r="AG792" s="5" t="s">
        <v>4485</v>
      </c>
      <c r="AH792" s="5" t="s">
        <v>4488</v>
      </c>
      <c r="AI792" s="5" t="s">
        <v>4432</v>
      </c>
      <c r="AJ792" s="5" t="s">
        <v>4438</v>
      </c>
      <c r="AK792" s="5">
        <v>11160</v>
      </c>
      <c r="AL792" s="5" t="s">
        <v>3858</v>
      </c>
    </row>
    <row r="793" spans="1:38" x14ac:dyDescent="0.3">
      <c r="A793" s="4">
        <v>45716</v>
      </c>
      <c r="B793" s="5" t="s">
        <v>2812</v>
      </c>
      <c r="C793" s="5" t="s">
        <v>2813</v>
      </c>
      <c r="D793" s="5" t="s">
        <v>2814</v>
      </c>
      <c r="E793" s="5" t="s">
        <v>4494</v>
      </c>
      <c r="G793" s="5" t="s">
        <v>88</v>
      </c>
      <c r="H793" s="5" t="s">
        <v>2815</v>
      </c>
      <c r="I793" s="5" t="s">
        <v>165</v>
      </c>
      <c r="J793" s="5" t="s">
        <v>182</v>
      </c>
      <c r="K793" s="4">
        <v>42736</v>
      </c>
      <c r="L793" s="4">
        <v>42736</v>
      </c>
      <c r="M793" s="9">
        <f t="shared" si="108"/>
        <v>8</v>
      </c>
      <c r="N793" s="4" t="str">
        <f t="shared" si="110"/>
        <v>] 5 ; 8 ]</v>
      </c>
      <c r="O793" s="5" t="s">
        <v>3783</v>
      </c>
      <c r="P793" s="5" t="s">
        <v>3783</v>
      </c>
      <c r="Q793" s="5">
        <v>1</v>
      </c>
      <c r="R793" s="5" t="str">
        <f t="shared" si="111"/>
        <v>Specialisation</v>
      </c>
      <c r="S793" s="5" t="s">
        <v>3790</v>
      </c>
      <c r="T793" s="4">
        <v>32146</v>
      </c>
      <c r="U793" s="5">
        <f t="shared" si="112"/>
        <v>1988</v>
      </c>
      <c r="V793" s="5" t="s">
        <v>3792</v>
      </c>
      <c r="W793" s="9">
        <f t="shared" si="109"/>
        <v>37</v>
      </c>
      <c r="X793" s="5" t="str">
        <f t="shared" si="113"/>
        <v>[35 - 39 ans ]</v>
      </c>
      <c r="Y793" s="5" t="str">
        <f t="shared" si="114"/>
        <v xml:space="preserve"> Mellenials </v>
      </c>
      <c r="Z793" s="9">
        <f t="shared" si="115"/>
        <v>23</v>
      </c>
      <c r="AA793" s="5" t="str">
        <f t="shared" si="116"/>
        <v>RAS</v>
      </c>
      <c r="AB793" s="5" t="s">
        <v>3806</v>
      </c>
      <c r="AC793" s="6" t="s">
        <v>3799</v>
      </c>
      <c r="AE793" s="5" t="s">
        <v>3844</v>
      </c>
      <c r="AF793" s="5" t="s">
        <v>4482</v>
      </c>
      <c r="AG793" s="5" t="s">
        <v>4485</v>
      </c>
      <c r="AH793" s="5" t="s">
        <v>4488</v>
      </c>
      <c r="AI793" s="5" t="s">
        <v>3941</v>
      </c>
      <c r="AJ793" s="5" t="s">
        <v>3942</v>
      </c>
      <c r="AK793" s="5" t="s">
        <v>3943</v>
      </c>
      <c r="AL793" s="5" t="s">
        <v>3858</v>
      </c>
    </row>
    <row r="794" spans="1:38" x14ac:dyDescent="0.3">
      <c r="A794" s="4">
        <v>45716</v>
      </c>
      <c r="B794" s="5" t="s">
        <v>2816</v>
      </c>
      <c r="C794" s="5" t="s">
        <v>2817</v>
      </c>
      <c r="D794" s="5" t="s">
        <v>2818</v>
      </c>
      <c r="E794" s="5" t="s">
        <v>4494</v>
      </c>
      <c r="G794" s="5" t="s">
        <v>39</v>
      </c>
      <c r="H794" s="5" t="s">
        <v>471</v>
      </c>
      <c r="I794" s="5" t="s">
        <v>1835</v>
      </c>
      <c r="J794" s="5" t="s">
        <v>48</v>
      </c>
      <c r="K794" s="4">
        <v>42736</v>
      </c>
      <c r="L794" s="4">
        <v>40217</v>
      </c>
      <c r="M794" s="9">
        <f t="shared" si="108"/>
        <v>15</v>
      </c>
      <c r="N794" s="4" t="str">
        <f t="shared" si="110"/>
        <v>] 10 ; 15 ]</v>
      </c>
      <c r="O794" s="5" t="s">
        <v>3786</v>
      </c>
      <c r="P794" s="5" t="s">
        <v>3786</v>
      </c>
      <c r="Q794" s="5">
        <v>1</v>
      </c>
      <c r="R794" s="5" t="str">
        <f t="shared" si="111"/>
        <v>Specialisation</v>
      </c>
      <c r="S794" s="5" t="s">
        <v>3789</v>
      </c>
      <c r="T794" s="4">
        <v>30901</v>
      </c>
      <c r="U794" s="5">
        <f t="shared" si="112"/>
        <v>1984</v>
      </c>
      <c r="V794" s="5" t="s">
        <v>3793</v>
      </c>
      <c r="W794" s="9">
        <f t="shared" si="109"/>
        <v>40</v>
      </c>
      <c r="X794" s="5" t="str">
        <f t="shared" si="113"/>
        <v>[40 - 44 ans]</v>
      </c>
      <c r="Y794" s="5" t="str">
        <f t="shared" si="114"/>
        <v xml:space="preserve"> Mellenials </v>
      </c>
      <c r="Z794" s="9">
        <f t="shared" si="115"/>
        <v>20</v>
      </c>
      <c r="AA794" s="5" t="str">
        <f t="shared" si="116"/>
        <v>RAS</v>
      </c>
      <c r="AB794" s="5" t="s">
        <v>3807</v>
      </c>
      <c r="AC794" s="6" t="s">
        <v>3799</v>
      </c>
      <c r="AE794" s="5" t="s">
        <v>3844</v>
      </c>
      <c r="AF794" s="5" t="s">
        <v>4482</v>
      </c>
      <c r="AG794" s="5" t="s">
        <v>4485</v>
      </c>
      <c r="AH794" s="5" t="s">
        <v>4489</v>
      </c>
      <c r="AI794" s="5" t="s">
        <v>4078</v>
      </c>
      <c r="AJ794" s="5" t="s">
        <v>4079</v>
      </c>
      <c r="AK794" s="5" t="s">
        <v>4080</v>
      </c>
      <c r="AL794" s="5" t="s">
        <v>3858</v>
      </c>
    </row>
    <row r="795" spans="1:38" x14ac:dyDescent="0.3">
      <c r="A795" s="4">
        <v>45716</v>
      </c>
      <c r="B795" s="5" t="s">
        <v>2819</v>
      </c>
      <c r="C795" s="5" t="s">
        <v>2820</v>
      </c>
      <c r="D795" s="5" t="s">
        <v>2821</v>
      </c>
      <c r="E795" s="5" t="s">
        <v>4494</v>
      </c>
      <c r="G795" s="5" t="s">
        <v>39</v>
      </c>
      <c r="H795" s="5" t="s">
        <v>2822</v>
      </c>
      <c r="I795" s="5" t="s">
        <v>2841</v>
      </c>
      <c r="J795" s="5" t="s">
        <v>2841</v>
      </c>
      <c r="K795" s="4">
        <v>42750</v>
      </c>
      <c r="L795" s="4">
        <v>42750</v>
      </c>
      <c r="M795" s="9">
        <f t="shared" si="108"/>
        <v>8</v>
      </c>
      <c r="N795" s="4" t="str">
        <f t="shared" si="110"/>
        <v>] 5 ; 8 ]</v>
      </c>
      <c r="O795" s="5" t="s">
        <v>3779</v>
      </c>
      <c r="P795" s="5" t="s">
        <v>3779</v>
      </c>
      <c r="Q795" s="5">
        <v>2</v>
      </c>
      <c r="R795" s="5" t="str">
        <f t="shared" si="111"/>
        <v>Management &amp; Expertise</v>
      </c>
      <c r="S795" s="5" t="s">
        <v>3789</v>
      </c>
      <c r="T795" s="4">
        <v>25835</v>
      </c>
      <c r="U795" s="5">
        <f t="shared" si="112"/>
        <v>1970</v>
      </c>
      <c r="V795" s="5" t="s">
        <v>3793</v>
      </c>
      <c r="W795" s="9">
        <f t="shared" si="109"/>
        <v>54</v>
      </c>
      <c r="X795" s="5" t="str">
        <f t="shared" si="113"/>
        <v>[50 ans, +oo [</v>
      </c>
      <c r="Y795" s="5" t="str">
        <f t="shared" si="114"/>
        <v xml:space="preserve"> Generation X </v>
      </c>
      <c r="Z795" s="9">
        <f t="shared" si="115"/>
        <v>6</v>
      </c>
      <c r="AA795" s="5" t="str">
        <f t="shared" si="116"/>
        <v>RAS</v>
      </c>
      <c r="AB795" s="5" t="s">
        <v>3807</v>
      </c>
      <c r="AC795" s="6" t="s">
        <v>3799</v>
      </c>
      <c r="AE795" s="5" t="s">
        <v>3845</v>
      </c>
      <c r="AF795" s="5" t="s">
        <v>4481</v>
      </c>
      <c r="AG795" s="5" t="s">
        <v>4484</v>
      </c>
      <c r="AH795" s="5" t="s">
        <v>4489</v>
      </c>
      <c r="AI795" s="5" t="s">
        <v>4434</v>
      </c>
      <c r="AJ795" s="5" t="s">
        <v>4435</v>
      </c>
      <c r="AK795" s="5" t="s">
        <v>4436</v>
      </c>
      <c r="AL795" s="5" t="s">
        <v>3854</v>
      </c>
    </row>
    <row r="796" spans="1:38" x14ac:dyDescent="0.3">
      <c r="A796" s="4">
        <v>45716</v>
      </c>
      <c r="B796" s="5" t="s">
        <v>2823</v>
      </c>
      <c r="C796" s="5" t="s">
        <v>2824</v>
      </c>
      <c r="D796" s="5" t="s">
        <v>2825</v>
      </c>
      <c r="E796" s="5" t="s">
        <v>4494</v>
      </c>
      <c r="G796" s="5" t="s">
        <v>222</v>
      </c>
      <c r="H796" s="5" t="s">
        <v>2826</v>
      </c>
      <c r="I796" s="5" t="s">
        <v>633</v>
      </c>
      <c r="J796" s="5" t="s">
        <v>2086</v>
      </c>
      <c r="K796" s="4">
        <v>42767</v>
      </c>
      <c r="L796" s="4">
        <v>42767</v>
      </c>
      <c r="M796" s="9">
        <f t="shared" si="108"/>
        <v>8</v>
      </c>
      <c r="N796" s="4" t="str">
        <f t="shared" si="110"/>
        <v>] 5 ; 8 ]</v>
      </c>
      <c r="O796" s="5" t="s">
        <v>3786</v>
      </c>
      <c r="P796" s="5" t="s">
        <v>3783</v>
      </c>
      <c r="Q796" s="5">
        <v>1</v>
      </c>
      <c r="R796" s="5" t="str">
        <f t="shared" si="111"/>
        <v>Specialisation</v>
      </c>
      <c r="S796" s="5" t="s">
        <v>3790</v>
      </c>
      <c r="T796" s="4">
        <v>32687</v>
      </c>
      <c r="U796" s="5">
        <f t="shared" si="112"/>
        <v>1989</v>
      </c>
      <c r="V796" s="5" t="s">
        <v>3792</v>
      </c>
      <c r="W796" s="9">
        <f t="shared" si="109"/>
        <v>35</v>
      </c>
      <c r="X796" s="5" t="str">
        <f t="shared" si="113"/>
        <v>[35 - 39 ans ]</v>
      </c>
      <c r="Y796" s="5" t="str">
        <f t="shared" si="114"/>
        <v xml:space="preserve"> Mellenials </v>
      </c>
      <c r="Z796" s="9">
        <f t="shared" si="115"/>
        <v>25</v>
      </c>
      <c r="AA796" s="5" t="str">
        <f t="shared" si="116"/>
        <v>RAS</v>
      </c>
      <c r="AB796" s="5" t="s">
        <v>3806</v>
      </c>
      <c r="AC796" s="6" t="s">
        <v>3799</v>
      </c>
      <c r="AE796" s="5" t="s">
        <v>3844</v>
      </c>
      <c r="AF796" s="5" t="s">
        <v>4482</v>
      </c>
      <c r="AG796" s="5" t="s">
        <v>4485</v>
      </c>
      <c r="AH796" s="5" t="s">
        <v>4487</v>
      </c>
      <c r="AI796" s="5" t="s">
        <v>4155</v>
      </c>
      <c r="AJ796" s="5" t="s">
        <v>4156</v>
      </c>
      <c r="AK796" s="5" t="s">
        <v>4157</v>
      </c>
      <c r="AL796" s="5" t="s">
        <v>3858</v>
      </c>
    </row>
    <row r="797" spans="1:38" x14ac:dyDescent="0.3">
      <c r="A797" s="4">
        <v>45716</v>
      </c>
      <c r="B797" s="5" t="s">
        <v>2827</v>
      </c>
      <c r="C797" s="5" t="s">
        <v>2828</v>
      </c>
      <c r="D797" s="5" t="s">
        <v>2829</v>
      </c>
      <c r="E797" s="5" t="s">
        <v>4494</v>
      </c>
      <c r="G797" s="5" t="s">
        <v>83</v>
      </c>
      <c r="H797" s="5" t="s">
        <v>2830</v>
      </c>
      <c r="I797" s="5" t="s">
        <v>112</v>
      </c>
      <c r="J797" s="5" t="s">
        <v>1903</v>
      </c>
      <c r="K797" s="4">
        <v>42767</v>
      </c>
      <c r="L797" s="4">
        <v>42767</v>
      </c>
      <c r="M797" s="9">
        <f t="shared" si="108"/>
        <v>8</v>
      </c>
      <c r="N797" s="4" t="str">
        <f t="shared" si="110"/>
        <v>] 5 ; 8 ]</v>
      </c>
      <c r="O797" s="5" t="s">
        <v>3782</v>
      </c>
      <c r="P797" s="5" t="s">
        <v>3782</v>
      </c>
      <c r="Q797" s="5">
        <v>1</v>
      </c>
      <c r="R797" s="5" t="str">
        <f t="shared" si="111"/>
        <v>Management &amp; Expertise</v>
      </c>
      <c r="S797" s="5" t="s">
        <v>3789</v>
      </c>
      <c r="T797" s="4">
        <v>29812</v>
      </c>
      <c r="U797" s="5">
        <f t="shared" si="112"/>
        <v>1981</v>
      </c>
      <c r="V797" s="5" t="s">
        <v>3792</v>
      </c>
      <c r="W797" s="9">
        <f t="shared" si="109"/>
        <v>43</v>
      </c>
      <c r="X797" s="5" t="str">
        <f t="shared" si="113"/>
        <v>[40 - 44 ans]</v>
      </c>
      <c r="Y797" s="5" t="str">
        <f t="shared" si="114"/>
        <v xml:space="preserve"> Mellenials </v>
      </c>
      <c r="Z797" s="9">
        <f t="shared" si="115"/>
        <v>17</v>
      </c>
      <c r="AA797" s="5" t="str">
        <f t="shared" si="116"/>
        <v>RAS</v>
      </c>
      <c r="AB797" s="5" t="s">
        <v>3807</v>
      </c>
      <c r="AC797" s="6" t="s">
        <v>3799</v>
      </c>
      <c r="AE797" s="5" t="s">
        <v>3844</v>
      </c>
      <c r="AF797" s="5" t="s">
        <v>4481</v>
      </c>
      <c r="AG797" s="5" t="s">
        <v>4485</v>
      </c>
      <c r="AH797" s="5" t="s">
        <v>4489</v>
      </c>
      <c r="AI797" s="5" t="s">
        <v>3909</v>
      </c>
      <c r="AJ797" s="5" t="s">
        <v>3910</v>
      </c>
      <c r="AK797" s="5" t="s">
        <v>3911</v>
      </c>
      <c r="AL797" s="5" t="s">
        <v>3858</v>
      </c>
    </row>
    <row r="798" spans="1:38" x14ac:dyDescent="0.3">
      <c r="A798" s="4">
        <v>45716</v>
      </c>
      <c r="B798" s="5" t="s">
        <v>2831</v>
      </c>
      <c r="C798" s="5" t="s">
        <v>2832</v>
      </c>
      <c r="D798" s="5" t="s">
        <v>2833</v>
      </c>
      <c r="E798" s="5" t="s">
        <v>4494</v>
      </c>
      <c r="G798" s="5" t="s">
        <v>39</v>
      </c>
      <c r="H798" s="5" t="s">
        <v>463</v>
      </c>
      <c r="I798" s="5" t="s">
        <v>1268</v>
      </c>
      <c r="J798" s="5" t="s">
        <v>52</v>
      </c>
      <c r="K798" s="4">
        <v>42767</v>
      </c>
      <c r="L798" s="4">
        <v>40220</v>
      </c>
      <c r="M798" s="9">
        <f t="shared" si="108"/>
        <v>15</v>
      </c>
      <c r="N798" s="4" t="str">
        <f t="shared" si="110"/>
        <v>] 10 ; 15 ]</v>
      </c>
      <c r="O798" s="5" t="s">
        <v>3786</v>
      </c>
      <c r="P798" s="5" t="s">
        <v>3786</v>
      </c>
      <c r="Q798" s="5">
        <v>1</v>
      </c>
      <c r="R798" s="5" t="str">
        <f t="shared" si="111"/>
        <v>Specialisation</v>
      </c>
      <c r="S798" s="5" t="s">
        <v>3789</v>
      </c>
      <c r="T798" s="4">
        <v>31159</v>
      </c>
      <c r="U798" s="5">
        <f t="shared" si="112"/>
        <v>1985</v>
      </c>
      <c r="V798" s="5" t="s">
        <v>3793</v>
      </c>
      <c r="W798" s="9">
        <f t="shared" si="109"/>
        <v>39</v>
      </c>
      <c r="X798" s="5" t="str">
        <f t="shared" si="113"/>
        <v>[35 - 39 ans ]</v>
      </c>
      <c r="Y798" s="5" t="str">
        <f t="shared" si="114"/>
        <v xml:space="preserve"> Mellenials </v>
      </c>
      <c r="Z798" s="9">
        <f t="shared" si="115"/>
        <v>21</v>
      </c>
      <c r="AA798" s="5" t="str">
        <f t="shared" si="116"/>
        <v>RAS</v>
      </c>
      <c r="AB798" s="5" t="s">
        <v>3807</v>
      </c>
      <c r="AC798" s="6" t="s">
        <v>3799</v>
      </c>
      <c r="AE798" s="5" t="s">
        <v>3844</v>
      </c>
      <c r="AF798" s="5" t="s">
        <v>4482</v>
      </c>
      <c r="AG798" s="5" t="s">
        <v>4485</v>
      </c>
      <c r="AH798" s="5" t="s">
        <v>4489</v>
      </c>
      <c r="AI798" s="5" t="s">
        <v>4013</v>
      </c>
      <c r="AJ798" s="5" t="s">
        <v>4014</v>
      </c>
      <c r="AK798" s="5" t="s">
        <v>4015</v>
      </c>
      <c r="AL798" s="5" t="s">
        <v>3858</v>
      </c>
    </row>
    <row r="799" spans="1:38" x14ac:dyDescent="0.3">
      <c r="A799" s="4">
        <v>45716</v>
      </c>
      <c r="B799" s="5" t="s">
        <v>2834</v>
      </c>
      <c r="C799" s="5" t="s">
        <v>2835</v>
      </c>
      <c r="D799" s="5" t="s">
        <v>2836</v>
      </c>
      <c r="E799" s="5" t="s">
        <v>4494</v>
      </c>
      <c r="G799" s="5" t="s">
        <v>787</v>
      </c>
      <c r="H799" s="5" t="s">
        <v>2837</v>
      </c>
      <c r="I799" s="5" t="s">
        <v>2936</v>
      </c>
      <c r="J799" s="5" t="s">
        <v>3419</v>
      </c>
      <c r="K799" s="4">
        <v>42807</v>
      </c>
      <c r="L799" s="4">
        <v>42807</v>
      </c>
      <c r="M799" s="9">
        <f t="shared" si="108"/>
        <v>7</v>
      </c>
      <c r="N799" s="4" t="str">
        <f t="shared" si="110"/>
        <v>] 5 ; 8 ]</v>
      </c>
      <c r="O799" s="5" t="s">
        <v>3785</v>
      </c>
      <c r="P799" s="5" t="s">
        <v>3785</v>
      </c>
      <c r="Q799" s="5">
        <v>1</v>
      </c>
      <c r="R799" s="5" t="str">
        <f t="shared" si="111"/>
        <v>Specialisation</v>
      </c>
      <c r="S799" s="5" t="s">
        <v>3790</v>
      </c>
      <c r="T799" s="4">
        <v>31847</v>
      </c>
      <c r="U799" s="5">
        <f t="shared" si="112"/>
        <v>1987</v>
      </c>
      <c r="V799" s="5" t="s">
        <v>3793</v>
      </c>
      <c r="W799" s="9">
        <f t="shared" si="109"/>
        <v>37</v>
      </c>
      <c r="X799" s="5" t="str">
        <f t="shared" si="113"/>
        <v>[35 - 39 ans ]</v>
      </c>
      <c r="Y799" s="5" t="str">
        <f t="shared" si="114"/>
        <v xml:space="preserve"> Mellenials </v>
      </c>
      <c r="Z799" s="9">
        <f t="shared" si="115"/>
        <v>23</v>
      </c>
      <c r="AA799" s="5" t="str">
        <f t="shared" si="116"/>
        <v>RAS</v>
      </c>
      <c r="AB799" s="5" t="s">
        <v>3806</v>
      </c>
      <c r="AC799" s="6" t="s">
        <v>3799</v>
      </c>
      <c r="AE799" s="5" t="s">
        <v>3844</v>
      </c>
      <c r="AF799" s="5" t="s">
        <v>4481</v>
      </c>
      <c r="AG799" s="5" t="s">
        <v>4485</v>
      </c>
      <c r="AH799" s="5" t="s">
        <v>4487</v>
      </c>
      <c r="AI799" s="5" t="s">
        <v>4439</v>
      </c>
      <c r="AJ799" s="5" t="s">
        <v>4440</v>
      </c>
      <c r="AK799" s="5" t="s">
        <v>4195</v>
      </c>
      <c r="AL799" s="5" t="s">
        <v>3858</v>
      </c>
    </row>
    <row r="800" spans="1:38" x14ac:dyDescent="0.3">
      <c r="A800" s="4">
        <v>45716</v>
      </c>
      <c r="B800" s="5" t="s">
        <v>2838</v>
      </c>
      <c r="C800" s="5" t="s">
        <v>2839</v>
      </c>
      <c r="D800" s="5" t="s">
        <v>2840</v>
      </c>
      <c r="E800" s="5" t="s">
        <v>4494</v>
      </c>
      <c r="G800" s="5" t="s">
        <v>78</v>
      </c>
      <c r="H800" s="5" t="s">
        <v>2787</v>
      </c>
      <c r="I800" s="5" t="s">
        <v>1514</v>
      </c>
      <c r="J800" s="5" t="s">
        <v>3294</v>
      </c>
      <c r="K800" s="4">
        <v>42828</v>
      </c>
      <c r="L800" s="4">
        <v>39363</v>
      </c>
      <c r="M800" s="9">
        <f t="shared" si="108"/>
        <v>17</v>
      </c>
      <c r="N800" s="4" t="str">
        <f t="shared" si="110"/>
        <v>] 15 ; +oo [</v>
      </c>
      <c r="O800" s="5" t="s">
        <v>3788</v>
      </c>
      <c r="P800" s="5" t="s">
        <v>3788</v>
      </c>
      <c r="Q800" s="5">
        <v>2</v>
      </c>
      <c r="R800" s="5" t="str">
        <f t="shared" si="111"/>
        <v>Qualification</v>
      </c>
      <c r="S800" s="5" t="s">
        <v>3790</v>
      </c>
      <c r="T800" s="4">
        <v>29830</v>
      </c>
      <c r="U800" s="5">
        <f t="shared" si="112"/>
        <v>1981</v>
      </c>
      <c r="V800" s="5" t="s">
        <v>3793</v>
      </c>
      <c r="W800" s="9">
        <f t="shared" si="109"/>
        <v>43</v>
      </c>
      <c r="X800" s="5" t="str">
        <f t="shared" si="113"/>
        <v>[40 - 44 ans]</v>
      </c>
      <c r="Y800" s="5" t="str">
        <f t="shared" si="114"/>
        <v xml:space="preserve"> Mellenials </v>
      </c>
      <c r="Z800" s="9">
        <f t="shared" si="115"/>
        <v>17</v>
      </c>
      <c r="AA800" s="5" t="str">
        <f t="shared" si="116"/>
        <v>RAS</v>
      </c>
      <c r="AB800" s="5" t="s">
        <v>3808</v>
      </c>
      <c r="AC800" s="6" t="s">
        <v>3799</v>
      </c>
      <c r="AE800" s="5" t="s">
        <v>3844</v>
      </c>
      <c r="AF800" s="5" t="s">
        <v>4482</v>
      </c>
      <c r="AG800" s="5" t="s">
        <v>4485</v>
      </c>
      <c r="AH800" s="5" t="s">
        <v>4488</v>
      </c>
      <c r="AI800" s="5" t="s">
        <v>4326</v>
      </c>
      <c r="AJ800" s="5" t="s">
        <v>4327</v>
      </c>
      <c r="AK800" s="5" t="s">
        <v>4090</v>
      </c>
      <c r="AL800" s="5" t="s">
        <v>3858</v>
      </c>
    </row>
    <row r="801" spans="1:38" x14ac:dyDescent="0.3">
      <c r="A801" s="4">
        <v>45716</v>
      </c>
      <c r="B801" s="5" t="s">
        <v>2842</v>
      </c>
      <c r="C801" s="5" t="s">
        <v>2843</v>
      </c>
      <c r="D801" s="5" t="s">
        <v>2844</v>
      </c>
      <c r="E801" s="5" t="s">
        <v>4494</v>
      </c>
      <c r="G801" s="5" t="s">
        <v>83</v>
      </c>
      <c r="H801" s="5" t="s">
        <v>2845</v>
      </c>
      <c r="I801" s="5" t="s">
        <v>1799</v>
      </c>
      <c r="J801" s="5" t="s">
        <v>82</v>
      </c>
      <c r="K801" s="4">
        <v>42870</v>
      </c>
      <c r="L801" s="4">
        <v>42870</v>
      </c>
      <c r="M801" s="9">
        <f t="shared" si="108"/>
        <v>7</v>
      </c>
      <c r="N801" s="4" t="str">
        <f t="shared" si="110"/>
        <v>] 5 ; 8 ]</v>
      </c>
      <c r="O801" s="5" t="s">
        <v>3782</v>
      </c>
      <c r="P801" s="5" t="s">
        <v>3782</v>
      </c>
      <c r="Q801" s="5">
        <v>1</v>
      </c>
      <c r="R801" s="5" t="str">
        <f t="shared" si="111"/>
        <v>Management &amp; Expertise</v>
      </c>
      <c r="S801" s="5" t="s">
        <v>3790</v>
      </c>
      <c r="T801" s="4">
        <v>30766</v>
      </c>
      <c r="U801" s="5">
        <f t="shared" si="112"/>
        <v>1984</v>
      </c>
      <c r="V801" s="5" t="s">
        <v>3793</v>
      </c>
      <c r="W801" s="9">
        <f t="shared" si="109"/>
        <v>40</v>
      </c>
      <c r="X801" s="5" t="str">
        <f t="shared" si="113"/>
        <v>[40 - 44 ans]</v>
      </c>
      <c r="Y801" s="5" t="str">
        <f t="shared" si="114"/>
        <v xml:space="preserve"> Mellenials </v>
      </c>
      <c r="Z801" s="9">
        <f t="shared" si="115"/>
        <v>20</v>
      </c>
      <c r="AA801" s="5" t="str">
        <f t="shared" si="116"/>
        <v>RAS</v>
      </c>
      <c r="AB801" s="5" t="s">
        <v>3806</v>
      </c>
      <c r="AC801" s="6" t="s">
        <v>3799</v>
      </c>
      <c r="AE801" s="5" t="s">
        <v>3845</v>
      </c>
      <c r="AF801" s="5" t="s">
        <v>4481</v>
      </c>
      <c r="AG801" s="5" t="s">
        <v>4485</v>
      </c>
      <c r="AH801" s="5" t="s">
        <v>4489</v>
      </c>
      <c r="AI801" s="5" t="s">
        <v>4441</v>
      </c>
      <c r="AJ801" s="5" t="s">
        <v>4442</v>
      </c>
      <c r="AK801" s="5" t="s">
        <v>3993</v>
      </c>
      <c r="AL801" s="5" t="s">
        <v>3854</v>
      </c>
    </row>
    <row r="802" spans="1:38" x14ac:dyDescent="0.3">
      <c r="A802" s="4">
        <v>45716</v>
      </c>
      <c r="B802" s="5" t="s">
        <v>2846</v>
      </c>
      <c r="C802" s="5" t="s">
        <v>2847</v>
      </c>
      <c r="D802" s="5" t="s">
        <v>2848</v>
      </c>
      <c r="E802" s="5" t="s">
        <v>4494</v>
      </c>
      <c r="G802" s="5" t="s">
        <v>88</v>
      </c>
      <c r="H802" s="5" t="s">
        <v>456</v>
      </c>
      <c r="I802" s="5" t="s">
        <v>744</v>
      </c>
      <c r="J802" s="5" t="s">
        <v>883</v>
      </c>
      <c r="K802" s="4">
        <v>42948</v>
      </c>
      <c r="L802" s="4">
        <v>42948</v>
      </c>
      <c r="M802" s="9">
        <f t="shared" si="108"/>
        <v>7</v>
      </c>
      <c r="N802" s="4" t="str">
        <f t="shared" si="110"/>
        <v>] 5 ; 8 ]</v>
      </c>
      <c r="O802" s="5" t="s">
        <v>3780</v>
      </c>
      <c r="P802" s="5" t="s">
        <v>3780</v>
      </c>
      <c r="Q802" s="5">
        <v>3</v>
      </c>
      <c r="R802" s="5" t="str">
        <f t="shared" si="111"/>
        <v>Qualification</v>
      </c>
      <c r="S802" s="5" t="s">
        <v>3789</v>
      </c>
      <c r="T802" s="4">
        <v>31074</v>
      </c>
      <c r="U802" s="5">
        <f t="shared" si="112"/>
        <v>1985</v>
      </c>
      <c r="V802" s="5" t="s">
        <v>3793</v>
      </c>
      <c r="W802" s="9">
        <f t="shared" si="109"/>
        <v>40</v>
      </c>
      <c r="X802" s="5" t="str">
        <f t="shared" si="113"/>
        <v>[40 - 44 ans]</v>
      </c>
      <c r="Y802" s="5" t="str">
        <f t="shared" si="114"/>
        <v xml:space="preserve"> Mellenials </v>
      </c>
      <c r="Z802" s="9">
        <f t="shared" si="115"/>
        <v>20</v>
      </c>
      <c r="AA802" s="5" t="str">
        <f t="shared" si="116"/>
        <v>RAS</v>
      </c>
      <c r="AB802" s="5" t="s">
        <v>3828</v>
      </c>
      <c r="AC802" s="6" t="s">
        <v>3799</v>
      </c>
      <c r="AE802" s="5" t="s">
        <v>3844</v>
      </c>
      <c r="AF802" s="5" t="s">
        <v>4482</v>
      </c>
      <c r="AG802" s="5" t="s">
        <v>4485</v>
      </c>
      <c r="AH802" s="5" t="s">
        <v>4488</v>
      </c>
      <c r="AI802" s="5" t="s">
        <v>4186</v>
      </c>
      <c r="AJ802" s="5" t="s">
        <v>4187</v>
      </c>
      <c r="AK802" s="5" t="s">
        <v>4183</v>
      </c>
      <c r="AL802" s="5" t="s">
        <v>3858</v>
      </c>
    </row>
    <row r="803" spans="1:38" x14ac:dyDescent="0.3">
      <c r="A803" s="4">
        <v>45716</v>
      </c>
      <c r="B803" s="5" t="s">
        <v>2849</v>
      </c>
      <c r="C803" s="5" t="s">
        <v>2850</v>
      </c>
      <c r="D803" s="5" t="s">
        <v>2851</v>
      </c>
      <c r="E803" s="5" t="s">
        <v>4494</v>
      </c>
      <c r="G803" s="5" t="s">
        <v>137</v>
      </c>
      <c r="H803" s="5" t="s">
        <v>2852</v>
      </c>
      <c r="I803" s="5" t="s">
        <v>290</v>
      </c>
      <c r="J803" s="5" t="s">
        <v>1346</v>
      </c>
      <c r="K803" s="4">
        <v>42948</v>
      </c>
      <c r="L803" s="4">
        <v>42948</v>
      </c>
      <c r="M803" s="9">
        <f t="shared" si="108"/>
        <v>7</v>
      </c>
      <c r="N803" s="4" t="str">
        <f t="shared" si="110"/>
        <v>] 5 ; 8 ]</v>
      </c>
      <c r="O803" s="5" t="s">
        <v>3780</v>
      </c>
      <c r="P803" s="5" t="s">
        <v>3780</v>
      </c>
      <c r="Q803" s="5">
        <v>2</v>
      </c>
      <c r="R803" s="5" t="str">
        <f t="shared" si="111"/>
        <v>Qualification</v>
      </c>
      <c r="S803" s="5" t="s">
        <v>3789</v>
      </c>
      <c r="T803" s="4">
        <v>32250</v>
      </c>
      <c r="U803" s="5">
        <f t="shared" si="112"/>
        <v>1988</v>
      </c>
      <c r="V803" s="5" t="s">
        <v>3793</v>
      </c>
      <c r="W803" s="9">
        <f t="shared" si="109"/>
        <v>36</v>
      </c>
      <c r="X803" s="5" t="str">
        <f t="shared" si="113"/>
        <v>[35 - 39 ans ]</v>
      </c>
      <c r="Y803" s="5" t="str">
        <f t="shared" si="114"/>
        <v xml:space="preserve"> Mellenials </v>
      </c>
      <c r="Z803" s="9">
        <f t="shared" si="115"/>
        <v>24</v>
      </c>
      <c r="AA803" s="5" t="str">
        <f t="shared" si="116"/>
        <v>RAS</v>
      </c>
      <c r="AB803" s="5" t="s">
        <v>3806</v>
      </c>
      <c r="AC803" s="6" t="s">
        <v>3799</v>
      </c>
      <c r="AE803" s="5" t="s">
        <v>3844</v>
      </c>
      <c r="AF803" s="5" t="s">
        <v>4482</v>
      </c>
      <c r="AG803" s="5" t="s">
        <v>4485</v>
      </c>
      <c r="AH803" s="5" t="s">
        <v>4487</v>
      </c>
      <c r="AI803" s="5" t="s">
        <v>3999</v>
      </c>
      <c r="AJ803" s="5" t="s">
        <v>4000</v>
      </c>
      <c r="AK803" s="5" t="s">
        <v>4001</v>
      </c>
      <c r="AL803" s="5" t="s">
        <v>3858</v>
      </c>
    </row>
    <row r="804" spans="1:38" x14ac:dyDescent="0.3">
      <c r="A804" s="4">
        <v>45716</v>
      </c>
      <c r="B804" s="5" t="s">
        <v>2853</v>
      </c>
      <c r="C804" s="5" t="s">
        <v>2854</v>
      </c>
      <c r="D804" s="5" t="s">
        <v>2855</v>
      </c>
      <c r="E804" s="5" t="s">
        <v>4494</v>
      </c>
      <c r="G804" s="5" t="s">
        <v>88</v>
      </c>
      <c r="H804" s="5" t="s">
        <v>706</v>
      </c>
      <c r="I804" s="5" t="s">
        <v>744</v>
      </c>
      <c r="J804" s="5" t="s">
        <v>883</v>
      </c>
      <c r="K804" s="4">
        <v>42948</v>
      </c>
      <c r="L804" s="4">
        <v>42948</v>
      </c>
      <c r="M804" s="9">
        <f t="shared" si="108"/>
        <v>7</v>
      </c>
      <c r="N804" s="4" t="str">
        <f t="shared" si="110"/>
        <v>] 5 ; 8 ]</v>
      </c>
      <c r="O804" s="5" t="s">
        <v>3786</v>
      </c>
      <c r="P804" s="5" t="s">
        <v>3786</v>
      </c>
      <c r="Q804" s="5">
        <v>1</v>
      </c>
      <c r="R804" s="5" t="str">
        <f t="shared" si="111"/>
        <v>Specialisation</v>
      </c>
      <c r="S804" s="5" t="s">
        <v>3789</v>
      </c>
      <c r="T804" s="4">
        <v>30673</v>
      </c>
      <c r="U804" s="5">
        <f t="shared" si="112"/>
        <v>1983</v>
      </c>
      <c r="V804" s="5" t="s">
        <v>3793</v>
      </c>
      <c r="W804" s="9">
        <f t="shared" si="109"/>
        <v>41</v>
      </c>
      <c r="X804" s="5" t="str">
        <f t="shared" si="113"/>
        <v>[40 - 44 ans]</v>
      </c>
      <c r="Y804" s="5" t="str">
        <f t="shared" si="114"/>
        <v xml:space="preserve"> Mellenials </v>
      </c>
      <c r="Z804" s="9">
        <f t="shared" si="115"/>
        <v>19</v>
      </c>
      <c r="AA804" s="5" t="str">
        <f t="shared" si="116"/>
        <v>RAS</v>
      </c>
      <c r="AB804" s="5" t="s">
        <v>3828</v>
      </c>
      <c r="AC804" s="6" t="s">
        <v>3799</v>
      </c>
      <c r="AE804" s="5" t="s">
        <v>3844</v>
      </c>
      <c r="AF804" s="5" t="s">
        <v>4482</v>
      </c>
      <c r="AG804" s="5" t="s">
        <v>4485</v>
      </c>
      <c r="AH804" s="5" t="s">
        <v>4488</v>
      </c>
      <c r="AI804" s="5" t="s">
        <v>4186</v>
      </c>
      <c r="AJ804" s="5" t="s">
        <v>4187</v>
      </c>
      <c r="AK804" s="5" t="s">
        <v>4183</v>
      </c>
      <c r="AL804" s="5" t="s">
        <v>3858</v>
      </c>
    </row>
    <row r="805" spans="1:38" x14ac:dyDescent="0.3">
      <c r="A805" s="4">
        <v>45716</v>
      </c>
      <c r="B805" s="5" t="s">
        <v>2856</v>
      </c>
      <c r="C805" s="5" t="s">
        <v>2857</v>
      </c>
      <c r="D805" s="5" t="s">
        <v>2858</v>
      </c>
      <c r="E805" s="5" t="s">
        <v>4494</v>
      </c>
      <c r="G805" s="5" t="s">
        <v>39</v>
      </c>
      <c r="H805" s="5" t="s">
        <v>4506</v>
      </c>
      <c r="I805" s="5" t="s">
        <v>4512</v>
      </c>
      <c r="J805" s="5" t="s">
        <v>4513</v>
      </c>
      <c r="K805" s="4">
        <v>42979</v>
      </c>
      <c r="L805" s="4">
        <v>42979</v>
      </c>
      <c r="M805" s="9">
        <f t="shared" si="108"/>
        <v>7</v>
      </c>
      <c r="N805" s="4" t="str">
        <f t="shared" si="110"/>
        <v>] 5 ; 8 ]</v>
      </c>
      <c r="O805" s="5" t="s">
        <v>3785</v>
      </c>
      <c r="P805" s="5" t="s">
        <v>3782</v>
      </c>
      <c r="Q805" s="5">
        <v>1</v>
      </c>
      <c r="R805" s="5" t="str">
        <f t="shared" si="111"/>
        <v>Specialisation</v>
      </c>
      <c r="S805" s="5" t="s">
        <v>3789</v>
      </c>
      <c r="T805" s="4">
        <v>33989</v>
      </c>
      <c r="U805" s="5">
        <f t="shared" si="112"/>
        <v>1993</v>
      </c>
      <c r="V805" s="5" t="s">
        <v>3793</v>
      </c>
      <c r="W805" s="9">
        <f t="shared" si="109"/>
        <v>32</v>
      </c>
      <c r="X805" s="5" t="str">
        <f t="shared" si="113"/>
        <v>[30 - 34 ans]</v>
      </c>
      <c r="Y805" s="5" t="str">
        <f t="shared" si="114"/>
        <v xml:space="preserve"> Mellenials </v>
      </c>
      <c r="Z805" s="9">
        <f t="shared" si="115"/>
        <v>28</v>
      </c>
      <c r="AA805" s="5" t="str">
        <f t="shared" si="116"/>
        <v>RAS</v>
      </c>
      <c r="AB805" s="5" t="s">
        <v>3807</v>
      </c>
      <c r="AC805" s="6" t="s">
        <v>3799</v>
      </c>
      <c r="AE805" s="5" t="s">
        <v>3844</v>
      </c>
      <c r="AF805" s="5" t="s">
        <v>4481</v>
      </c>
      <c r="AG805" s="5" t="s">
        <v>4485</v>
      </c>
      <c r="AH805" s="5" t="s">
        <v>4489</v>
      </c>
      <c r="AI805" s="5" t="s">
        <v>4026</v>
      </c>
      <c r="AJ805" s="5" t="s">
        <v>4027</v>
      </c>
      <c r="AK805" s="5">
        <v>14100</v>
      </c>
      <c r="AL805" s="5" t="s">
        <v>3858</v>
      </c>
    </row>
    <row r="806" spans="1:38" x14ac:dyDescent="0.3">
      <c r="A806" s="4">
        <v>45716</v>
      </c>
      <c r="B806" s="5" t="s">
        <v>2859</v>
      </c>
      <c r="C806" s="5" t="s">
        <v>2860</v>
      </c>
      <c r="D806" s="5" t="s">
        <v>2861</v>
      </c>
      <c r="E806" s="5" t="s">
        <v>4494</v>
      </c>
      <c r="G806" s="5" t="s">
        <v>78</v>
      </c>
      <c r="H806" s="5" t="s">
        <v>2862</v>
      </c>
      <c r="I806" s="5" t="s">
        <v>491</v>
      </c>
      <c r="J806" s="5" t="s">
        <v>1823</v>
      </c>
      <c r="K806" s="4">
        <v>43009</v>
      </c>
      <c r="L806" s="4">
        <v>43009</v>
      </c>
      <c r="M806" s="9">
        <f t="shared" si="108"/>
        <v>7</v>
      </c>
      <c r="N806" s="4" t="str">
        <f t="shared" si="110"/>
        <v>] 5 ; 8 ]</v>
      </c>
      <c r="O806" s="5" t="s">
        <v>3786</v>
      </c>
      <c r="P806" s="5" t="s">
        <v>3783</v>
      </c>
      <c r="Q806" s="5">
        <v>1</v>
      </c>
      <c r="R806" s="5" t="str">
        <f t="shared" si="111"/>
        <v>Specialisation</v>
      </c>
      <c r="S806" s="5" t="s">
        <v>3790</v>
      </c>
      <c r="T806" s="4">
        <v>31931</v>
      </c>
      <c r="U806" s="5">
        <f t="shared" si="112"/>
        <v>1987</v>
      </c>
      <c r="V806" s="5" t="s">
        <v>3793</v>
      </c>
      <c r="W806" s="9">
        <f t="shared" si="109"/>
        <v>37</v>
      </c>
      <c r="X806" s="5" t="str">
        <f t="shared" si="113"/>
        <v>[35 - 39 ans ]</v>
      </c>
      <c r="Y806" s="5" t="str">
        <f t="shared" si="114"/>
        <v xml:space="preserve"> Mellenials </v>
      </c>
      <c r="Z806" s="9">
        <f t="shared" si="115"/>
        <v>23</v>
      </c>
      <c r="AA806" s="5" t="str">
        <f t="shared" si="116"/>
        <v>RAS</v>
      </c>
      <c r="AB806" s="5" t="s">
        <v>3808</v>
      </c>
      <c r="AC806" s="6" t="s">
        <v>3799</v>
      </c>
      <c r="AE806" s="5" t="s">
        <v>3844</v>
      </c>
      <c r="AF806" s="5" t="s">
        <v>4482</v>
      </c>
      <c r="AG806" s="5" t="s">
        <v>4485</v>
      </c>
      <c r="AH806" s="5" t="s">
        <v>4488</v>
      </c>
      <c r="AI806" s="5" t="s">
        <v>4091</v>
      </c>
      <c r="AJ806" s="5" t="s">
        <v>4092</v>
      </c>
      <c r="AK806" s="5" t="s">
        <v>3946</v>
      </c>
      <c r="AL806" s="5" t="s">
        <v>3858</v>
      </c>
    </row>
    <row r="807" spans="1:38" x14ac:dyDescent="0.3">
      <c r="A807" s="4">
        <v>45716</v>
      </c>
      <c r="B807" s="5" t="s">
        <v>2863</v>
      </c>
      <c r="C807" s="5" t="s">
        <v>2864</v>
      </c>
      <c r="D807" s="5" t="s">
        <v>2865</v>
      </c>
      <c r="E807" s="5" t="s">
        <v>4494</v>
      </c>
      <c r="G807" s="5" t="s">
        <v>178</v>
      </c>
      <c r="H807" s="5" t="s">
        <v>2866</v>
      </c>
      <c r="I807" s="5" t="s">
        <v>1393</v>
      </c>
      <c r="J807" s="5" t="s">
        <v>1368</v>
      </c>
      <c r="K807" s="4">
        <v>43024</v>
      </c>
      <c r="L807" s="4">
        <v>43024</v>
      </c>
      <c r="M807" s="9">
        <f t="shared" si="108"/>
        <v>7</v>
      </c>
      <c r="N807" s="4" t="str">
        <f t="shared" si="110"/>
        <v>] 5 ; 8 ]</v>
      </c>
      <c r="O807" s="5" t="s">
        <v>3782</v>
      </c>
      <c r="P807" s="5" t="s">
        <v>3782</v>
      </c>
      <c r="Q807" s="5">
        <v>2</v>
      </c>
      <c r="R807" s="5" t="str">
        <f t="shared" si="111"/>
        <v>Management &amp; Expertise</v>
      </c>
      <c r="S807" s="5" t="s">
        <v>3790</v>
      </c>
      <c r="T807" s="4">
        <v>26680</v>
      </c>
      <c r="U807" s="5">
        <f t="shared" si="112"/>
        <v>1973</v>
      </c>
      <c r="V807" s="5" t="s">
        <v>3792</v>
      </c>
      <c r="W807" s="9">
        <f t="shared" si="109"/>
        <v>52</v>
      </c>
      <c r="X807" s="5" t="str">
        <f t="shared" si="113"/>
        <v>[50 ans, +oo [</v>
      </c>
      <c r="Y807" s="5" t="str">
        <f t="shared" si="114"/>
        <v xml:space="preserve"> Generation X </v>
      </c>
      <c r="Z807" s="9">
        <f t="shared" si="115"/>
        <v>8</v>
      </c>
      <c r="AA807" s="5" t="str">
        <f t="shared" si="116"/>
        <v>RAS</v>
      </c>
      <c r="AB807" s="5" t="s">
        <v>3806</v>
      </c>
      <c r="AC807" s="6" t="s">
        <v>3799</v>
      </c>
      <c r="AE807" s="5" t="s">
        <v>3845</v>
      </c>
      <c r="AF807" s="5" t="s">
        <v>4481</v>
      </c>
      <c r="AG807" s="5" t="s">
        <v>4485</v>
      </c>
      <c r="AH807" s="5" t="s">
        <v>4488</v>
      </c>
      <c r="AI807" s="5" t="s">
        <v>4443</v>
      </c>
      <c r="AJ807" s="5" t="s">
        <v>4444</v>
      </c>
      <c r="AK807" s="5" t="s">
        <v>3980</v>
      </c>
      <c r="AL807" s="5" t="s">
        <v>3854</v>
      </c>
    </row>
    <row r="808" spans="1:38" x14ac:dyDescent="0.3">
      <c r="A808" s="4">
        <v>45716</v>
      </c>
      <c r="B808" s="5" t="s">
        <v>2867</v>
      </c>
      <c r="C808" s="5" t="s">
        <v>2868</v>
      </c>
      <c r="D808" s="5" t="s">
        <v>2869</v>
      </c>
      <c r="E808" s="5" t="s">
        <v>4494</v>
      </c>
      <c r="G808" s="5" t="s">
        <v>39</v>
      </c>
      <c r="H808" s="5" t="s">
        <v>2870</v>
      </c>
      <c r="I808" s="5" t="s">
        <v>2743</v>
      </c>
      <c r="J808" s="5" t="s">
        <v>149</v>
      </c>
      <c r="K808" s="4">
        <v>43054</v>
      </c>
      <c r="L808" s="4">
        <v>43054</v>
      </c>
      <c r="M808" s="9">
        <f t="shared" si="108"/>
        <v>7</v>
      </c>
      <c r="N808" s="4" t="str">
        <f t="shared" si="110"/>
        <v>] 5 ; 8 ]</v>
      </c>
      <c r="O808" s="5" t="s">
        <v>3785</v>
      </c>
      <c r="P808" s="5" t="s">
        <v>3785</v>
      </c>
      <c r="Q808" s="5">
        <v>2</v>
      </c>
      <c r="R808" s="5" t="str">
        <f t="shared" si="111"/>
        <v>Specialisation</v>
      </c>
      <c r="S808" s="5" t="s">
        <v>3789</v>
      </c>
      <c r="T808" s="4">
        <v>33127</v>
      </c>
      <c r="U808" s="5">
        <f t="shared" si="112"/>
        <v>1990</v>
      </c>
      <c r="V808" s="5" t="s">
        <v>3792</v>
      </c>
      <c r="W808" s="9">
        <f t="shared" si="109"/>
        <v>34</v>
      </c>
      <c r="X808" s="5" t="str">
        <f t="shared" si="113"/>
        <v>[30 - 34 ans]</v>
      </c>
      <c r="Y808" s="5" t="str">
        <f t="shared" si="114"/>
        <v xml:space="preserve"> Mellenials </v>
      </c>
      <c r="Z808" s="9">
        <f t="shared" si="115"/>
        <v>26</v>
      </c>
      <c r="AA808" s="5" t="str">
        <f t="shared" si="116"/>
        <v>RAS</v>
      </c>
      <c r="AB808" s="5" t="s">
        <v>3807</v>
      </c>
      <c r="AC808" s="6" t="s">
        <v>3799</v>
      </c>
      <c r="AE808" s="5" t="s">
        <v>3844</v>
      </c>
      <c r="AF808" s="5" t="s">
        <v>4481</v>
      </c>
      <c r="AG808" s="5" t="s">
        <v>4485</v>
      </c>
      <c r="AH808" s="5" t="s">
        <v>4489</v>
      </c>
      <c r="AI808" s="5" t="s">
        <v>3971</v>
      </c>
      <c r="AJ808" s="5" t="s">
        <v>3972</v>
      </c>
      <c r="AK808" s="5" t="s">
        <v>3873</v>
      </c>
      <c r="AL808" s="5" t="s">
        <v>3858</v>
      </c>
    </row>
    <row r="809" spans="1:38" x14ac:dyDescent="0.3">
      <c r="A809" s="4">
        <v>45716</v>
      </c>
      <c r="B809" s="5" t="s">
        <v>2871</v>
      </c>
      <c r="C809" s="5" t="s">
        <v>2872</v>
      </c>
      <c r="D809" s="5" t="s">
        <v>2873</v>
      </c>
      <c r="E809" s="5" t="s">
        <v>4494</v>
      </c>
      <c r="G809" s="5" t="s">
        <v>39</v>
      </c>
      <c r="H809" s="5" t="s">
        <v>471</v>
      </c>
      <c r="I809" s="5" t="s">
        <v>1835</v>
      </c>
      <c r="J809" s="5" t="s">
        <v>48</v>
      </c>
      <c r="K809" s="4">
        <v>43040</v>
      </c>
      <c r="L809" s="4">
        <v>43040</v>
      </c>
      <c r="M809" s="9">
        <f t="shared" si="108"/>
        <v>7</v>
      </c>
      <c r="N809" s="4" t="str">
        <f t="shared" si="110"/>
        <v>] 5 ; 8 ]</v>
      </c>
      <c r="O809" s="5" t="s">
        <v>3786</v>
      </c>
      <c r="P809" s="5" t="s">
        <v>3786</v>
      </c>
      <c r="Q809" s="5">
        <v>1</v>
      </c>
      <c r="R809" s="5" t="str">
        <f t="shared" si="111"/>
        <v>Specialisation</v>
      </c>
      <c r="S809" s="5" t="s">
        <v>3789</v>
      </c>
      <c r="T809" s="4">
        <v>29109</v>
      </c>
      <c r="U809" s="5">
        <f t="shared" si="112"/>
        <v>1979</v>
      </c>
      <c r="V809" s="5" t="s">
        <v>3792</v>
      </c>
      <c r="W809" s="9">
        <f t="shared" si="109"/>
        <v>45</v>
      </c>
      <c r="X809" s="5" t="str">
        <f t="shared" si="113"/>
        <v>[45 - 49 ans]</v>
      </c>
      <c r="Y809" s="5" t="str">
        <f t="shared" si="114"/>
        <v xml:space="preserve"> Generation X </v>
      </c>
      <c r="Z809" s="9">
        <f t="shared" si="115"/>
        <v>15</v>
      </c>
      <c r="AA809" s="5" t="str">
        <f t="shared" si="116"/>
        <v>RAS</v>
      </c>
      <c r="AB809" s="5" t="s">
        <v>3807</v>
      </c>
      <c r="AC809" s="6" t="s">
        <v>3799</v>
      </c>
      <c r="AE809" s="5" t="s">
        <v>3844</v>
      </c>
      <c r="AF809" s="5" t="s">
        <v>4482</v>
      </c>
      <c r="AG809" s="5" t="s">
        <v>4485</v>
      </c>
      <c r="AH809" s="5" t="s">
        <v>4489</v>
      </c>
      <c r="AI809" s="5" t="s">
        <v>4078</v>
      </c>
      <c r="AJ809" s="5" t="s">
        <v>4079</v>
      </c>
      <c r="AK809" s="5" t="s">
        <v>4080</v>
      </c>
      <c r="AL809" s="5" t="s">
        <v>3858</v>
      </c>
    </row>
    <row r="810" spans="1:38" x14ac:dyDescent="0.3">
      <c r="A810" s="4">
        <v>45716</v>
      </c>
      <c r="B810" s="5" t="s">
        <v>2874</v>
      </c>
      <c r="C810" s="5" t="s">
        <v>2875</v>
      </c>
      <c r="D810" s="5" t="s">
        <v>2876</v>
      </c>
      <c r="E810" s="5" t="s">
        <v>4494</v>
      </c>
      <c r="G810" s="5" t="s">
        <v>83</v>
      </c>
      <c r="H810" s="5" t="s">
        <v>2877</v>
      </c>
      <c r="I810" s="5" t="s">
        <v>1903</v>
      </c>
      <c r="J810" s="5" t="s">
        <v>82</v>
      </c>
      <c r="K810" s="4">
        <v>43040</v>
      </c>
      <c r="L810" s="4">
        <v>39615</v>
      </c>
      <c r="M810" s="9">
        <f t="shared" si="108"/>
        <v>16</v>
      </c>
      <c r="N810" s="4" t="str">
        <f t="shared" si="110"/>
        <v>] 15 ; +oo [</v>
      </c>
      <c r="O810" s="5" t="s">
        <v>3782</v>
      </c>
      <c r="P810" s="5" t="s">
        <v>3782</v>
      </c>
      <c r="Q810" s="5">
        <v>1</v>
      </c>
      <c r="R810" s="5" t="str">
        <f t="shared" si="111"/>
        <v>Management &amp; Expertise</v>
      </c>
      <c r="S810" s="5" t="s">
        <v>3789</v>
      </c>
      <c r="T810" s="4">
        <v>30362</v>
      </c>
      <c r="U810" s="5">
        <f t="shared" si="112"/>
        <v>1983</v>
      </c>
      <c r="V810" s="5" t="s">
        <v>3792</v>
      </c>
      <c r="W810" s="9">
        <f t="shared" si="109"/>
        <v>42</v>
      </c>
      <c r="X810" s="5" t="str">
        <f t="shared" si="113"/>
        <v>[40 - 44 ans]</v>
      </c>
      <c r="Y810" s="5" t="str">
        <f t="shared" si="114"/>
        <v xml:space="preserve"> Mellenials </v>
      </c>
      <c r="Z810" s="9">
        <f t="shared" si="115"/>
        <v>18</v>
      </c>
      <c r="AA810" s="5" t="str">
        <f t="shared" si="116"/>
        <v>RAS</v>
      </c>
      <c r="AB810" s="5" t="s">
        <v>3807</v>
      </c>
      <c r="AC810" s="6" t="s">
        <v>3799</v>
      </c>
      <c r="AE810" s="5" t="s">
        <v>3844</v>
      </c>
      <c r="AF810" s="5" t="s">
        <v>4481</v>
      </c>
      <c r="AG810" s="5" t="s">
        <v>4485</v>
      </c>
      <c r="AH810" s="5" t="s">
        <v>4489</v>
      </c>
      <c r="AI810" s="5" t="s">
        <v>4373</v>
      </c>
      <c r="AJ810" s="5" t="s">
        <v>4374</v>
      </c>
      <c r="AK810" s="5">
        <v>13110</v>
      </c>
      <c r="AL810" s="5" t="s">
        <v>3858</v>
      </c>
    </row>
    <row r="811" spans="1:38" x14ac:dyDescent="0.3">
      <c r="A811" s="4">
        <v>45716</v>
      </c>
      <c r="B811" s="5" t="s">
        <v>2878</v>
      </c>
      <c r="C811" s="5" t="s">
        <v>2879</v>
      </c>
      <c r="D811" s="5" t="s">
        <v>2880</v>
      </c>
      <c r="E811" s="5" t="s">
        <v>4494</v>
      </c>
      <c r="G811" s="5" t="s">
        <v>554</v>
      </c>
      <c r="H811" s="5" t="s">
        <v>2881</v>
      </c>
      <c r="I811" s="5" t="s">
        <v>2495</v>
      </c>
      <c r="J811" s="5" t="s">
        <v>2412</v>
      </c>
      <c r="K811" s="4">
        <v>43101</v>
      </c>
      <c r="L811" s="4">
        <v>43101</v>
      </c>
      <c r="M811" s="9">
        <f t="shared" si="108"/>
        <v>7</v>
      </c>
      <c r="N811" s="4" t="str">
        <f t="shared" si="110"/>
        <v>] 5 ; 8 ]</v>
      </c>
      <c r="O811" s="5" t="s">
        <v>3783</v>
      </c>
      <c r="P811" s="5" t="s">
        <v>3785</v>
      </c>
      <c r="Q811" s="5">
        <v>1</v>
      </c>
      <c r="R811" s="5" t="str">
        <f t="shared" si="111"/>
        <v>Specialisation</v>
      </c>
      <c r="S811" s="5" t="s">
        <v>3790</v>
      </c>
      <c r="T811" s="4">
        <v>33744</v>
      </c>
      <c r="U811" s="5">
        <f t="shared" si="112"/>
        <v>1992</v>
      </c>
      <c r="V811" s="5" t="s">
        <v>3792</v>
      </c>
      <c r="W811" s="9">
        <f t="shared" si="109"/>
        <v>32</v>
      </c>
      <c r="X811" s="5" t="str">
        <f t="shared" si="113"/>
        <v>[30 - 34 ans]</v>
      </c>
      <c r="Y811" s="5" t="str">
        <f t="shared" si="114"/>
        <v xml:space="preserve"> Mellenials </v>
      </c>
      <c r="Z811" s="9">
        <f t="shared" si="115"/>
        <v>28</v>
      </c>
      <c r="AA811" s="5" t="str">
        <f t="shared" si="116"/>
        <v>RAS</v>
      </c>
      <c r="AB811" s="5" t="s">
        <v>3806</v>
      </c>
      <c r="AC811" s="6" t="s">
        <v>3799</v>
      </c>
      <c r="AE811" s="5" t="s">
        <v>3844</v>
      </c>
      <c r="AF811" s="5" t="s">
        <v>4482</v>
      </c>
      <c r="AG811" s="5" t="s">
        <v>4485</v>
      </c>
      <c r="AH811" s="5" t="s">
        <v>4487</v>
      </c>
      <c r="AI811" s="5" t="s">
        <v>4445</v>
      </c>
      <c r="AJ811" s="5" t="s">
        <v>4446</v>
      </c>
      <c r="AK811" s="5" t="s">
        <v>4121</v>
      </c>
      <c r="AL811" s="5" t="s">
        <v>3858</v>
      </c>
    </row>
    <row r="812" spans="1:38" x14ac:dyDescent="0.3">
      <c r="A812" s="4">
        <v>45716</v>
      </c>
      <c r="B812" s="5" t="s">
        <v>2882</v>
      </c>
      <c r="C812" s="5" t="s">
        <v>2883</v>
      </c>
      <c r="D812" s="5" t="s">
        <v>2884</v>
      </c>
      <c r="E812" s="5" t="s">
        <v>4494</v>
      </c>
      <c r="G812" s="5" t="s">
        <v>44</v>
      </c>
      <c r="H812" s="5" t="s">
        <v>45</v>
      </c>
      <c r="I812" s="5" t="s">
        <v>217</v>
      </c>
      <c r="J812" s="5" t="s">
        <v>2337</v>
      </c>
      <c r="K812" s="4">
        <v>43101</v>
      </c>
      <c r="L812" s="4">
        <v>43101</v>
      </c>
      <c r="M812" s="9">
        <f t="shared" si="108"/>
        <v>7</v>
      </c>
      <c r="N812" s="4" t="str">
        <f t="shared" si="110"/>
        <v>] 5 ; 8 ]</v>
      </c>
      <c r="O812" s="5" t="s">
        <v>3783</v>
      </c>
      <c r="P812" s="5" t="s">
        <v>3786</v>
      </c>
      <c r="Q812" s="5">
        <v>2</v>
      </c>
      <c r="R812" s="5" t="str">
        <f t="shared" si="111"/>
        <v>Specialisation</v>
      </c>
      <c r="S812" s="5" t="s">
        <v>3790</v>
      </c>
      <c r="T812" s="4">
        <v>27128</v>
      </c>
      <c r="U812" s="5">
        <f t="shared" si="112"/>
        <v>1974</v>
      </c>
      <c r="V812" s="5" t="s">
        <v>3793</v>
      </c>
      <c r="W812" s="9">
        <f t="shared" si="109"/>
        <v>50</v>
      </c>
      <c r="X812" s="5" t="str">
        <f t="shared" si="113"/>
        <v>[50 ans, +oo [</v>
      </c>
      <c r="Y812" s="5" t="str">
        <f t="shared" si="114"/>
        <v xml:space="preserve"> Generation X </v>
      </c>
      <c r="Z812" s="9">
        <f t="shared" si="115"/>
        <v>10</v>
      </c>
      <c r="AA812" s="5" t="str">
        <f t="shared" si="116"/>
        <v>RAS</v>
      </c>
      <c r="AB812" s="5" t="s">
        <v>3806</v>
      </c>
      <c r="AC812" s="6" t="s">
        <v>3799</v>
      </c>
      <c r="AE812" s="5" t="s">
        <v>3844</v>
      </c>
      <c r="AF812" s="5" t="s">
        <v>4482</v>
      </c>
      <c r="AG812" s="5" t="s">
        <v>4485</v>
      </c>
      <c r="AH812" s="5" t="s">
        <v>4487</v>
      </c>
      <c r="AI812" s="5" t="s">
        <v>3963</v>
      </c>
      <c r="AJ812" s="5" t="s">
        <v>3964</v>
      </c>
      <c r="AK812" s="5" t="s">
        <v>3867</v>
      </c>
      <c r="AL812" s="5" t="s">
        <v>3858</v>
      </c>
    </row>
    <row r="813" spans="1:38" x14ac:dyDescent="0.3">
      <c r="A813" s="4">
        <v>45716</v>
      </c>
      <c r="B813" s="5" t="s">
        <v>2885</v>
      </c>
      <c r="C813" s="5" t="s">
        <v>2886</v>
      </c>
      <c r="D813" s="5" t="s">
        <v>2887</v>
      </c>
      <c r="E813" s="5" t="s">
        <v>4494</v>
      </c>
      <c r="G813" s="5" t="s">
        <v>78</v>
      </c>
      <c r="H813" s="5" t="s">
        <v>1087</v>
      </c>
      <c r="I813" s="5" t="s">
        <v>2069</v>
      </c>
      <c r="J813" s="5" t="s">
        <v>1518</v>
      </c>
      <c r="K813" s="4">
        <v>43101</v>
      </c>
      <c r="L813" s="4">
        <v>43101</v>
      </c>
      <c r="M813" s="9">
        <f t="shared" si="108"/>
        <v>7</v>
      </c>
      <c r="N813" s="4" t="str">
        <f t="shared" si="110"/>
        <v>] 5 ; 8 ]</v>
      </c>
      <c r="O813" s="5" t="s">
        <v>3788</v>
      </c>
      <c r="P813" s="5" t="s">
        <v>3788</v>
      </c>
      <c r="Q813" s="5">
        <v>2</v>
      </c>
      <c r="R813" s="5" t="str">
        <f t="shared" si="111"/>
        <v>Qualification</v>
      </c>
      <c r="S813" s="5" t="s">
        <v>3790</v>
      </c>
      <c r="T813" s="4">
        <v>33080</v>
      </c>
      <c r="U813" s="5">
        <f t="shared" si="112"/>
        <v>1990</v>
      </c>
      <c r="V813" s="5" t="s">
        <v>3792</v>
      </c>
      <c r="W813" s="9">
        <f t="shared" si="109"/>
        <v>34</v>
      </c>
      <c r="X813" s="5" t="str">
        <f t="shared" si="113"/>
        <v>[30 - 34 ans]</v>
      </c>
      <c r="Y813" s="5" t="str">
        <f t="shared" si="114"/>
        <v xml:space="preserve"> Mellenials </v>
      </c>
      <c r="Z813" s="9">
        <f t="shared" si="115"/>
        <v>26</v>
      </c>
      <c r="AA813" s="5" t="str">
        <f t="shared" si="116"/>
        <v>RAS</v>
      </c>
      <c r="AB813" s="5" t="s">
        <v>3808</v>
      </c>
      <c r="AC813" s="6" t="s">
        <v>3799</v>
      </c>
      <c r="AE813" s="5" t="s">
        <v>3844</v>
      </c>
      <c r="AF813" s="5" t="s">
        <v>4482</v>
      </c>
      <c r="AG813" s="5" t="s">
        <v>4485</v>
      </c>
      <c r="AH813" s="5" t="s">
        <v>4488</v>
      </c>
      <c r="AI813" s="5" t="s">
        <v>4263</v>
      </c>
      <c r="AJ813" s="5" t="s">
        <v>4105</v>
      </c>
      <c r="AK813" s="5" t="s">
        <v>4090</v>
      </c>
      <c r="AL813" s="5" t="s">
        <v>3858</v>
      </c>
    </row>
    <row r="814" spans="1:38" x14ac:dyDescent="0.3">
      <c r="A814" s="4">
        <v>45716</v>
      </c>
      <c r="B814" s="5" t="s">
        <v>2888</v>
      </c>
      <c r="C814" s="5" t="s">
        <v>2889</v>
      </c>
      <c r="D814" s="5" t="s">
        <v>2890</v>
      </c>
      <c r="E814" s="5" t="s">
        <v>4494</v>
      </c>
      <c r="G814" s="5" t="s">
        <v>88</v>
      </c>
      <c r="H814" s="5" t="s">
        <v>456</v>
      </c>
      <c r="I814" s="5" t="s">
        <v>744</v>
      </c>
      <c r="J814" s="5" t="s">
        <v>883</v>
      </c>
      <c r="K814" s="4">
        <v>43101</v>
      </c>
      <c r="L814" s="4">
        <v>43101</v>
      </c>
      <c r="M814" s="9">
        <f t="shared" si="108"/>
        <v>7</v>
      </c>
      <c r="N814" s="4" t="str">
        <f t="shared" si="110"/>
        <v>] 5 ; 8 ]</v>
      </c>
      <c r="O814" s="5" t="s">
        <v>3780</v>
      </c>
      <c r="P814" s="5" t="s">
        <v>3780</v>
      </c>
      <c r="Q814" s="5">
        <v>3</v>
      </c>
      <c r="R814" s="5" t="str">
        <f t="shared" si="111"/>
        <v>Qualification</v>
      </c>
      <c r="S814" s="5" t="s">
        <v>3789</v>
      </c>
      <c r="T814" s="4">
        <v>31165</v>
      </c>
      <c r="U814" s="5">
        <f t="shared" si="112"/>
        <v>1985</v>
      </c>
      <c r="V814" s="5" t="s">
        <v>3792</v>
      </c>
      <c r="W814" s="9">
        <f t="shared" si="109"/>
        <v>39</v>
      </c>
      <c r="X814" s="5" t="str">
        <f t="shared" si="113"/>
        <v>[35 - 39 ans ]</v>
      </c>
      <c r="Y814" s="5" t="str">
        <f t="shared" si="114"/>
        <v xml:space="preserve"> Mellenials </v>
      </c>
      <c r="Z814" s="9">
        <f t="shared" si="115"/>
        <v>21</v>
      </c>
      <c r="AA814" s="5" t="str">
        <f t="shared" si="116"/>
        <v>RAS</v>
      </c>
      <c r="AB814" s="5" t="s">
        <v>3828</v>
      </c>
      <c r="AC814" s="6" t="s">
        <v>3799</v>
      </c>
      <c r="AE814" s="5" t="s">
        <v>3844</v>
      </c>
      <c r="AF814" s="5" t="s">
        <v>4482</v>
      </c>
      <c r="AG814" s="5" t="s">
        <v>4485</v>
      </c>
      <c r="AH814" s="5" t="s">
        <v>4488</v>
      </c>
      <c r="AI814" s="5" t="s">
        <v>4186</v>
      </c>
      <c r="AJ814" s="5" t="s">
        <v>4187</v>
      </c>
      <c r="AK814" s="5" t="s">
        <v>4183</v>
      </c>
      <c r="AL814" s="5" t="s">
        <v>3858</v>
      </c>
    </row>
    <row r="815" spans="1:38" x14ac:dyDescent="0.3">
      <c r="A815" s="4">
        <v>45716</v>
      </c>
      <c r="B815" s="5" t="s">
        <v>2891</v>
      </c>
      <c r="C815" s="5" t="s">
        <v>2892</v>
      </c>
      <c r="D815" s="5" t="s">
        <v>2893</v>
      </c>
      <c r="E815" s="5" t="s">
        <v>4494</v>
      </c>
      <c r="G815" s="5" t="s">
        <v>78</v>
      </c>
      <c r="H815" s="5" t="s">
        <v>1080</v>
      </c>
      <c r="I815" s="5" t="s">
        <v>1518</v>
      </c>
      <c r="J815" s="5" t="s">
        <v>1518</v>
      </c>
      <c r="K815" s="4">
        <v>43101</v>
      </c>
      <c r="L815" s="4">
        <v>43101</v>
      </c>
      <c r="M815" s="9">
        <f t="shared" si="108"/>
        <v>7</v>
      </c>
      <c r="N815" s="4" t="str">
        <f t="shared" si="110"/>
        <v>] 5 ; 8 ]</v>
      </c>
      <c r="O815" s="5" t="s">
        <v>3788</v>
      </c>
      <c r="P815" s="5" t="s">
        <v>3788</v>
      </c>
      <c r="Q815" s="5">
        <v>3</v>
      </c>
      <c r="R815" s="5" t="str">
        <f t="shared" si="111"/>
        <v>Qualification</v>
      </c>
      <c r="S815" s="5" t="s">
        <v>3789</v>
      </c>
      <c r="T815" s="4">
        <v>32081</v>
      </c>
      <c r="U815" s="5">
        <f t="shared" si="112"/>
        <v>1987</v>
      </c>
      <c r="V815" s="5" t="s">
        <v>3793</v>
      </c>
      <c r="W815" s="9">
        <f t="shared" si="109"/>
        <v>37</v>
      </c>
      <c r="X815" s="5" t="str">
        <f t="shared" si="113"/>
        <v>[35 - 39 ans ]</v>
      </c>
      <c r="Y815" s="5" t="str">
        <f t="shared" si="114"/>
        <v xml:space="preserve"> Mellenials </v>
      </c>
      <c r="Z815" s="9">
        <f t="shared" si="115"/>
        <v>23</v>
      </c>
      <c r="AA815" s="5" t="str">
        <f t="shared" si="116"/>
        <v>RAS</v>
      </c>
      <c r="AB815" s="5" t="s">
        <v>3808</v>
      </c>
      <c r="AC815" s="6" t="s">
        <v>3799</v>
      </c>
      <c r="AE815" s="5" t="s">
        <v>3844</v>
      </c>
      <c r="AF815" s="5" t="s">
        <v>4482</v>
      </c>
      <c r="AG815" s="5" t="s">
        <v>4485</v>
      </c>
      <c r="AH815" s="5" t="s">
        <v>4488</v>
      </c>
      <c r="AI815" s="5" t="s">
        <v>4243</v>
      </c>
      <c r="AJ815" s="5" t="s">
        <v>4244</v>
      </c>
      <c r="AK815" s="5" t="s">
        <v>4090</v>
      </c>
      <c r="AL815" s="5" t="s">
        <v>3858</v>
      </c>
    </row>
    <row r="816" spans="1:38" x14ac:dyDescent="0.3">
      <c r="A816" s="4">
        <v>45716</v>
      </c>
      <c r="B816" s="5" t="s">
        <v>2894</v>
      </c>
      <c r="C816" s="5" t="s">
        <v>2895</v>
      </c>
      <c r="D816" s="5" t="s">
        <v>2896</v>
      </c>
      <c r="E816" s="5" t="s">
        <v>4494</v>
      </c>
      <c r="G816" s="5" t="s">
        <v>83</v>
      </c>
      <c r="H816" s="5" t="s">
        <v>2897</v>
      </c>
      <c r="I816" s="5" t="s">
        <v>474</v>
      </c>
      <c r="J816" s="5" t="s">
        <v>1903</v>
      </c>
      <c r="K816" s="4">
        <v>43101</v>
      </c>
      <c r="L816" s="4">
        <v>43101</v>
      </c>
      <c r="M816" s="9">
        <f t="shared" si="108"/>
        <v>7</v>
      </c>
      <c r="N816" s="4" t="str">
        <f t="shared" si="110"/>
        <v>] 5 ; 8 ]</v>
      </c>
      <c r="O816" s="5" t="s">
        <v>3783</v>
      </c>
      <c r="P816" s="5" t="s">
        <v>3783</v>
      </c>
      <c r="Q816" s="5">
        <v>1</v>
      </c>
      <c r="R816" s="5" t="str">
        <f t="shared" si="111"/>
        <v>Specialisation</v>
      </c>
      <c r="S816" s="5" t="s">
        <v>3789</v>
      </c>
      <c r="T816" s="4">
        <v>30014</v>
      </c>
      <c r="U816" s="5">
        <f t="shared" si="112"/>
        <v>1982</v>
      </c>
      <c r="V816" s="5" t="s">
        <v>3793</v>
      </c>
      <c r="W816" s="9">
        <f t="shared" si="109"/>
        <v>42</v>
      </c>
      <c r="X816" s="5" t="str">
        <f t="shared" si="113"/>
        <v>[40 - 44 ans]</v>
      </c>
      <c r="Y816" s="5" t="str">
        <f t="shared" si="114"/>
        <v xml:space="preserve"> Mellenials </v>
      </c>
      <c r="Z816" s="9">
        <f t="shared" si="115"/>
        <v>18</v>
      </c>
      <c r="AA816" s="5" t="str">
        <f t="shared" si="116"/>
        <v>RAS</v>
      </c>
      <c r="AB816" s="5" t="s">
        <v>3806</v>
      </c>
      <c r="AC816" s="6" t="s">
        <v>3799</v>
      </c>
      <c r="AE816" s="5" t="s">
        <v>3844</v>
      </c>
      <c r="AF816" s="5" t="s">
        <v>4482</v>
      </c>
      <c r="AG816" s="5" t="s">
        <v>4485</v>
      </c>
      <c r="AH816" s="5" t="s">
        <v>4489</v>
      </c>
      <c r="AI816" s="5" t="s">
        <v>4081</v>
      </c>
      <c r="AJ816" s="5" t="s">
        <v>4082</v>
      </c>
      <c r="AK816" s="5" t="s">
        <v>4033</v>
      </c>
      <c r="AL816" s="5" t="s">
        <v>3858</v>
      </c>
    </row>
    <row r="817" spans="1:38" x14ac:dyDescent="0.3">
      <c r="A817" s="4">
        <v>45716</v>
      </c>
      <c r="B817" s="5" t="s">
        <v>2898</v>
      </c>
      <c r="C817" s="5" t="s">
        <v>2899</v>
      </c>
      <c r="D817" s="5" t="s">
        <v>2900</v>
      </c>
      <c r="E817" s="5" t="s">
        <v>4494</v>
      </c>
      <c r="G817" s="5" t="s">
        <v>88</v>
      </c>
      <c r="H817" s="5" t="s">
        <v>456</v>
      </c>
      <c r="I817" s="5" t="s">
        <v>741</v>
      </c>
      <c r="J817" s="5" t="s">
        <v>883</v>
      </c>
      <c r="K817" s="4">
        <v>43101</v>
      </c>
      <c r="L817" s="4">
        <v>43101</v>
      </c>
      <c r="M817" s="9">
        <f t="shared" si="108"/>
        <v>7</v>
      </c>
      <c r="N817" s="4" t="str">
        <f t="shared" si="110"/>
        <v>] 5 ; 8 ]</v>
      </c>
      <c r="O817" s="5" t="s">
        <v>3780</v>
      </c>
      <c r="P817" s="5" t="s">
        <v>3780</v>
      </c>
      <c r="Q817" s="5">
        <v>2</v>
      </c>
      <c r="R817" s="5" t="str">
        <f t="shared" si="111"/>
        <v>Qualification</v>
      </c>
      <c r="S817" s="5" t="s">
        <v>3790</v>
      </c>
      <c r="T817" s="4">
        <v>32017</v>
      </c>
      <c r="U817" s="5">
        <f t="shared" si="112"/>
        <v>1987</v>
      </c>
      <c r="V817" s="5" t="s">
        <v>3793</v>
      </c>
      <c r="W817" s="9">
        <f t="shared" si="109"/>
        <v>37</v>
      </c>
      <c r="X817" s="5" t="str">
        <f t="shared" si="113"/>
        <v>[35 - 39 ans ]</v>
      </c>
      <c r="Y817" s="5" t="str">
        <f t="shared" si="114"/>
        <v xml:space="preserve"> Mellenials </v>
      </c>
      <c r="Z817" s="9">
        <f t="shared" si="115"/>
        <v>23</v>
      </c>
      <c r="AA817" s="5" t="str">
        <f t="shared" si="116"/>
        <v>RAS</v>
      </c>
      <c r="AB817" s="5" t="s">
        <v>3827</v>
      </c>
      <c r="AC817" s="6" t="s">
        <v>3799</v>
      </c>
      <c r="AE817" s="5" t="s">
        <v>3844</v>
      </c>
      <c r="AF817" s="5" t="s">
        <v>4482</v>
      </c>
      <c r="AG817" s="5" t="s">
        <v>4485</v>
      </c>
      <c r="AH817" s="5" t="s">
        <v>4488</v>
      </c>
      <c r="AI817" s="5" t="s">
        <v>4184</v>
      </c>
      <c r="AJ817" s="5" t="s">
        <v>4185</v>
      </c>
      <c r="AK817" s="5">
        <v>11307</v>
      </c>
      <c r="AL817" s="5" t="s">
        <v>3858</v>
      </c>
    </row>
    <row r="818" spans="1:38" x14ac:dyDescent="0.3">
      <c r="A818" s="4">
        <v>45716</v>
      </c>
      <c r="B818" s="5" t="s">
        <v>2901</v>
      </c>
      <c r="C818" s="5" t="s">
        <v>2902</v>
      </c>
      <c r="D818" s="5" t="s">
        <v>2903</v>
      </c>
      <c r="E818" s="5" t="s">
        <v>4494</v>
      </c>
      <c r="G818" s="5" t="s">
        <v>78</v>
      </c>
      <c r="H818" s="5" t="s">
        <v>1928</v>
      </c>
      <c r="I818" s="5" t="s">
        <v>590</v>
      </c>
      <c r="J818" s="5" t="s">
        <v>169</v>
      </c>
      <c r="K818" s="4">
        <v>43101</v>
      </c>
      <c r="L818" s="4">
        <v>43101</v>
      </c>
      <c r="M818" s="9">
        <f t="shared" si="108"/>
        <v>7</v>
      </c>
      <c r="N818" s="4" t="str">
        <f t="shared" si="110"/>
        <v>] 5 ; 8 ]</v>
      </c>
      <c r="O818" s="5" t="s">
        <v>3786</v>
      </c>
      <c r="P818" s="5" t="s">
        <v>3786</v>
      </c>
      <c r="Q818" s="5">
        <v>1</v>
      </c>
      <c r="R818" s="5" t="str">
        <f t="shared" si="111"/>
        <v>Specialisation</v>
      </c>
      <c r="S818" s="5" t="s">
        <v>3790</v>
      </c>
      <c r="T818" s="4">
        <v>32156</v>
      </c>
      <c r="U818" s="5">
        <f t="shared" si="112"/>
        <v>1988</v>
      </c>
      <c r="V818" s="5" t="s">
        <v>3793</v>
      </c>
      <c r="W818" s="9">
        <f t="shared" si="109"/>
        <v>37</v>
      </c>
      <c r="X818" s="5" t="str">
        <f t="shared" si="113"/>
        <v>[35 - 39 ans ]</v>
      </c>
      <c r="Y818" s="5" t="str">
        <f t="shared" si="114"/>
        <v xml:space="preserve"> Mellenials </v>
      </c>
      <c r="Z818" s="9">
        <f t="shared" si="115"/>
        <v>23</v>
      </c>
      <c r="AA818" s="5" t="str">
        <f t="shared" si="116"/>
        <v>RAS</v>
      </c>
      <c r="AB818" s="5" t="s">
        <v>3838</v>
      </c>
      <c r="AC818" s="6" t="s">
        <v>3799</v>
      </c>
      <c r="AE818" s="5" t="s">
        <v>3844</v>
      </c>
      <c r="AF818" s="5" t="s">
        <v>4482</v>
      </c>
      <c r="AG818" s="5" t="s">
        <v>4485</v>
      </c>
      <c r="AH818" s="5" t="s">
        <v>4488</v>
      </c>
      <c r="AI818" s="5" t="s">
        <v>4138</v>
      </c>
      <c r="AJ818" s="5" t="s">
        <v>4139</v>
      </c>
      <c r="AK818" s="5" t="s">
        <v>4090</v>
      </c>
      <c r="AL818" s="5" t="s">
        <v>3858</v>
      </c>
    </row>
    <row r="819" spans="1:38" x14ac:dyDescent="0.3">
      <c r="A819" s="4">
        <v>45716</v>
      </c>
      <c r="B819" s="5" t="s">
        <v>2904</v>
      </c>
      <c r="C819" s="5" t="s">
        <v>2905</v>
      </c>
      <c r="D819" s="5" t="s">
        <v>2906</v>
      </c>
      <c r="E819" s="5" t="s">
        <v>4494</v>
      </c>
      <c r="G819" s="5" t="s">
        <v>78</v>
      </c>
      <c r="H819" s="5" t="s">
        <v>2121</v>
      </c>
      <c r="I819" s="5" t="s">
        <v>2312</v>
      </c>
      <c r="J819" s="5" t="s">
        <v>298</v>
      </c>
      <c r="K819" s="4">
        <v>43101</v>
      </c>
      <c r="L819" s="4">
        <v>43101</v>
      </c>
      <c r="M819" s="9">
        <f t="shared" si="108"/>
        <v>7</v>
      </c>
      <c r="N819" s="4" t="str">
        <f t="shared" si="110"/>
        <v>] 5 ; 8 ]</v>
      </c>
      <c r="O819" s="5" t="s">
        <v>3788</v>
      </c>
      <c r="P819" s="5" t="s">
        <v>3788</v>
      </c>
      <c r="Q819" s="5">
        <v>3</v>
      </c>
      <c r="R819" s="5" t="str">
        <f t="shared" si="111"/>
        <v>Qualification</v>
      </c>
      <c r="S819" s="5" t="s">
        <v>3790</v>
      </c>
      <c r="T819" s="4">
        <v>30214</v>
      </c>
      <c r="U819" s="5">
        <f t="shared" si="112"/>
        <v>1982</v>
      </c>
      <c r="V819" s="5" t="s">
        <v>3793</v>
      </c>
      <c r="W819" s="9">
        <f t="shared" si="109"/>
        <v>42</v>
      </c>
      <c r="X819" s="5" t="str">
        <f t="shared" si="113"/>
        <v>[40 - 44 ans]</v>
      </c>
      <c r="Y819" s="5" t="str">
        <f t="shared" si="114"/>
        <v xml:space="preserve"> Mellenials </v>
      </c>
      <c r="Z819" s="9">
        <f t="shared" si="115"/>
        <v>18</v>
      </c>
      <c r="AA819" s="5" t="str">
        <f t="shared" si="116"/>
        <v>RAS</v>
      </c>
      <c r="AB819" s="5" t="s">
        <v>3808</v>
      </c>
      <c r="AC819" s="6" t="s">
        <v>3799</v>
      </c>
      <c r="AE819" s="5" t="s">
        <v>3844</v>
      </c>
      <c r="AF819" s="5" t="s">
        <v>4482</v>
      </c>
      <c r="AG819" s="5" t="s">
        <v>4485</v>
      </c>
      <c r="AH819" s="5" t="s">
        <v>4488</v>
      </c>
      <c r="AI819" s="5" t="s">
        <v>4381</v>
      </c>
      <c r="AJ819" s="5" t="s">
        <v>4382</v>
      </c>
      <c r="AK819" s="5" t="s">
        <v>3946</v>
      </c>
      <c r="AL819" s="5" t="s">
        <v>3858</v>
      </c>
    </row>
    <row r="820" spans="1:38" x14ac:dyDescent="0.3">
      <c r="A820" s="4">
        <v>45716</v>
      </c>
      <c r="B820" s="5" t="s">
        <v>2907</v>
      </c>
      <c r="C820" s="5" t="s">
        <v>2908</v>
      </c>
      <c r="D820" s="5" t="s">
        <v>2909</v>
      </c>
      <c r="E820" s="5" t="s">
        <v>4494</v>
      </c>
      <c r="G820" s="5" t="s">
        <v>88</v>
      </c>
      <c r="H820" s="5" t="s">
        <v>456</v>
      </c>
      <c r="I820" s="5" t="s">
        <v>770</v>
      </c>
      <c r="J820" s="5" t="s">
        <v>883</v>
      </c>
      <c r="K820" s="4">
        <v>43101</v>
      </c>
      <c r="L820" s="4">
        <v>43101</v>
      </c>
      <c r="M820" s="9">
        <f t="shared" si="108"/>
        <v>7</v>
      </c>
      <c r="N820" s="4" t="str">
        <f t="shared" si="110"/>
        <v>] 5 ; 8 ]</v>
      </c>
      <c r="O820" s="5" t="s">
        <v>3780</v>
      </c>
      <c r="P820" s="5" t="s">
        <v>3780</v>
      </c>
      <c r="Q820" s="5">
        <v>1</v>
      </c>
      <c r="R820" s="5" t="str">
        <f t="shared" si="111"/>
        <v>Qualification</v>
      </c>
      <c r="S820" s="5" t="s">
        <v>3790</v>
      </c>
      <c r="T820" s="4">
        <v>33405</v>
      </c>
      <c r="U820" s="5">
        <f t="shared" si="112"/>
        <v>1991</v>
      </c>
      <c r="V820" s="5" t="s">
        <v>3792</v>
      </c>
      <c r="W820" s="9">
        <f t="shared" si="109"/>
        <v>33</v>
      </c>
      <c r="X820" s="5" t="str">
        <f t="shared" si="113"/>
        <v>[30 - 34 ans]</v>
      </c>
      <c r="Y820" s="5" t="str">
        <f t="shared" si="114"/>
        <v xml:space="preserve"> Mellenials </v>
      </c>
      <c r="Z820" s="9">
        <f t="shared" si="115"/>
        <v>27</v>
      </c>
      <c r="AA820" s="5" t="str">
        <f t="shared" si="116"/>
        <v>RAS</v>
      </c>
      <c r="AB820" s="5" t="s">
        <v>3814</v>
      </c>
      <c r="AC820" s="6" t="s">
        <v>3799</v>
      </c>
      <c r="AE820" s="5" t="s">
        <v>3844</v>
      </c>
      <c r="AF820" s="5" t="s">
        <v>4482</v>
      </c>
      <c r="AG820" s="5" t="s">
        <v>4485</v>
      </c>
      <c r="AH820" s="5" t="s">
        <v>4488</v>
      </c>
      <c r="AI820" s="5" t="s">
        <v>4075</v>
      </c>
      <c r="AJ820" s="5" t="s">
        <v>4076</v>
      </c>
      <c r="AK820" s="5" t="s">
        <v>4077</v>
      </c>
      <c r="AL820" s="5" t="s">
        <v>3858</v>
      </c>
    </row>
    <row r="821" spans="1:38" x14ac:dyDescent="0.3">
      <c r="A821" s="4">
        <v>45716</v>
      </c>
      <c r="B821" s="5" t="s">
        <v>2910</v>
      </c>
      <c r="C821" s="5" t="s">
        <v>2911</v>
      </c>
      <c r="D821" s="5" t="s">
        <v>2912</v>
      </c>
      <c r="E821" s="5" t="s">
        <v>4494</v>
      </c>
      <c r="G821" s="5" t="s">
        <v>88</v>
      </c>
      <c r="H821" s="5" t="s">
        <v>456</v>
      </c>
      <c r="I821" s="5" t="s">
        <v>741</v>
      </c>
      <c r="J821" s="5" t="s">
        <v>883</v>
      </c>
      <c r="K821" s="4">
        <v>43101</v>
      </c>
      <c r="L821" s="4">
        <v>43101</v>
      </c>
      <c r="M821" s="9">
        <f t="shared" si="108"/>
        <v>7</v>
      </c>
      <c r="N821" s="4" t="str">
        <f t="shared" si="110"/>
        <v>] 5 ; 8 ]</v>
      </c>
      <c r="O821" s="5" t="s">
        <v>3780</v>
      </c>
      <c r="P821" s="5" t="s">
        <v>3780</v>
      </c>
      <c r="Q821" s="5">
        <v>2</v>
      </c>
      <c r="R821" s="5" t="str">
        <f t="shared" si="111"/>
        <v>Qualification</v>
      </c>
      <c r="S821" s="5" t="s">
        <v>3789</v>
      </c>
      <c r="T821" s="4">
        <v>31254</v>
      </c>
      <c r="U821" s="5">
        <f t="shared" si="112"/>
        <v>1985</v>
      </c>
      <c r="V821" s="5" t="s">
        <v>3793</v>
      </c>
      <c r="W821" s="9">
        <f t="shared" si="109"/>
        <v>39</v>
      </c>
      <c r="X821" s="5" t="str">
        <f t="shared" si="113"/>
        <v>[35 - 39 ans ]</v>
      </c>
      <c r="Y821" s="5" t="str">
        <f t="shared" si="114"/>
        <v xml:space="preserve"> Mellenials </v>
      </c>
      <c r="Z821" s="9">
        <f t="shared" si="115"/>
        <v>21</v>
      </c>
      <c r="AA821" s="5" t="str">
        <f t="shared" si="116"/>
        <v>RAS</v>
      </c>
      <c r="AB821" s="5" t="s">
        <v>3827</v>
      </c>
      <c r="AC821" s="6" t="s">
        <v>3799</v>
      </c>
      <c r="AE821" s="5" t="s">
        <v>3844</v>
      </c>
      <c r="AF821" s="5" t="s">
        <v>4482</v>
      </c>
      <c r="AG821" s="5" t="s">
        <v>4485</v>
      </c>
      <c r="AH821" s="5" t="s">
        <v>4488</v>
      </c>
      <c r="AI821" s="5" t="s">
        <v>4184</v>
      </c>
      <c r="AJ821" s="5" t="s">
        <v>4185</v>
      </c>
      <c r="AK821" s="5" t="s">
        <v>4288</v>
      </c>
      <c r="AL821" s="5" t="s">
        <v>3858</v>
      </c>
    </row>
    <row r="822" spans="1:38" x14ac:dyDescent="0.3">
      <c r="A822" s="4">
        <v>45716</v>
      </c>
      <c r="B822" s="5" t="s">
        <v>2913</v>
      </c>
      <c r="C822" s="5" t="s">
        <v>2914</v>
      </c>
      <c r="D822" s="5" t="s">
        <v>2915</v>
      </c>
      <c r="E822" s="5" t="s">
        <v>4494</v>
      </c>
      <c r="G822" s="5" t="s">
        <v>39</v>
      </c>
      <c r="H822" s="5" t="s">
        <v>2916</v>
      </c>
      <c r="I822" s="5" t="s">
        <v>1702</v>
      </c>
      <c r="J822" s="5" t="s">
        <v>120</v>
      </c>
      <c r="K822" s="4">
        <v>43101</v>
      </c>
      <c r="L822" s="4">
        <v>43101</v>
      </c>
      <c r="M822" s="9">
        <f t="shared" si="108"/>
        <v>7</v>
      </c>
      <c r="N822" s="4" t="str">
        <f t="shared" si="110"/>
        <v>] 5 ; 8 ]</v>
      </c>
      <c r="O822" s="5" t="s">
        <v>3785</v>
      </c>
      <c r="P822" s="5" t="s">
        <v>3785</v>
      </c>
      <c r="Q822" s="5">
        <v>1</v>
      </c>
      <c r="R822" s="5" t="str">
        <f t="shared" si="111"/>
        <v>Specialisation</v>
      </c>
      <c r="S822" s="5" t="s">
        <v>3789</v>
      </c>
      <c r="T822" s="4">
        <v>31828</v>
      </c>
      <c r="U822" s="5">
        <f t="shared" si="112"/>
        <v>1987</v>
      </c>
      <c r="V822" s="5" t="s">
        <v>3792</v>
      </c>
      <c r="W822" s="9">
        <f t="shared" si="109"/>
        <v>38</v>
      </c>
      <c r="X822" s="5" t="str">
        <f t="shared" si="113"/>
        <v>[35 - 39 ans ]</v>
      </c>
      <c r="Y822" s="5" t="str">
        <f t="shared" si="114"/>
        <v xml:space="preserve"> Mellenials </v>
      </c>
      <c r="Z822" s="9">
        <f t="shared" si="115"/>
        <v>22</v>
      </c>
      <c r="AA822" s="5" t="str">
        <f t="shared" si="116"/>
        <v>RAS</v>
      </c>
      <c r="AB822" s="5" t="s">
        <v>3807</v>
      </c>
      <c r="AC822" s="6" t="s">
        <v>3799</v>
      </c>
      <c r="AE822" s="5" t="s">
        <v>3844</v>
      </c>
      <c r="AF822" s="5" t="s">
        <v>4481</v>
      </c>
      <c r="AG822" s="5" t="s">
        <v>4485</v>
      </c>
      <c r="AH822" s="5" t="s">
        <v>4489</v>
      </c>
      <c r="AI822" s="5" t="s">
        <v>4203</v>
      </c>
      <c r="AJ822" s="5" t="s">
        <v>4249</v>
      </c>
      <c r="AK822" s="5" t="s">
        <v>3917</v>
      </c>
      <c r="AL822" s="5" t="s">
        <v>3858</v>
      </c>
    </row>
    <row r="823" spans="1:38" x14ac:dyDescent="0.3">
      <c r="A823" s="4">
        <v>45716</v>
      </c>
      <c r="B823" s="5" t="s">
        <v>2917</v>
      </c>
      <c r="C823" s="5" t="s">
        <v>2918</v>
      </c>
      <c r="D823" s="5" t="s">
        <v>2919</v>
      </c>
      <c r="E823" s="5" t="s">
        <v>4494</v>
      </c>
      <c r="G823" s="5" t="s">
        <v>39</v>
      </c>
      <c r="H823" s="5" t="s">
        <v>1594</v>
      </c>
      <c r="I823" s="5" t="s">
        <v>1268</v>
      </c>
      <c r="J823" s="5" t="s">
        <v>52</v>
      </c>
      <c r="K823" s="4">
        <v>43101</v>
      </c>
      <c r="L823" s="4">
        <v>43101</v>
      </c>
      <c r="M823" s="9">
        <f t="shared" si="108"/>
        <v>7</v>
      </c>
      <c r="N823" s="4" t="str">
        <f t="shared" si="110"/>
        <v>] 5 ; 8 ]</v>
      </c>
      <c r="O823" s="5" t="s">
        <v>3786</v>
      </c>
      <c r="P823" s="5" t="s">
        <v>3786</v>
      </c>
      <c r="Q823" s="5">
        <v>1</v>
      </c>
      <c r="R823" s="5" t="str">
        <f t="shared" si="111"/>
        <v>Specialisation</v>
      </c>
      <c r="S823" s="5" t="s">
        <v>3790</v>
      </c>
      <c r="T823" s="4">
        <v>33266</v>
      </c>
      <c r="U823" s="5">
        <f t="shared" si="112"/>
        <v>1991</v>
      </c>
      <c r="V823" s="5" t="s">
        <v>3792</v>
      </c>
      <c r="W823" s="9">
        <f t="shared" si="109"/>
        <v>34</v>
      </c>
      <c r="X823" s="5" t="str">
        <f t="shared" si="113"/>
        <v>[30 - 34 ans]</v>
      </c>
      <c r="Y823" s="5" t="str">
        <f t="shared" si="114"/>
        <v xml:space="preserve"> Mellenials </v>
      </c>
      <c r="Z823" s="9">
        <f t="shared" si="115"/>
        <v>26</v>
      </c>
      <c r="AA823" s="5" t="str">
        <f t="shared" si="116"/>
        <v>RAS</v>
      </c>
      <c r="AB823" s="5" t="s">
        <v>3807</v>
      </c>
      <c r="AC823" s="6" t="s">
        <v>3799</v>
      </c>
      <c r="AE823" s="5" t="s">
        <v>3844</v>
      </c>
      <c r="AF823" s="5" t="s">
        <v>4482</v>
      </c>
      <c r="AG823" s="5" t="s">
        <v>4485</v>
      </c>
      <c r="AH823" s="5" t="s">
        <v>4489</v>
      </c>
      <c r="AI823" s="5" t="s">
        <v>4013</v>
      </c>
      <c r="AJ823" s="5" t="s">
        <v>4014</v>
      </c>
      <c r="AK823" s="5" t="s">
        <v>4015</v>
      </c>
      <c r="AL823" s="5" t="s">
        <v>3858</v>
      </c>
    </row>
    <row r="824" spans="1:38" x14ac:dyDescent="0.3">
      <c r="A824" s="4">
        <v>45716</v>
      </c>
      <c r="B824" s="5" t="s">
        <v>2920</v>
      </c>
      <c r="C824" s="5" t="s">
        <v>2921</v>
      </c>
      <c r="D824" s="5" t="s">
        <v>2922</v>
      </c>
      <c r="E824" s="5" t="s">
        <v>4494</v>
      </c>
      <c r="G824" s="5" t="s">
        <v>39</v>
      </c>
      <c r="H824" s="5" t="s">
        <v>2923</v>
      </c>
      <c r="I824" s="5" t="s">
        <v>3262</v>
      </c>
      <c r="J824" s="5" t="s">
        <v>149</v>
      </c>
      <c r="K824" s="4">
        <v>43101</v>
      </c>
      <c r="L824" s="4">
        <v>43101</v>
      </c>
      <c r="M824" s="9">
        <f t="shared" si="108"/>
        <v>7</v>
      </c>
      <c r="N824" s="4" t="str">
        <f t="shared" si="110"/>
        <v>] 5 ; 8 ]</v>
      </c>
      <c r="O824" s="5" t="s">
        <v>3786</v>
      </c>
      <c r="P824" s="5" t="s">
        <v>3786</v>
      </c>
      <c r="Q824" s="5">
        <v>1</v>
      </c>
      <c r="R824" s="5" t="str">
        <f t="shared" si="111"/>
        <v>Specialisation</v>
      </c>
      <c r="S824" s="5" t="s">
        <v>3789</v>
      </c>
      <c r="T824" s="4">
        <v>29774</v>
      </c>
      <c r="U824" s="5">
        <f t="shared" si="112"/>
        <v>1981</v>
      </c>
      <c r="V824" s="5" t="s">
        <v>3793</v>
      </c>
      <c r="W824" s="9">
        <f t="shared" si="109"/>
        <v>43</v>
      </c>
      <c r="X824" s="5" t="str">
        <f t="shared" si="113"/>
        <v>[40 - 44 ans]</v>
      </c>
      <c r="Y824" s="5" t="str">
        <f t="shared" si="114"/>
        <v xml:space="preserve"> Mellenials </v>
      </c>
      <c r="Z824" s="9">
        <f t="shared" si="115"/>
        <v>17</v>
      </c>
      <c r="AA824" s="5" t="str">
        <f t="shared" si="116"/>
        <v>RAS</v>
      </c>
      <c r="AB824" s="5" t="s">
        <v>3807</v>
      </c>
      <c r="AC824" s="6" t="s">
        <v>3799</v>
      </c>
      <c r="AE824" s="5" t="s">
        <v>3844</v>
      </c>
      <c r="AF824" s="5" t="s">
        <v>4482</v>
      </c>
      <c r="AG824" s="5" t="s">
        <v>4485</v>
      </c>
      <c r="AH824" s="5" t="s">
        <v>4489</v>
      </c>
      <c r="AI824" s="5" t="s">
        <v>3871</v>
      </c>
      <c r="AJ824" s="5" t="s">
        <v>3872</v>
      </c>
      <c r="AK824" s="5" t="s">
        <v>3873</v>
      </c>
      <c r="AL824" s="5" t="s">
        <v>3858</v>
      </c>
    </row>
    <row r="825" spans="1:38" x14ac:dyDescent="0.3">
      <c r="A825" s="4">
        <v>45716</v>
      </c>
      <c r="B825" s="5" t="s">
        <v>2924</v>
      </c>
      <c r="C825" s="5" t="s">
        <v>2925</v>
      </c>
      <c r="D825" s="5" t="s">
        <v>2926</v>
      </c>
      <c r="E825" s="5" t="s">
        <v>4494</v>
      </c>
      <c r="G825" s="5" t="s">
        <v>88</v>
      </c>
      <c r="H825" s="5" t="s">
        <v>456</v>
      </c>
      <c r="I825" s="5" t="s">
        <v>1709</v>
      </c>
      <c r="J825" s="5" t="s">
        <v>883</v>
      </c>
      <c r="K825" s="4">
        <v>43101</v>
      </c>
      <c r="L825" s="4">
        <v>43101</v>
      </c>
      <c r="M825" s="9">
        <f t="shared" si="108"/>
        <v>7</v>
      </c>
      <c r="N825" s="4" t="str">
        <f t="shared" si="110"/>
        <v>] 5 ; 8 ]</v>
      </c>
      <c r="O825" s="5" t="s">
        <v>3780</v>
      </c>
      <c r="P825" s="5" t="s">
        <v>3780</v>
      </c>
      <c r="Q825" s="5">
        <v>3</v>
      </c>
      <c r="R825" s="5" t="str">
        <f t="shared" si="111"/>
        <v>Qualification</v>
      </c>
      <c r="S825" s="5" t="s">
        <v>3790</v>
      </c>
      <c r="T825" s="4">
        <v>32203</v>
      </c>
      <c r="U825" s="5">
        <f t="shared" si="112"/>
        <v>1988</v>
      </c>
      <c r="V825" s="5" t="s">
        <v>3792</v>
      </c>
      <c r="W825" s="9">
        <f t="shared" si="109"/>
        <v>36</v>
      </c>
      <c r="X825" s="5" t="str">
        <f t="shared" si="113"/>
        <v>[35 - 39 ans ]</v>
      </c>
      <c r="Y825" s="5" t="str">
        <f t="shared" si="114"/>
        <v xml:space="preserve"> Mellenials </v>
      </c>
      <c r="Z825" s="9">
        <f t="shared" si="115"/>
        <v>24</v>
      </c>
      <c r="AA825" s="5" t="str">
        <f t="shared" si="116"/>
        <v>RAS</v>
      </c>
      <c r="AB825" s="5" t="s">
        <v>3835</v>
      </c>
      <c r="AC825" s="6" t="s">
        <v>3800</v>
      </c>
      <c r="AE825" s="5" t="s">
        <v>3844</v>
      </c>
      <c r="AF825" s="5" t="s">
        <v>4482</v>
      </c>
      <c r="AG825" s="5" t="s">
        <v>4485</v>
      </c>
      <c r="AH825" s="5" t="s">
        <v>4488</v>
      </c>
      <c r="AI825" s="5" t="s">
        <v>4350</v>
      </c>
      <c r="AJ825" s="5" t="s">
        <v>4351</v>
      </c>
      <c r="AK825" s="5" t="s">
        <v>4352</v>
      </c>
      <c r="AL825" s="5" t="s">
        <v>3858</v>
      </c>
    </row>
    <row r="826" spans="1:38" x14ac:dyDescent="0.3">
      <c r="A826" s="4">
        <v>45716</v>
      </c>
      <c r="B826" s="5" t="s">
        <v>2927</v>
      </c>
      <c r="C826" s="5" t="s">
        <v>2928</v>
      </c>
      <c r="D826" s="5" t="s">
        <v>2929</v>
      </c>
      <c r="E826" s="5" t="s">
        <v>4494</v>
      </c>
      <c r="G826" s="5" t="s">
        <v>137</v>
      </c>
      <c r="H826" s="5" t="s">
        <v>852</v>
      </c>
      <c r="I826" s="5" t="s">
        <v>855</v>
      </c>
      <c r="J826" s="5" t="s">
        <v>290</v>
      </c>
      <c r="K826" s="4">
        <v>43101</v>
      </c>
      <c r="L826" s="4">
        <v>43101</v>
      </c>
      <c r="M826" s="9">
        <f t="shared" si="108"/>
        <v>7</v>
      </c>
      <c r="N826" s="4" t="str">
        <f t="shared" si="110"/>
        <v>] 5 ; 8 ]</v>
      </c>
      <c r="O826" s="5" t="s">
        <v>3781</v>
      </c>
      <c r="P826" s="5" t="s">
        <v>3781</v>
      </c>
      <c r="Q826" s="5">
        <v>2</v>
      </c>
      <c r="R826" s="5" t="str">
        <f t="shared" si="111"/>
        <v>Qualification</v>
      </c>
      <c r="S826" s="5" t="s">
        <v>3789</v>
      </c>
      <c r="T826" s="4">
        <v>25583</v>
      </c>
      <c r="U826" s="5">
        <f t="shared" si="112"/>
        <v>1970</v>
      </c>
      <c r="V826" s="5" t="s">
        <v>3793</v>
      </c>
      <c r="W826" s="9">
        <f t="shared" si="109"/>
        <v>55</v>
      </c>
      <c r="X826" s="5" t="str">
        <f t="shared" si="113"/>
        <v>[50 ans, +oo [</v>
      </c>
      <c r="Y826" s="5" t="str">
        <f t="shared" si="114"/>
        <v xml:space="preserve"> Generation X </v>
      </c>
      <c r="Z826" s="9">
        <f t="shared" si="115"/>
        <v>5</v>
      </c>
      <c r="AA826" s="5" t="str">
        <f t="shared" si="116"/>
        <v>Départ à la Retraite 5ans</v>
      </c>
      <c r="AB826" s="5" t="s">
        <v>3812</v>
      </c>
      <c r="AC826" s="6" t="s">
        <v>3799</v>
      </c>
      <c r="AE826" s="5" t="s">
        <v>3844</v>
      </c>
      <c r="AF826" s="5" t="s">
        <v>4482</v>
      </c>
      <c r="AG826" s="5" t="s">
        <v>4485</v>
      </c>
      <c r="AH826" s="5" t="s">
        <v>4487</v>
      </c>
      <c r="AI826" s="5" t="s">
        <v>4206</v>
      </c>
      <c r="AJ826" s="5" t="s">
        <v>4447</v>
      </c>
      <c r="AK826" s="5" t="s">
        <v>4066</v>
      </c>
      <c r="AL826" s="5" t="s">
        <v>3858</v>
      </c>
    </row>
    <row r="827" spans="1:38" x14ac:dyDescent="0.3">
      <c r="A827" s="4">
        <v>45716</v>
      </c>
      <c r="B827" s="5" t="s">
        <v>2930</v>
      </c>
      <c r="C827" s="5" t="s">
        <v>2931</v>
      </c>
      <c r="D827" s="5" t="s">
        <v>2932</v>
      </c>
      <c r="E827" s="5" t="s">
        <v>4494</v>
      </c>
      <c r="G827" s="5" t="s">
        <v>39</v>
      </c>
      <c r="H827" s="5" t="s">
        <v>2933</v>
      </c>
      <c r="I827" s="5" t="s">
        <v>2944</v>
      </c>
      <c r="J827" s="5" t="s">
        <v>397</v>
      </c>
      <c r="K827" s="4">
        <v>43174</v>
      </c>
      <c r="L827" s="4">
        <v>43174</v>
      </c>
      <c r="M827" s="9">
        <f t="shared" si="108"/>
        <v>6</v>
      </c>
      <c r="N827" s="4" t="str">
        <f t="shared" si="110"/>
        <v>] 5 ; 8 ]</v>
      </c>
      <c r="O827" s="5" t="s">
        <v>3782</v>
      </c>
      <c r="P827" s="5" t="s">
        <v>3782</v>
      </c>
      <c r="Q827" s="5">
        <v>2</v>
      </c>
      <c r="R827" s="5" t="str">
        <f t="shared" si="111"/>
        <v>Management &amp; Expertise</v>
      </c>
      <c r="S827" s="5" t="s">
        <v>3789</v>
      </c>
      <c r="T827" s="4">
        <v>31092</v>
      </c>
      <c r="U827" s="5">
        <f t="shared" si="112"/>
        <v>1985</v>
      </c>
      <c r="V827" s="5" t="s">
        <v>3793</v>
      </c>
      <c r="W827" s="9">
        <f t="shared" si="109"/>
        <v>40</v>
      </c>
      <c r="X827" s="5" t="str">
        <f t="shared" si="113"/>
        <v>[40 - 44 ans]</v>
      </c>
      <c r="Y827" s="5" t="str">
        <f t="shared" si="114"/>
        <v xml:space="preserve"> Mellenials </v>
      </c>
      <c r="Z827" s="9">
        <f t="shared" si="115"/>
        <v>20</v>
      </c>
      <c r="AA827" s="5" t="str">
        <f t="shared" si="116"/>
        <v>RAS</v>
      </c>
      <c r="AB827" s="5" t="s">
        <v>3807</v>
      </c>
      <c r="AC827" s="6" t="s">
        <v>3799</v>
      </c>
      <c r="AE827" s="5" t="s">
        <v>3844</v>
      </c>
      <c r="AF827" s="5" t="s">
        <v>4481</v>
      </c>
      <c r="AG827" s="5" t="s">
        <v>4485</v>
      </c>
      <c r="AH827" s="5" t="s">
        <v>4489</v>
      </c>
      <c r="AI827" s="5" t="s">
        <v>4028</v>
      </c>
      <c r="AJ827" s="5" t="s">
        <v>4029</v>
      </c>
      <c r="AK827" s="5" t="s">
        <v>4030</v>
      </c>
      <c r="AL827" s="5" t="s">
        <v>3858</v>
      </c>
    </row>
    <row r="828" spans="1:38" x14ac:dyDescent="0.3">
      <c r="A828" s="4">
        <v>45716</v>
      </c>
      <c r="B828" s="5" t="s">
        <v>2934</v>
      </c>
      <c r="C828" s="5" t="s">
        <v>2935</v>
      </c>
      <c r="D828" s="5" t="s">
        <v>2936</v>
      </c>
      <c r="E828" s="5" t="s">
        <v>4494</v>
      </c>
      <c r="G828" s="5" t="s">
        <v>787</v>
      </c>
      <c r="H828" s="5" t="s">
        <v>2937</v>
      </c>
      <c r="I828" s="5" t="s">
        <v>3419</v>
      </c>
      <c r="J828" s="5" t="s">
        <v>2841</v>
      </c>
      <c r="K828" s="4">
        <v>43174</v>
      </c>
      <c r="L828" s="4">
        <v>43174</v>
      </c>
      <c r="M828" s="9">
        <f t="shared" si="108"/>
        <v>6</v>
      </c>
      <c r="N828" s="4" t="str">
        <f t="shared" si="110"/>
        <v>] 5 ; 8 ]</v>
      </c>
      <c r="O828" s="5" t="s">
        <v>3782</v>
      </c>
      <c r="P828" s="5" t="s">
        <v>3782</v>
      </c>
      <c r="Q828" s="5">
        <v>1</v>
      </c>
      <c r="R828" s="5" t="str">
        <f t="shared" si="111"/>
        <v>Management &amp; Expertise</v>
      </c>
      <c r="S828" s="5" t="s">
        <v>3789</v>
      </c>
      <c r="T828" s="4">
        <v>33980</v>
      </c>
      <c r="U828" s="5">
        <f t="shared" si="112"/>
        <v>1993</v>
      </c>
      <c r="V828" s="5" t="s">
        <v>3793</v>
      </c>
      <c r="W828" s="9">
        <f t="shared" si="109"/>
        <v>32</v>
      </c>
      <c r="X828" s="5" t="str">
        <f t="shared" si="113"/>
        <v>[30 - 34 ans]</v>
      </c>
      <c r="Y828" s="5" t="str">
        <f t="shared" si="114"/>
        <v xml:space="preserve"> Mellenials </v>
      </c>
      <c r="Z828" s="9">
        <f t="shared" si="115"/>
        <v>28</v>
      </c>
      <c r="AA828" s="5" t="str">
        <f t="shared" si="116"/>
        <v>RAS</v>
      </c>
      <c r="AB828" s="5" t="s">
        <v>3806</v>
      </c>
      <c r="AC828" s="6" t="s">
        <v>3799</v>
      </c>
      <c r="AE828" s="5" t="s">
        <v>3845</v>
      </c>
      <c r="AF828" s="5" t="s">
        <v>4481</v>
      </c>
      <c r="AG828" s="5" t="s">
        <v>4485</v>
      </c>
      <c r="AH828" s="5" t="s">
        <v>4487</v>
      </c>
      <c r="AI828" s="5" t="s">
        <v>4439</v>
      </c>
      <c r="AJ828" s="5" t="s">
        <v>4440</v>
      </c>
      <c r="AK828" s="5" t="s">
        <v>4195</v>
      </c>
      <c r="AL828" s="5" t="s">
        <v>3854</v>
      </c>
    </row>
    <row r="829" spans="1:38" x14ac:dyDescent="0.3">
      <c r="A829" s="4">
        <v>45716</v>
      </c>
      <c r="B829" s="5" t="s">
        <v>2938</v>
      </c>
      <c r="C829" s="5" t="s">
        <v>2939</v>
      </c>
      <c r="D829" s="5" t="s">
        <v>2940</v>
      </c>
      <c r="E829" s="5" t="s">
        <v>4494</v>
      </c>
      <c r="G829" s="5" t="s">
        <v>222</v>
      </c>
      <c r="H829" s="5" t="s">
        <v>2941</v>
      </c>
      <c r="I829" s="5" t="s">
        <v>2614</v>
      </c>
      <c r="J829" s="5" t="s">
        <v>2086</v>
      </c>
      <c r="K829" s="4">
        <v>43191</v>
      </c>
      <c r="L829" s="4">
        <v>40119</v>
      </c>
      <c r="M829" s="9">
        <f t="shared" si="108"/>
        <v>15</v>
      </c>
      <c r="N829" s="4" t="str">
        <f t="shared" si="110"/>
        <v>] 10 ; 15 ]</v>
      </c>
      <c r="O829" s="5" t="s">
        <v>3785</v>
      </c>
      <c r="P829" s="5" t="s">
        <v>3785</v>
      </c>
      <c r="Q829" s="5">
        <v>1</v>
      </c>
      <c r="R829" s="5" t="str">
        <f t="shared" si="111"/>
        <v>Specialisation</v>
      </c>
      <c r="S829" s="5" t="s">
        <v>3789</v>
      </c>
      <c r="T829" s="4">
        <v>31168</v>
      </c>
      <c r="U829" s="5">
        <f t="shared" si="112"/>
        <v>1985</v>
      </c>
      <c r="V829" s="5" t="s">
        <v>3793</v>
      </c>
      <c r="W829" s="9">
        <f t="shared" si="109"/>
        <v>39</v>
      </c>
      <c r="X829" s="5" t="str">
        <f t="shared" si="113"/>
        <v>[35 - 39 ans ]</v>
      </c>
      <c r="Y829" s="5" t="str">
        <f t="shared" si="114"/>
        <v xml:space="preserve"> Mellenials </v>
      </c>
      <c r="Z829" s="9">
        <f t="shared" si="115"/>
        <v>21</v>
      </c>
      <c r="AA829" s="5" t="str">
        <f t="shared" si="116"/>
        <v>RAS</v>
      </c>
      <c r="AB829" s="5" t="s">
        <v>3837</v>
      </c>
      <c r="AC829" s="6" t="s">
        <v>3799</v>
      </c>
      <c r="AE829" s="5" t="s">
        <v>3844</v>
      </c>
      <c r="AF829" s="5" t="s">
        <v>4481</v>
      </c>
      <c r="AG829" s="5" t="s">
        <v>4485</v>
      </c>
      <c r="AH829" s="5" t="s">
        <v>4487</v>
      </c>
      <c r="AI829" s="5" t="s">
        <v>4400</v>
      </c>
      <c r="AJ829" s="5" t="s">
        <v>4401</v>
      </c>
      <c r="AK829" s="5" t="s">
        <v>3967</v>
      </c>
      <c r="AL829" s="5" t="s">
        <v>3858</v>
      </c>
    </row>
    <row r="830" spans="1:38" x14ac:dyDescent="0.3">
      <c r="A830" s="4">
        <v>45716</v>
      </c>
      <c r="B830" s="5" t="s">
        <v>2942</v>
      </c>
      <c r="C830" s="5" t="s">
        <v>2943</v>
      </c>
      <c r="D830" s="5" t="s">
        <v>2944</v>
      </c>
      <c r="E830" s="5" t="s">
        <v>4494</v>
      </c>
      <c r="G830" s="5" t="s">
        <v>39</v>
      </c>
      <c r="H830" s="5" t="s">
        <v>2945</v>
      </c>
      <c r="I830" s="5" t="s">
        <v>397</v>
      </c>
      <c r="J830" s="5" t="s">
        <v>1899</v>
      </c>
      <c r="K830" s="4">
        <v>43205</v>
      </c>
      <c r="L830" s="4">
        <v>43205</v>
      </c>
      <c r="M830" s="9">
        <f t="shared" si="108"/>
        <v>6</v>
      </c>
      <c r="N830" s="4" t="str">
        <f t="shared" si="110"/>
        <v>] 5 ; 8 ]</v>
      </c>
      <c r="O830" s="5" t="s">
        <v>3782</v>
      </c>
      <c r="P830" s="5" t="s">
        <v>3782</v>
      </c>
      <c r="Q830" s="5">
        <v>1</v>
      </c>
      <c r="R830" s="5" t="str">
        <f t="shared" si="111"/>
        <v>Management &amp; Expertise</v>
      </c>
      <c r="S830" s="5" t="s">
        <v>3789</v>
      </c>
      <c r="T830" s="4">
        <v>32875</v>
      </c>
      <c r="U830" s="5">
        <f t="shared" si="112"/>
        <v>1990</v>
      </c>
      <c r="V830" s="5" t="s">
        <v>3792</v>
      </c>
      <c r="W830" s="9">
        <f t="shared" si="109"/>
        <v>35</v>
      </c>
      <c r="X830" s="5" t="str">
        <f t="shared" si="113"/>
        <v>[35 - 39 ans ]</v>
      </c>
      <c r="Y830" s="5" t="str">
        <f t="shared" si="114"/>
        <v xml:space="preserve"> Mellenials </v>
      </c>
      <c r="Z830" s="9">
        <f t="shared" si="115"/>
        <v>25</v>
      </c>
      <c r="AA830" s="5" t="str">
        <f t="shared" si="116"/>
        <v>RAS</v>
      </c>
      <c r="AB830" s="5" t="s">
        <v>3807</v>
      </c>
      <c r="AC830" s="6" t="s">
        <v>3799</v>
      </c>
      <c r="AE830" s="5" t="s">
        <v>3845</v>
      </c>
      <c r="AF830" s="5" t="s">
        <v>4481</v>
      </c>
      <c r="AG830" s="5" t="s">
        <v>4485</v>
      </c>
      <c r="AH830" s="5" t="s">
        <v>4489</v>
      </c>
      <c r="AI830" s="5" t="s">
        <v>4028</v>
      </c>
      <c r="AJ830" s="5" t="s">
        <v>4029</v>
      </c>
      <c r="AK830" s="5" t="s">
        <v>4030</v>
      </c>
      <c r="AL830" s="5" t="s">
        <v>3858</v>
      </c>
    </row>
    <row r="831" spans="1:38" x14ac:dyDescent="0.3">
      <c r="A831" s="4">
        <v>45716</v>
      </c>
      <c r="B831" s="5" t="s">
        <v>2946</v>
      </c>
      <c r="C831" s="5" t="s">
        <v>2947</v>
      </c>
      <c r="D831" s="5" t="s">
        <v>2948</v>
      </c>
      <c r="E831" s="5" t="s">
        <v>4494</v>
      </c>
      <c r="G831" s="5" t="s">
        <v>39</v>
      </c>
      <c r="H831" s="5" t="s">
        <v>2949</v>
      </c>
      <c r="I831" s="5" t="s">
        <v>2146</v>
      </c>
      <c r="J831" s="5" t="s">
        <v>153</v>
      </c>
      <c r="K831" s="4">
        <v>43205</v>
      </c>
      <c r="L831" s="4">
        <v>43205</v>
      </c>
      <c r="M831" s="9">
        <f t="shared" si="108"/>
        <v>6</v>
      </c>
      <c r="N831" s="4" t="str">
        <f t="shared" si="110"/>
        <v>] 5 ; 8 ]</v>
      </c>
      <c r="O831" s="5" t="s">
        <v>3785</v>
      </c>
      <c r="P831" s="5" t="s">
        <v>3785</v>
      </c>
      <c r="Q831" s="5">
        <v>2</v>
      </c>
      <c r="R831" s="5" t="str">
        <f t="shared" si="111"/>
        <v>Specialisation</v>
      </c>
      <c r="S831" s="5" t="s">
        <v>3790</v>
      </c>
      <c r="T831" s="4">
        <v>33401</v>
      </c>
      <c r="U831" s="5">
        <f t="shared" si="112"/>
        <v>1991</v>
      </c>
      <c r="V831" s="5" t="s">
        <v>3793</v>
      </c>
      <c r="W831" s="9">
        <f t="shared" si="109"/>
        <v>33</v>
      </c>
      <c r="X831" s="5" t="str">
        <f t="shared" si="113"/>
        <v>[30 - 34 ans]</v>
      </c>
      <c r="Y831" s="5" t="str">
        <f t="shared" si="114"/>
        <v xml:space="preserve"> Mellenials </v>
      </c>
      <c r="Z831" s="9">
        <f t="shared" si="115"/>
        <v>27</v>
      </c>
      <c r="AA831" s="5" t="str">
        <f t="shared" si="116"/>
        <v>RAS</v>
      </c>
      <c r="AB831" s="5" t="s">
        <v>3807</v>
      </c>
      <c r="AC831" s="6" t="s">
        <v>3799</v>
      </c>
      <c r="AE831" s="5" t="s">
        <v>3844</v>
      </c>
      <c r="AF831" s="5" t="s">
        <v>4481</v>
      </c>
      <c r="AG831" s="5" t="s">
        <v>4485</v>
      </c>
      <c r="AH831" s="5" t="s">
        <v>4489</v>
      </c>
      <c r="AI831" s="5" t="s">
        <v>4390</v>
      </c>
      <c r="AJ831" s="5" t="s">
        <v>4391</v>
      </c>
      <c r="AK831" s="5" t="s">
        <v>4372</v>
      </c>
      <c r="AL831" s="5" t="s">
        <v>3858</v>
      </c>
    </row>
    <row r="832" spans="1:38" x14ac:dyDescent="0.3">
      <c r="A832" s="4">
        <v>45716</v>
      </c>
      <c r="B832" s="5" t="s">
        <v>2950</v>
      </c>
      <c r="C832" s="5" t="s">
        <v>2951</v>
      </c>
      <c r="D832" s="5" t="s">
        <v>2952</v>
      </c>
      <c r="E832" s="5" t="s">
        <v>4494</v>
      </c>
      <c r="G832" s="5" t="s">
        <v>83</v>
      </c>
      <c r="H832" s="5" t="s">
        <v>2953</v>
      </c>
      <c r="I832" s="5" t="s">
        <v>3278</v>
      </c>
      <c r="J832" s="5" t="s">
        <v>1222</v>
      </c>
      <c r="K832" s="4">
        <v>43206</v>
      </c>
      <c r="L832" s="4">
        <v>43206</v>
      </c>
      <c r="M832" s="9">
        <f t="shared" si="108"/>
        <v>6</v>
      </c>
      <c r="N832" s="4" t="str">
        <f t="shared" si="110"/>
        <v>] 5 ; 8 ]</v>
      </c>
      <c r="O832" s="5" t="s">
        <v>3785</v>
      </c>
      <c r="P832" s="5" t="s">
        <v>3785</v>
      </c>
      <c r="Q832" s="5">
        <v>2</v>
      </c>
      <c r="R832" s="5" t="str">
        <f t="shared" si="111"/>
        <v>Specialisation</v>
      </c>
      <c r="S832" s="5" t="s">
        <v>3789</v>
      </c>
      <c r="T832" s="4">
        <v>31839</v>
      </c>
      <c r="U832" s="5">
        <f t="shared" si="112"/>
        <v>1987</v>
      </c>
      <c r="V832" s="5" t="s">
        <v>3793</v>
      </c>
      <c r="W832" s="9">
        <f t="shared" si="109"/>
        <v>37</v>
      </c>
      <c r="X832" s="5" t="str">
        <f t="shared" si="113"/>
        <v>[35 - 39 ans ]</v>
      </c>
      <c r="Y832" s="5" t="str">
        <f t="shared" si="114"/>
        <v xml:space="preserve"> Mellenials </v>
      </c>
      <c r="Z832" s="9">
        <f t="shared" si="115"/>
        <v>23</v>
      </c>
      <c r="AA832" s="5" t="str">
        <f t="shared" si="116"/>
        <v>RAS</v>
      </c>
      <c r="AB832" s="5" t="s">
        <v>3807</v>
      </c>
      <c r="AC832" s="6" t="s">
        <v>3799</v>
      </c>
      <c r="AE832" s="5" t="s">
        <v>3844</v>
      </c>
      <c r="AF832" s="5" t="s">
        <v>4481</v>
      </c>
      <c r="AG832" s="5" t="s">
        <v>4485</v>
      </c>
      <c r="AH832" s="5" t="s">
        <v>4489</v>
      </c>
      <c r="AI832" s="5" t="s">
        <v>4137</v>
      </c>
      <c r="AJ832" s="5" t="s">
        <v>4418</v>
      </c>
      <c r="AK832" s="5" t="s">
        <v>3903</v>
      </c>
      <c r="AL832" s="5" t="s">
        <v>3858</v>
      </c>
    </row>
    <row r="833" spans="1:38" x14ac:dyDescent="0.3">
      <c r="A833" s="4">
        <v>45716</v>
      </c>
      <c r="B833" s="5" t="s">
        <v>2954</v>
      </c>
      <c r="C833" s="5" t="s">
        <v>2955</v>
      </c>
      <c r="D833" s="5" t="s">
        <v>2956</v>
      </c>
      <c r="E833" s="5" t="s">
        <v>4494</v>
      </c>
      <c r="G833" s="5" t="s">
        <v>39</v>
      </c>
      <c r="H833" s="5" t="s">
        <v>2957</v>
      </c>
      <c r="I833" s="5" t="s">
        <v>1806</v>
      </c>
      <c r="J833" s="5" t="s">
        <v>2821</v>
      </c>
      <c r="K833" s="4">
        <v>43222</v>
      </c>
      <c r="L833" s="4">
        <v>43222</v>
      </c>
      <c r="M833" s="9">
        <f t="shared" ref="M833:M896" si="117">DATEDIF(L833,A833,"y")</f>
        <v>6</v>
      </c>
      <c r="N833" s="4" t="str">
        <f t="shared" ref="N833:N896" si="118">IF(M833&lt;=2," ] 0 ; 2 ]",IF(AND(M833&gt;2,M833&lt;=5),"] 2 ; 5 ]",IF(AND(M833&gt;5,M833&lt;=8),"] 5 ; 8 ]",IF(AND(M833&gt;8,M833&lt;=10),"] 8 ; 10 ]",IF(AND(M833&gt;10,M833&lt;=15),"] 10 ; 15 ]","] 15 ; +oo [")))))</f>
        <v>] 5 ; 8 ]</v>
      </c>
      <c r="O833" s="5" t="s">
        <v>3782</v>
      </c>
      <c r="P833" s="5" t="s">
        <v>3782</v>
      </c>
      <c r="Q833" s="5">
        <v>2</v>
      </c>
      <c r="R833" s="5" t="str">
        <f t="shared" si="111"/>
        <v>Management &amp; Expertise</v>
      </c>
      <c r="S833" s="5" t="s">
        <v>3789</v>
      </c>
      <c r="T833" s="4">
        <v>27681</v>
      </c>
      <c r="U833" s="5">
        <f t="shared" ref="U833:U896" si="119">YEAR(T833)</f>
        <v>1975</v>
      </c>
      <c r="V833" s="5" t="s">
        <v>3793</v>
      </c>
      <c r="W833" s="9">
        <f t="shared" ref="W833:W896" si="120">DATEDIF(T833,A833,"y")</f>
        <v>49</v>
      </c>
      <c r="X833" s="5" t="str">
        <f t="shared" si="113"/>
        <v>[45 - 49 ans]</v>
      </c>
      <c r="Y833" s="5" t="str">
        <f t="shared" si="114"/>
        <v xml:space="preserve"> Generation X </v>
      </c>
      <c r="Z833" s="9">
        <f t="shared" ref="Z833:Z896" si="121">60-W833</f>
        <v>11</v>
      </c>
      <c r="AA833" s="5" t="str">
        <f t="shared" si="116"/>
        <v>RAS</v>
      </c>
      <c r="AB833" s="5" t="s">
        <v>3807</v>
      </c>
      <c r="AC833" s="6" t="s">
        <v>3799</v>
      </c>
      <c r="AE833" s="5" t="s">
        <v>3844</v>
      </c>
      <c r="AF833" s="5" t="s">
        <v>4481</v>
      </c>
      <c r="AG833" s="5" t="s">
        <v>4485</v>
      </c>
      <c r="AH833" s="5" t="s">
        <v>4489</v>
      </c>
      <c r="AI833" s="5" t="s">
        <v>3877</v>
      </c>
      <c r="AJ833" s="5" t="s">
        <v>3878</v>
      </c>
      <c r="AK833" s="5" t="s">
        <v>3879</v>
      </c>
      <c r="AL833" s="5" t="s">
        <v>3858</v>
      </c>
    </row>
    <row r="834" spans="1:38" x14ac:dyDescent="0.3">
      <c r="A834" s="4">
        <v>45716</v>
      </c>
      <c r="B834" s="5" t="s">
        <v>2958</v>
      </c>
      <c r="C834" s="5" t="s">
        <v>2959</v>
      </c>
      <c r="D834" s="5" t="s">
        <v>2960</v>
      </c>
      <c r="E834" s="5" t="s">
        <v>4494</v>
      </c>
      <c r="G834" s="5" t="s">
        <v>24</v>
      </c>
      <c r="H834" s="5" t="s">
        <v>2961</v>
      </c>
      <c r="I834" s="5" t="s">
        <v>23</v>
      </c>
      <c r="J834" s="5" t="s">
        <v>1857</v>
      </c>
      <c r="K834" s="4">
        <v>43222</v>
      </c>
      <c r="L834" s="4">
        <v>43222</v>
      </c>
      <c r="M834" s="9">
        <f t="shared" si="117"/>
        <v>6</v>
      </c>
      <c r="N834" s="4" t="str">
        <f t="shared" si="118"/>
        <v>] 5 ; 8 ]</v>
      </c>
      <c r="O834" s="5" t="s">
        <v>3782</v>
      </c>
      <c r="P834" s="5" t="s">
        <v>3782</v>
      </c>
      <c r="Q834" s="5">
        <v>1</v>
      </c>
      <c r="R834" s="5" t="str">
        <f t="shared" ref="R834:R897" si="122">IF(OR(O834="A",O834="B",O834="C",O834="D"),"Qualification",IF(OR(O834="E",O834="F",O834="G"),"Specialisation","Management &amp; Expertise"))</f>
        <v>Management &amp; Expertise</v>
      </c>
      <c r="S834" s="5" t="s">
        <v>3789</v>
      </c>
      <c r="T834" s="4">
        <v>30699</v>
      </c>
      <c r="U834" s="5">
        <f t="shared" si="119"/>
        <v>1984</v>
      </c>
      <c r="V834" s="5" t="s">
        <v>3793</v>
      </c>
      <c r="W834" s="9">
        <f t="shared" si="120"/>
        <v>41</v>
      </c>
      <c r="X834" s="5" t="str">
        <f t="shared" ref="X834:X897" si="123">IF(W834&lt;30,"[20 - 29 ans[",IF(AND(W834&gt;=30,W834&lt;35),"[30 - 34 ans]",IF(AND(W834&gt;=35,W834&lt;40),"[35 - 39 ans ]",IF(AND(W834&gt;=40,W834&lt;45),"[40 - 44 ans]",IF(AND(W834&gt;=45,W834&lt;50),"[45 - 49 ans]","[50 ans, +oo [")))))</f>
        <v>[40 - 44 ans]</v>
      </c>
      <c r="Y834" s="5" t="str">
        <f t="shared" ref="Y834:Y897" si="124">IF(AND(U834&gt;1946,U834&lt;=1965)," Baby - Boomers ",IF(AND(U834&gt;1965,U834&lt;=1980)," Generation X ",IF(AND(U834&gt;1980,U834&lt;1996)," Mellenials ",IF(AND(U834&gt;1996,U834&lt;2012)," Gen Z "," Gen Alpha"))))</f>
        <v xml:space="preserve"> Mellenials </v>
      </c>
      <c r="Z834" s="9">
        <f t="shared" si="121"/>
        <v>19</v>
      </c>
      <c r="AA834" s="5" t="str">
        <f t="shared" ref="AA834:AA897" si="125">IF(Z834&lt;=5,"Départ à la Retraite 5ans","RAS")</f>
        <v>RAS</v>
      </c>
      <c r="AB834" s="5" t="s">
        <v>3805</v>
      </c>
      <c r="AC834" s="6" t="s">
        <v>3799</v>
      </c>
      <c r="AE834" s="5" t="s">
        <v>3845</v>
      </c>
      <c r="AF834" s="5" t="s">
        <v>4481</v>
      </c>
      <c r="AG834" s="5" t="s">
        <v>4485</v>
      </c>
      <c r="AH834" s="5" t="s">
        <v>4488</v>
      </c>
      <c r="AI834" s="5" t="s">
        <v>3987</v>
      </c>
      <c r="AJ834" s="5" t="s">
        <v>3988</v>
      </c>
      <c r="AK834" s="5" t="s">
        <v>3853</v>
      </c>
      <c r="AL834" s="5" t="s">
        <v>3854</v>
      </c>
    </row>
    <row r="835" spans="1:38" x14ac:dyDescent="0.3">
      <c r="A835" s="4">
        <v>45716</v>
      </c>
      <c r="B835" s="5" t="s">
        <v>2962</v>
      </c>
      <c r="C835" s="5" t="s">
        <v>2963</v>
      </c>
      <c r="D835" s="5" t="s">
        <v>2964</v>
      </c>
      <c r="E835" s="5" t="s">
        <v>4494</v>
      </c>
      <c r="G835" s="5" t="s">
        <v>29</v>
      </c>
      <c r="H835" s="5" t="s">
        <v>2965</v>
      </c>
      <c r="I835" s="5" t="s">
        <v>974</v>
      </c>
      <c r="J835" s="5" t="s">
        <v>2355</v>
      </c>
      <c r="K835" s="4">
        <v>43222</v>
      </c>
      <c r="L835" s="4">
        <v>43222</v>
      </c>
      <c r="M835" s="9">
        <f t="shared" si="117"/>
        <v>6</v>
      </c>
      <c r="N835" s="4" t="str">
        <f t="shared" si="118"/>
        <v>] 5 ; 8 ]</v>
      </c>
      <c r="O835" s="5" t="s">
        <v>3785</v>
      </c>
      <c r="P835" s="5" t="s">
        <v>3785</v>
      </c>
      <c r="Q835" s="5">
        <v>2</v>
      </c>
      <c r="R835" s="5" t="str">
        <f t="shared" si="122"/>
        <v>Specialisation</v>
      </c>
      <c r="S835" s="5" t="s">
        <v>3790</v>
      </c>
      <c r="T835" s="4">
        <v>33505</v>
      </c>
      <c r="U835" s="5">
        <f t="shared" si="119"/>
        <v>1991</v>
      </c>
      <c r="V835" s="5" t="s">
        <v>3793</v>
      </c>
      <c r="W835" s="9">
        <f t="shared" si="120"/>
        <v>33</v>
      </c>
      <c r="X835" s="5" t="str">
        <f t="shared" si="123"/>
        <v>[30 - 34 ans]</v>
      </c>
      <c r="Y835" s="5" t="str">
        <f t="shared" si="124"/>
        <v xml:space="preserve"> Mellenials </v>
      </c>
      <c r="Z835" s="9">
        <f t="shared" si="121"/>
        <v>27</v>
      </c>
      <c r="AA835" s="5" t="str">
        <f t="shared" si="125"/>
        <v>RAS</v>
      </c>
      <c r="AB835" s="5" t="s">
        <v>3806</v>
      </c>
      <c r="AC835" s="6" t="s">
        <v>3799</v>
      </c>
      <c r="AE835" s="5" t="s">
        <v>3845</v>
      </c>
      <c r="AF835" s="5" t="s">
        <v>4481</v>
      </c>
      <c r="AG835" s="5" t="s">
        <v>4485</v>
      </c>
      <c r="AH835" s="5" t="s">
        <v>4487</v>
      </c>
      <c r="AI835" s="5" t="s">
        <v>4448</v>
      </c>
      <c r="AJ835" s="5" t="s">
        <v>4449</v>
      </c>
      <c r="AK835" s="5">
        <v>61320</v>
      </c>
      <c r="AL835" s="5" t="s">
        <v>4202</v>
      </c>
    </row>
    <row r="836" spans="1:38" x14ac:dyDescent="0.3">
      <c r="A836" s="4">
        <v>45716</v>
      </c>
      <c r="B836" s="5" t="s">
        <v>2966</v>
      </c>
      <c r="C836" s="5" t="s">
        <v>2967</v>
      </c>
      <c r="D836" s="5" t="s">
        <v>2968</v>
      </c>
      <c r="E836" s="5" t="s">
        <v>4494</v>
      </c>
      <c r="G836" s="5" t="s">
        <v>83</v>
      </c>
      <c r="H836" s="5" t="s">
        <v>2969</v>
      </c>
      <c r="I836" s="5" t="s">
        <v>112</v>
      </c>
      <c r="J836" s="5" t="s">
        <v>1903</v>
      </c>
      <c r="K836" s="4">
        <v>43227</v>
      </c>
      <c r="L836" s="4">
        <v>43227</v>
      </c>
      <c r="M836" s="9">
        <f t="shared" si="117"/>
        <v>6</v>
      </c>
      <c r="N836" s="4" t="str">
        <f t="shared" si="118"/>
        <v>] 5 ; 8 ]</v>
      </c>
      <c r="O836" s="5" t="s">
        <v>3785</v>
      </c>
      <c r="P836" s="5" t="s">
        <v>3785</v>
      </c>
      <c r="Q836" s="5">
        <v>2</v>
      </c>
      <c r="R836" s="5" t="str">
        <f t="shared" si="122"/>
        <v>Specialisation</v>
      </c>
      <c r="S836" s="5" t="s">
        <v>3789</v>
      </c>
      <c r="T836" s="4">
        <v>31687</v>
      </c>
      <c r="U836" s="5">
        <f t="shared" si="119"/>
        <v>1986</v>
      </c>
      <c r="V836" s="5" t="s">
        <v>3792</v>
      </c>
      <c r="W836" s="9">
        <f t="shared" si="120"/>
        <v>38</v>
      </c>
      <c r="X836" s="5" t="str">
        <f t="shared" si="123"/>
        <v>[35 - 39 ans ]</v>
      </c>
      <c r="Y836" s="5" t="str">
        <f t="shared" si="124"/>
        <v xml:space="preserve"> Mellenials </v>
      </c>
      <c r="Z836" s="9">
        <f t="shared" si="121"/>
        <v>22</v>
      </c>
      <c r="AA836" s="5" t="str">
        <f t="shared" si="125"/>
        <v>RAS</v>
      </c>
      <c r="AB836" s="5" t="s">
        <v>3807</v>
      </c>
      <c r="AC836" s="6" t="s">
        <v>3799</v>
      </c>
      <c r="AE836" s="5" t="s">
        <v>3844</v>
      </c>
      <c r="AF836" s="5" t="s">
        <v>4481</v>
      </c>
      <c r="AG836" s="5" t="s">
        <v>4485</v>
      </c>
      <c r="AH836" s="5" t="s">
        <v>4489</v>
      </c>
      <c r="AI836" s="5" t="s">
        <v>3909</v>
      </c>
      <c r="AJ836" s="5" t="s">
        <v>3910</v>
      </c>
      <c r="AK836" s="5" t="s">
        <v>3911</v>
      </c>
      <c r="AL836" s="5" t="s">
        <v>3858</v>
      </c>
    </row>
    <row r="837" spans="1:38" x14ac:dyDescent="0.3">
      <c r="A837" s="4">
        <v>45716</v>
      </c>
      <c r="B837" s="5" t="s">
        <v>2970</v>
      </c>
      <c r="C837" s="5" t="s">
        <v>2971</v>
      </c>
      <c r="D837" s="5" t="s">
        <v>2972</v>
      </c>
      <c r="E837" s="5" t="s">
        <v>4494</v>
      </c>
      <c r="G837" s="5" t="s">
        <v>88</v>
      </c>
      <c r="H837" s="5" t="s">
        <v>456</v>
      </c>
      <c r="I837" s="5" t="s">
        <v>652</v>
      </c>
      <c r="J837" s="5" t="s">
        <v>883</v>
      </c>
      <c r="K837" s="4">
        <v>43252</v>
      </c>
      <c r="L837" s="4">
        <v>43252</v>
      </c>
      <c r="M837" s="9">
        <f t="shared" si="117"/>
        <v>6</v>
      </c>
      <c r="N837" s="4" t="str">
        <f t="shared" si="118"/>
        <v>] 5 ; 8 ]</v>
      </c>
      <c r="O837" s="5" t="s">
        <v>3780</v>
      </c>
      <c r="P837" s="5" t="s">
        <v>3786</v>
      </c>
      <c r="Q837" s="5">
        <v>1</v>
      </c>
      <c r="R837" s="5" t="str">
        <f t="shared" si="122"/>
        <v>Qualification</v>
      </c>
      <c r="S837" s="5" t="s">
        <v>3789</v>
      </c>
      <c r="T837" s="4">
        <v>31364</v>
      </c>
      <c r="U837" s="5">
        <f t="shared" si="119"/>
        <v>1985</v>
      </c>
      <c r="V837" s="5" t="s">
        <v>3792</v>
      </c>
      <c r="W837" s="9">
        <f t="shared" si="120"/>
        <v>39</v>
      </c>
      <c r="X837" s="5" t="str">
        <f t="shared" si="123"/>
        <v>[35 - 39 ans ]</v>
      </c>
      <c r="Y837" s="5" t="str">
        <f t="shared" si="124"/>
        <v xml:space="preserve"> Mellenials </v>
      </c>
      <c r="Z837" s="9">
        <f t="shared" si="121"/>
        <v>21</v>
      </c>
      <c r="AA837" s="5" t="str">
        <f t="shared" si="125"/>
        <v>RAS</v>
      </c>
      <c r="AB837" s="5" t="s">
        <v>3822</v>
      </c>
      <c r="AC837" s="6" t="s">
        <v>3802</v>
      </c>
      <c r="AE837" s="5" t="s">
        <v>3844</v>
      </c>
      <c r="AF837" s="5" t="s">
        <v>4482</v>
      </c>
      <c r="AG837" s="5" t="s">
        <v>4485</v>
      </c>
      <c r="AH837" s="5" t="s">
        <v>4488</v>
      </c>
      <c r="AI837" s="5" t="s">
        <v>4166</v>
      </c>
      <c r="AJ837" s="5" t="s">
        <v>4167</v>
      </c>
      <c r="AK837" s="5" t="s">
        <v>4168</v>
      </c>
      <c r="AL837" s="5" t="s">
        <v>3858</v>
      </c>
    </row>
    <row r="838" spans="1:38" x14ac:dyDescent="0.3">
      <c r="A838" s="4">
        <v>45716</v>
      </c>
      <c r="B838" s="5" t="s">
        <v>2973</v>
      </c>
      <c r="C838" s="5" t="s">
        <v>2974</v>
      </c>
      <c r="D838" s="5" t="s">
        <v>2975</v>
      </c>
      <c r="E838" s="5" t="s">
        <v>4494</v>
      </c>
      <c r="G838" s="5" t="s">
        <v>88</v>
      </c>
      <c r="H838" s="5" t="s">
        <v>456</v>
      </c>
      <c r="I838" s="5" t="s">
        <v>652</v>
      </c>
      <c r="J838" s="5" t="s">
        <v>883</v>
      </c>
      <c r="K838" s="4">
        <v>43252</v>
      </c>
      <c r="L838" s="4">
        <v>43252</v>
      </c>
      <c r="M838" s="9">
        <f t="shared" si="117"/>
        <v>6</v>
      </c>
      <c r="N838" s="4" t="str">
        <f t="shared" si="118"/>
        <v>] 5 ; 8 ]</v>
      </c>
      <c r="O838" s="5" t="s">
        <v>3780</v>
      </c>
      <c r="P838" s="5" t="s">
        <v>3780</v>
      </c>
      <c r="Q838" s="5">
        <v>3</v>
      </c>
      <c r="R838" s="5" t="str">
        <f t="shared" si="122"/>
        <v>Qualification</v>
      </c>
      <c r="S838" s="5" t="s">
        <v>3790</v>
      </c>
      <c r="T838" s="4">
        <v>32610</v>
      </c>
      <c r="U838" s="5">
        <f t="shared" si="119"/>
        <v>1989</v>
      </c>
      <c r="V838" s="5" t="s">
        <v>3793</v>
      </c>
      <c r="W838" s="9">
        <f t="shared" si="120"/>
        <v>35</v>
      </c>
      <c r="X838" s="5" t="str">
        <f t="shared" si="123"/>
        <v>[35 - 39 ans ]</v>
      </c>
      <c r="Y838" s="5" t="str">
        <f t="shared" si="124"/>
        <v xml:space="preserve"> Mellenials </v>
      </c>
      <c r="Z838" s="9">
        <f t="shared" si="121"/>
        <v>25</v>
      </c>
      <c r="AA838" s="5" t="str">
        <f t="shared" si="125"/>
        <v>RAS</v>
      </c>
      <c r="AB838" s="5" t="s">
        <v>3822</v>
      </c>
      <c r="AC838" s="6" t="s">
        <v>3802</v>
      </c>
      <c r="AE838" s="5" t="s">
        <v>3844</v>
      </c>
      <c r="AF838" s="5" t="s">
        <v>4482</v>
      </c>
      <c r="AG838" s="5" t="s">
        <v>4485</v>
      </c>
      <c r="AH838" s="5" t="s">
        <v>4488</v>
      </c>
      <c r="AI838" s="5" t="s">
        <v>4166</v>
      </c>
      <c r="AJ838" s="5" t="s">
        <v>4167</v>
      </c>
      <c r="AK838" s="5" t="s">
        <v>4168</v>
      </c>
      <c r="AL838" s="5" t="s">
        <v>3858</v>
      </c>
    </row>
    <row r="839" spans="1:38" x14ac:dyDescent="0.3">
      <c r="A839" s="4">
        <v>45716</v>
      </c>
      <c r="B839" s="5" t="s">
        <v>2976</v>
      </c>
      <c r="C839" s="5" t="s">
        <v>2977</v>
      </c>
      <c r="D839" s="5" t="s">
        <v>2978</v>
      </c>
      <c r="E839" s="5" t="s">
        <v>4494</v>
      </c>
      <c r="G839" s="5" t="s">
        <v>24</v>
      </c>
      <c r="H839" s="5" t="s">
        <v>2162</v>
      </c>
      <c r="I839" s="5" t="s">
        <v>2960</v>
      </c>
      <c r="J839" s="5" t="s">
        <v>23</v>
      </c>
      <c r="K839" s="4">
        <v>43262</v>
      </c>
      <c r="L839" s="4">
        <v>43262</v>
      </c>
      <c r="M839" s="9">
        <f t="shared" si="117"/>
        <v>6</v>
      </c>
      <c r="N839" s="4" t="str">
        <f t="shared" si="118"/>
        <v>] 5 ; 8 ]</v>
      </c>
      <c r="O839" s="5" t="s">
        <v>3782</v>
      </c>
      <c r="P839" s="5" t="s">
        <v>3782</v>
      </c>
      <c r="Q839" s="5">
        <v>2</v>
      </c>
      <c r="R839" s="5" t="str">
        <f t="shared" si="122"/>
        <v>Management &amp; Expertise</v>
      </c>
      <c r="S839" s="5" t="s">
        <v>3789</v>
      </c>
      <c r="T839" s="4">
        <v>30239</v>
      </c>
      <c r="U839" s="5">
        <f t="shared" si="119"/>
        <v>1982</v>
      </c>
      <c r="V839" s="5" t="s">
        <v>3793</v>
      </c>
      <c r="W839" s="9">
        <f t="shared" si="120"/>
        <v>42</v>
      </c>
      <c r="X839" s="5" t="str">
        <f t="shared" si="123"/>
        <v>[40 - 44 ans]</v>
      </c>
      <c r="Y839" s="5" t="str">
        <f t="shared" si="124"/>
        <v xml:space="preserve"> Mellenials </v>
      </c>
      <c r="Z839" s="9">
        <f t="shared" si="121"/>
        <v>18</v>
      </c>
      <c r="AA839" s="5" t="str">
        <f t="shared" si="125"/>
        <v>RAS</v>
      </c>
      <c r="AB839" s="5" t="s">
        <v>3805</v>
      </c>
      <c r="AC839" s="6" t="s">
        <v>3799</v>
      </c>
      <c r="AE839" s="5" t="s">
        <v>3844</v>
      </c>
      <c r="AF839" s="5" t="s">
        <v>4481</v>
      </c>
      <c r="AG839" s="5" t="s">
        <v>4485</v>
      </c>
      <c r="AH839" s="5" t="s">
        <v>4488</v>
      </c>
      <c r="AI839" s="5" t="s">
        <v>3987</v>
      </c>
      <c r="AJ839" s="5" t="s">
        <v>3988</v>
      </c>
      <c r="AK839" s="5" t="s">
        <v>3853</v>
      </c>
      <c r="AL839" s="5" t="s">
        <v>3858</v>
      </c>
    </row>
    <row r="840" spans="1:38" x14ac:dyDescent="0.3">
      <c r="A840" s="4">
        <v>45716</v>
      </c>
      <c r="B840" s="5" t="s">
        <v>2979</v>
      </c>
      <c r="C840" s="5" t="s">
        <v>2980</v>
      </c>
      <c r="D840" s="5" t="s">
        <v>2981</v>
      </c>
      <c r="E840" s="5" t="s">
        <v>4494</v>
      </c>
      <c r="G840" s="5" t="s">
        <v>39</v>
      </c>
      <c r="H840" s="5" t="s">
        <v>2982</v>
      </c>
      <c r="I840" s="5" t="s">
        <v>1264</v>
      </c>
      <c r="J840" s="5" t="s">
        <v>149</v>
      </c>
      <c r="K840" s="4">
        <v>43276</v>
      </c>
      <c r="L840" s="4">
        <v>43276</v>
      </c>
      <c r="M840" s="9">
        <f t="shared" si="117"/>
        <v>6</v>
      </c>
      <c r="N840" s="4" t="str">
        <f t="shared" si="118"/>
        <v>] 5 ; 8 ]</v>
      </c>
      <c r="O840" s="5" t="s">
        <v>3782</v>
      </c>
      <c r="P840" s="5" t="s">
        <v>3782</v>
      </c>
      <c r="Q840" s="5">
        <v>1</v>
      </c>
      <c r="R840" s="5" t="str">
        <f t="shared" si="122"/>
        <v>Management &amp; Expertise</v>
      </c>
      <c r="S840" s="5" t="s">
        <v>3789</v>
      </c>
      <c r="T840" s="4">
        <v>30548</v>
      </c>
      <c r="U840" s="5">
        <f t="shared" si="119"/>
        <v>1983</v>
      </c>
      <c r="V840" s="5" t="s">
        <v>3792</v>
      </c>
      <c r="W840" s="9">
        <f t="shared" si="120"/>
        <v>41</v>
      </c>
      <c r="X840" s="5" t="str">
        <f t="shared" si="123"/>
        <v>[40 - 44 ans]</v>
      </c>
      <c r="Y840" s="5" t="str">
        <f t="shared" si="124"/>
        <v xml:space="preserve"> Mellenials </v>
      </c>
      <c r="Z840" s="9">
        <f t="shared" si="121"/>
        <v>19</v>
      </c>
      <c r="AA840" s="5" t="str">
        <f t="shared" si="125"/>
        <v>RAS</v>
      </c>
      <c r="AB840" s="5" t="s">
        <v>3807</v>
      </c>
      <c r="AC840" s="6" t="s">
        <v>3799</v>
      </c>
      <c r="AE840" s="5" t="s">
        <v>3845</v>
      </c>
      <c r="AF840" s="5" t="s">
        <v>4481</v>
      </c>
      <c r="AG840" s="5" t="s">
        <v>4485</v>
      </c>
      <c r="AH840" s="5" t="s">
        <v>4489</v>
      </c>
      <c r="AI840" s="5" t="s">
        <v>4057</v>
      </c>
      <c r="AJ840" s="5" t="s">
        <v>4058</v>
      </c>
      <c r="AK840" s="5" t="s">
        <v>4059</v>
      </c>
      <c r="AL840" s="5" t="s">
        <v>3854</v>
      </c>
    </row>
    <row r="841" spans="1:38" x14ac:dyDescent="0.3">
      <c r="A841" s="4">
        <v>45716</v>
      </c>
      <c r="B841" s="5" t="s">
        <v>2983</v>
      </c>
      <c r="C841" s="5" t="s">
        <v>2984</v>
      </c>
      <c r="D841" s="5" t="s">
        <v>2985</v>
      </c>
      <c r="E841" s="5" t="s">
        <v>4494</v>
      </c>
      <c r="G841" s="5" t="s">
        <v>24</v>
      </c>
      <c r="H841" s="5" t="s">
        <v>1138</v>
      </c>
      <c r="I841" s="5" t="s">
        <v>318</v>
      </c>
      <c r="J841" s="5" t="s">
        <v>23</v>
      </c>
      <c r="K841" s="4">
        <v>43276</v>
      </c>
      <c r="L841" s="4">
        <v>43276</v>
      </c>
      <c r="M841" s="9">
        <f t="shared" si="117"/>
        <v>6</v>
      </c>
      <c r="N841" s="4" t="str">
        <f t="shared" si="118"/>
        <v>] 5 ; 8 ]</v>
      </c>
      <c r="O841" s="5" t="s">
        <v>3785</v>
      </c>
      <c r="P841" s="5" t="s">
        <v>3785</v>
      </c>
      <c r="Q841" s="5">
        <v>2</v>
      </c>
      <c r="R841" s="5" t="str">
        <f t="shared" si="122"/>
        <v>Specialisation</v>
      </c>
      <c r="S841" s="5" t="s">
        <v>3789</v>
      </c>
      <c r="T841" s="4">
        <v>30939</v>
      </c>
      <c r="U841" s="5">
        <f t="shared" si="119"/>
        <v>1984</v>
      </c>
      <c r="V841" s="5" t="s">
        <v>3793</v>
      </c>
      <c r="W841" s="9">
        <f t="shared" si="120"/>
        <v>40</v>
      </c>
      <c r="X841" s="5" t="str">
        <f t="shared" si="123"/>
        <v>[40 - 44 ans]</v>
      </c>
      <c r="Y841" s="5" t="str">
        <f t="shared" si="124"/>
        <v xml:space="preserve"> Mellenials </v>
      </c>
      <c r="Z841" s="9">
        <f t="shared" si="121"/>
        <v>20</v>
      </c>
      <c r="AA841" s="5" t="str">
        <f t="shared" si="125"/>
        <v>RAS</v>
      </c>
      <c r="AB841" s="5" t="s">
        <v>3810</v>
      </c>
      <c r="AC841" s="6" t="s">
        <v>3801</v>
      </c>
      <c r="AE841" s="5" t="s">
        <v>3844</v>
      </c>
      <c r="AF841" s="5" t="s">
        <v>4481</v>
      </c>
      <c r="AG841" s="5" t="s">
        <v>4485</v>
      </c>
      <c r="AH841" s="5" t="s">
        <v>4488</v>
      </c>
      <c r="AI841" s="5" t="s">
        <v>4144</v>
      </c>
      <c r="AJ841" s="5" t="s">
        <v>4145</v>
      </c>
      <c r="AK841" s="5" t="s">
        <v>3983</v>
      </c>
      <c r="AL841" s="5" t="s">
        <v>3858</v>
      </c>
    </row>
    <row r="842" spans="1:38" x14ac:dyDescent="0.3">
      <c r="A842" s="4">
        <v>45716</v>
      </c>
      <c r="B842" s="5" t="s">
        <v>2986</v>
      </c>
      <c r="C842" s="5" t="s">
        <v>2987</v>
      </c>
      <c r="D842" s="5" t="s">
        <v>2988</v>
      </c>
      <c r="E842" s="5" t="s">
        <v>4494</v>
      </c>
      <c r="G842" s="5" t="s">
        <v>24</v>
      </c>
      <c r="H842" s="5" t="s">
        <v>1138</v>
      </c>
      <c r="I842" s="5" t="s">
        <v>1317</v>
      </c>
      <c r="J842" s="5" t="s">
        <v>23</v>
      </c>
      <c r="K842" s="4">
        <v>43279</v>
      </c>
      <c r="L842" s="4">
        <v>43279</v>
      </c>
      <c r="M842" s="9">
        <f t="shared" si="117"/>
        <v>6</v>
      </c>
      <c r="N842" s="4" t="str">
        <f t="shared" si="118"/>
        <v>] 5 ; 8 ]</v>
      </c>
      <c r="O842" s="5" t="s">
        <v>3785</v>
      </c>
      <c r="P842" s="5" t="s">
        <v>3785</v>
      </c>
      <c r="Q842" s="5">
        <v>2</v>
      </c>
      <c r="R842" s="5" t="str">
        <f t="shared" si="122"/>
        <v>Specialisation</v>
      </c>
      <c r="S842" s="5" t="s">
        <v>3790</v>
      </c>
      <c r="T842" s="4">
        <v>30649</v>
      </c>
      <c r="U842" s="5">
        <f t="shared" si="119"/>
        <v>1983</v>
      </c>
      <c r="V842" s="5" t="s">
        <v>3793</v>
      </c>
      <c r="W842" s="9">
        <f t="shared" si="120"/>
        <v>41</v>
      </c>
      <c r="X842" s="5" t="str">
        <f t="shared" si="123"/>
        <v>[40 - 44 ans]</v>
      </c>
      <c r="Y842" s="5" t="str">
        <f t="shared" si="124"/>
        <v xml:space="preserve"> Mellenials </v>
      </c>
      <c r="Z842" s="9">
        <f t="shared" si="121"/>
        <v>19</v>
      </c>
      <c r="AA842" s="5" t="str">
        <f t="shared" si="125"/>
        <v>RAS</v>
      </c>
      <c r="AB842" s="5" t="s">
        <v>3805</v>
      </c>
      <c r="AC842" s="6" t="s">
        <v>3799</v>
      </c>
      <c r="AE842" s="5" t="s">
        <v>3844</v>
      </c>
      <c r="AF842" s="5" t="s">
        <v>4481</v>
      </c>
      <c r="AG842" s="5" t="s">
        <v>4485</v>
      </c>
      <c r="AH842" s="5" t="s">
        <v>4488</v>
      </c>
      <c r="AI842" s="5" t="s">
        <v>4133</v>
      </c>
      <c r="AJ842" s="5" t="s">
        <v>4134</v>
      </c>
      <c r="AK842" s="5" t="s">
        <v>3983</v>
      </c>
      <c r="AL842" s="5" t="s">
        <v>3858</v>
      </c>
    </row>
    <row r="843" spans="1:38" x14ac:dyDescent="0.3">
      <c r="A843" s="4">
        <v>45716</v>
      </c>
      <c r="B843" s="5" t="s">
        <v>2989</v>
      </c>
      <c r="C843" s="5" t="s">
        <v>2990</v>
      </c>
      <c r="D843" s="5" t="s">
        <v>2991</v>
      </c>
      <c r="E843" s="5" t="s">
        <v>4494</v>
      </c>
      <c r="G843" s="5" t="s">
        <v>39</v>
      </c>
      <c r="H843" s="5" t="s">
        <v>2992</v>
      </c>
      <c r="I843" s="5" t="s">
        <v>278</v>
      </c>
      <c r="J843" s="5" t="s">
        <v>1899</v>
      </c>
      <c r="K843" s="4">
        <v>43290</v>
      </c>
      <c r="L843" s="4">
        <v>43290</v>
      </c>
      <c r="M843" s="9">
        <f t="shared" si="117"/>
        <v>6</v>
      </c>
      <c r="N843" s="4" t="str">
        <f t="shared" si="118"/>
        <v>] 5 ; 8 ]</v>
      </c>
      <c r="O843" s="5" t="s">
        <v>3782</v>
      </c>
      <c r="P843" s="5" t="s">
        <v>3782</v>
      </c>
      <c r="Q843" s="5">
        <v>2</v>
      </c>
      <c r="R843" s="5" t="str">
        <f t="shared" si="122"/>
        <v>Management &amp; Expertise</v>
      </c>
      <c r="S843" s="5" t="s">
        <v>3790</v>
      </c>
      <c r="T843" s="4">
        <v>32513</v>
      </c>
      <c r="U843" s="5">
        <f t="shared" si="119"/>
        <v>1989</v>
      </c>
      <c r="V843" s="5" t="s">
        <v>3793</v>
      </c>
      <c r="W843" s="9">
        <f t="shared" si="120"/>
        <v>36</v>
      </c>
      <c r="X843" s="5" t="str">
        <f t="shared" si="123"/>
        <v>[35 - 39 ans ]</v>
      </c>
      <c r="Y843" s="5" t="str">
        <f t="shared" si="124"/>
        <v xml:space="preserve"> Mellenials </v>
      </c>
      <c r="Z843" s="9">
        <f t="shared" si="121"/>
        <v>24</v>
      </c>
      <c r="AA843" s="5" t="str">
        <f t="shared" si="125"/>
        <v>RAS</v>
      </c>
      <c r="AB843" s="5" t="s">
        <v>3807</v>
      </c>
      <c r="AC843" s="6" t="s">
        <v>3799</v>
      </c>
      <c r="AE843" s="5" t="s">
        <v>3844</v>
      </c>
      <c r="AF843" s="5" t="s">
        <v>4481</v>
      </c>
      <c r="AG843" s="5" t="s">
        <v>4485</v>
      </c>
      <c r="AH843" s="5" t="s">
        <v>4489</v>
      </c>
      <c r="AI843" s="5" t="s">
        <v>4407</v>
      </c>
      <c r="AJ843" s="5" t="s">
        <v>4323</v>
      </c>
      <c r="AK843" s="5" t="s">
        <v>4409</v>
      </c>
      <c r="AL843" s="5" t="s">
        <v>3858</v>
      </c>
    </row>
    <row r="844" spans="1:38" x14ac:dyDescent="0.3">
      <c r="A844" s="4">
        <v>45716</v>
      </c>
      <c r="B844" s="5" t="s">
        <v>2993</v>
      </c>
      <c r="C844" s="5" t="s">
        <v>2994</v>
      </c>
      <c r="D844" s="5" t="s">
        <v>2995</v>
      </c>
      <c r="E844" s="5" t="s">
        <v>4494</v>
      </c>
      <c r="G844" s="5" t="s">
        <v>554</v>
      </c>
      <c r="H844" s="5" t="s">
        <v>2996</v>
      </c>
      <c r="I844" s="5" t="s">
        <v>2495</v>
      </c>
      <c r="J844" s="5" t="s">
        <v>2412</v>
      </c>
      <c r="K844" s="4">
        <v>43313</v>
      </c>
      <c r="L844" s="4">
        <v>43313</v>
      </c>
      <c r="M844" s="9">
        <f t="shared" si="117"/>
        <v>6</v>
      </c>
      <c r="N844" s="4" t="str">
        <f t="shared" si="118"/>
        <v>] 5 ; 8 ]</v>
      </c>
      <c r="O844" s="5" t="s">
        <v>3783</v>
      </c>
      <c r="P844" s="5" t="s">
        <v>3783</v>
      </c>
      <c r="Q844" s="5">
        <v>2</v>
      </c>
      <c r="R844" s="5" t="str">
        <f t="shared" si="122"/>
        <v>Specialisation</v>
      </c>
      <c r="S844" s="5" t="s">
        <v>3789</v>
      </c>
      <c r="T844" s="4">
        <v>29762</v>
      </c>
      <c r="U844" s="5">
        <f t="shared" si="119"/>
        <v>1981</v>
      </c>
      <c r="V844" s="5" t="s">
        <v>3792</v>
      </c>
      <c r="W844" s="9">
        <f t="shared" si="120"/>
        <v>43</v>
      </c>
      <c r="X844" s="5" t="str">
        <f t="shared" si="123"/>
        <v>[40 - 44 ans]</v>
      </c>
      <c r="Y844" s="5" t="str">
        <f t="shared" si="124"/>
        <v xml:space="preserve"> Mellenials </v>
      </c>
      <c r="Z844" s="9">
        <f t="shared" si="121"/>
        <v>17</v>
      </c>
      <c r="AA844" s="5" t="str">
        <f t="shared" si="125"/>
        <v>RAS</v>
      </c>
      <c r="AB844" s="5" t="s">
        <v>3806</v>
      </c>
      <c r="AC844" s="6" t="s">
        <v>3799</v>
      </c>
      <c r="AE844" s="5" t="s">
        <v>3844</v>
      </c>
      <c r="AF844" s="5" t="s">
        <v>4482</v>
      </c>
      <c r="AG844" s="5" t="s">
        <v>4485</v>
      </c>
      <c r="AH844" s="5" t="s">
        <v>4487</v>
      </c>
      <c r="AI844" s="5" t="s">
        <v>4445</v>
      </c>
      <c r="AJ844" s="5" t="s">
        <v>4446</v>
      </c>
      <c r="AK844" s="5" t="s">
        <v>4121</v>
      </c>
      <c r="AL844" s="5" t="s">
        <v>3858</v>
      </c>
    </row>
    <row r="845" spans="1:38" x14ac:dyDescent="0.3">
      <c r="A845" s="4">
        <v>45716</v>
      </c>
      <c r="B845" s="5" t="s">
        <v>2997</v>
      </c>
      <c r="C845" s="5" t="s">
        <v>2998</v>
      </c>
      <c r="D845" s="5" t="s">
        <v>2999</v>
      </c>
      <c r="E845" s="5" t="s">
        <v>4494</v>
      </c>
      <c r="G845" s="5" t="s">
        <v>83</v>
      </c>
      <c r="H845" s="5" t="s">
        <v>1438</v>
      </c>
      <c r="I845" s="5" t="s">
        <v>970</v>
      </c>
      <c r="J845" s="5" t="s">
        <v>1222</v>
      </c>
      <c r="K845" s="4">
        <v>43313</v>
      </c>
      <c r="L845" s="4">
        <v>43313</v>
      </c>
      <c r="M845" s="9">
        <f t="shared" si="117"/>
        <v>6</v>
      </c>
      <c r="N845" s="4" t="str">
        <f t="shared" si="118"/>
        <v>] 5 ; 8 ]</v>
      </c>
      <c r="O845" s="5" t="s">
        <v>3783</v>
      </c>
      <c r="P845" s="5" t="s">
        <v>3783</v>
      </c>
      <c r="Q845" s="5">
        <v>2</v>
      </c>
      <c r="R845" s="5" t="str">
        <f t="shared" si="122"/>
        <v>Specialisation</v>
      </c>
      <c r="S845" s="5" t="s">
        <v>3789</v>
      </c>
      <c r="T845" s="4">
        <v>33392</v>
      </c>
      <c r="U845" s="5">
        <f t="shared" si="119"/>
        <v>1991</v>
      </c>
      <c r="V845" s="5" t="s">
        <v>3792</v>
      </c>
      <c r="W845" s="9">
        <f t="shared" si="120"/>
        <v>33</v>
      </c>
      <c r="X845" s="5" t="str">
        <f t="shared" si="123"/>
        <v>[30 - 34 ans]</v>
      </c>
      <c r="Y845" s="5" t="str">
        <f t="shared" si="124"/>
        <v xml:space="preserve"> Mellenials </v>
      </c>
      <c r="Z845" s="9">
        <f t="shared" si="121"/>
        <v>27</v>
      </c>
      <c r="AA845" s="5" t="str">
        <f t="shared" si="125"/>
        <v>RAS</v>
      </c>
      <c r="AB845" s="5" t="s">
        <v>3807</v>
      </c>
      <c r="AC845" s="6" t="s">
        <v>3799</v>
      </c>
      <c r="AE845" s="5" t="s">
        <v>3844</v>
      </c>
      <c r="AF845" s="5" t="s">
        <v>4482</v>
      </c>
      <c r="AG845" s="5" t="s">
        <v>4485</v>
      </c>
      <c r="AH845" s="5" t="s">
        <v>4489</v>
      </c>
      <c r="AI845" s="5" t="s">
        <v>4225</v>
      </c>
      <c r="AJ845" s="5" t="s">
        <v>4397</v>
      </c>
      <c r="AK845" s="5" t="s">
        <v>4226</v>
      </c>
      <c r="AL845" s="5" t="s">
        <v>3858</v>
      </c>
    </row>
    <row r="846" spans="1:38" x14ac:dyDescent="0.3">
      <c r="A846" s="4">
        <v>45716</v>
      </c>
      <c r="B846" s="5" t="s">
        <v>3000</v>
      </c>
      <c r="C846" s="5" t="s">
        <v>3001</v>
      </c>
      <c r="D846" s="5" t="s">
        <v>3002</v>
      </c>
      <c r="E846" s="5" t="s">
        <v>4494</v>
      </c>
      <c r="G846" s="5" t="s">
        <v>24</v>
      </c>
      <c r="H846" s="5" t="s">
        <v>1138</v>
      </c>
      <c r="I846" s="5" t="s">
        <v>318</v>
      </c>
      <c r="J846" s="5" t="s">
        <v>23</v>
      </c>
      <c r="K846" s="4">
        <v>43313</v>
      </c>
      <c r="L846" s="4">
        <v>43313</v>
      </c>
      <c r="M846" s="9">
        <f t="shared" si="117"/>
        <v>6</v>
      </c>
      <c r="N846" s="4" t="str">
        <f t="shared" si="118"/>
        <v>] 5 ; 8 ]</v>
      </c>
      <c r="O846" s="5" t="s">
        <v>3785</v>
      </c>
      <c r="P846" s="5" t="s">
        <v>3785</v>
      </c>
      <c r="Q846" s="5">
        <v>2</v>
      </c>
      <c r="R846" s="5" t="str">
        <f t="shared" si="122"/>
        <v>Specialisation</v>
      </c>
      <c r="S846" s="5" t="s">
        <v>3789</v>
      </c>
      <c r="T846" s="4">
        <v>32016</v>
      </c>
      <c r="U846" s="5">
        <f t="shared" si="119"/>
        <v>1987</v>
      </c>
      <c r="V846" s="5" t="s">
        <v>3793</v>
      </c>
      <c r="W846" s="9">
        <f t="shared" si="120"/>
        <v>37</v>
      </c>
      <c r="X846" s="5" t="str">
        <f t="shared" si="123"/>
        <v>[35 - 39 ans ]</v>
      </c>
      <c r="Y846" s="5" t="str">
        <f t="shared" si="124"/>
        <v xml:space="preserve"> Mellenials </v>
      </c>
      <c r="Z846" s="9">
        <f t="shared" si="121"/>
        <v>23</v>
      </c>
      <c r="AA846" s="5" t="str">
        <f t="shared" si="125"/>
        <v>RAS</v>
      </c>
      <c r="AB846" s="5" t="s">
        <v>3810</v>
      </c>
      <c r="AC846" s="6" t="s">
        <v>3801</v>
      </c>
      <c r="AE846" s="5" t="s">
        <v>3844</v>
      </c>
      <c r="AF846" s="5" t="s">
        <v>4481</v>
      </c>
      <c r="AG846" s="5" t="s">
        <v>4485</v>
      </c>
      <c r="AH846" s="5" t="s">
        <v>4488</v>
      </c>
      <c r="AI846" s="5" t="s">
        <v>4144</v>
      </c>
      <c r="AJ846" s="5" t="s">
        <v>4145</v>
      </c>
      <c r="AK846" s="5" t="s">
        <v>3983</v>
      </c>
      <c r="AL846" s="5" t="s">
        <v>3858</v>
      </c>
    </row>
    <row r="847" spans="1:38" x14ac:dyDescent="0.3">
      <c r="A847" s="4">
        <v>45716</v>
      </c>
      <c r="B847" s="5" t="s">
        <v>3003</v>
      </c>
      <c r="C847" s="5" t="s">
        <v>3004</v>
      </c>
      <c r="D847" s="5" t="s">
        <v>3005</v>
      </c>
      <c r="E847" s="5" t="s">
        <v>4494</v>
      </c>
      <c r="G847" s="5" t="s">
        <v>78</v>
      </c>
      <c r="H847" s="5" t="s">
        <v>2302</v>
      </c>
      <c r="I847" s="5" t="s">
        <v>3225</v>
      </c>
      <c r="J847" s="5" t="s">
        <v>3762</v>
      </c>
      <c r="K847" s="4">
        <v>43313</v>
      </c>
      <c r="L847" s="4">
        <v>40217</v>
      </c>
      <c r="M847" s="9">
        <f t="shared" si="117"/>
        <v>15</v>
      </c>
      <c r="N847" s="4" t="str">
        <f t="shared" si="118"/>
        <v>] 10 ; 15 ]</v>
      </c>
      <c r="O847" s="5" t="s">
        <v>3788</v>
      </c>
      <c r="P847" s="5" t="s">
        <v>3788</v>
      </c>
      <c r="Q847" s="5">
        <v>3</v>
      </c>
      <c r="R847" s="5" t="str">
        <f t="shared" si="122"/>
        <v>Qualification</v>
      </c>
      <c r="S847" s="5" t="s">
        <v>3789</v>
      </c>
      <c r="T847" s="4">
        <v>28471</v>
      </c>
      <c r="U847" s="5">
        <f t="shared" si="119"/>
        <v>1977</v>
      </c>
      <c r="V847" s="5" t="s">
        <v>3793</v>
      </c>
      <c r="W847" s="9">
        <f t="shared" si="120"/>
        <v>47</v>
      </c>
      <c r="X847" s="5" t="str">
        <f t="shared" si="123"/>
        <v>[45 - 49 ans]</v>
      </c>
      <c r="Y847" s="5" t="str">
        <f t="shared" si="124"/>
        <v xml:space="preserve"> Generation X </v>
      </c>
      <c r="Z847" s="9">
        <f t="shared" si="121"/>
        <v>13</v>
      </c>
      <c r="AA847" s="5" t="str">
        <f t="shared" si="125"/>
        <v>RAS</v>
      </c>
      <c r="AB847" s="5" t="s">
        <v>3808</v>
      </c>
      <c r="AC847" s="6" t="s">
        <v>3799</v>
      </c>
      <c r="AE847" s="5" t="s">
        <v>3844</v>
      </c>
      <c r="AF847" s="5" t="s">
        <v>4482</v>
      </c>
      <c r="AG847" s="5" t="s">
        <v>4485</v>
      </c>
      <c r="AH847" s="5" t="s">
        <v>4488</v>
      </c>
      <c r="AI847" s="5" t="s">
        <v>4257</v>
      </c>
      <c r="AJ847" s="5" t="s">
        <v>4258</v>
      </c>
      <c r="AK847" s="5" t="s">
        <v>4090</v>
      </c>
      <c r="AL847" s="5" t="s">
        <v>3858</v>
      </c>
    </row>
    <row r="848" spans="1:38" x14ac:dyDescent="0.3">
      <c r="A848" s="4">
        <v>45716</v>
      </c>
      <c r="B848" s="5" t="s">
        <v>3006</v>
      </c>
      <c r="C848" s="5" t="s">
        <v>3007</v>
      </c>
      <c r="D848" s="5" t="s">
        <v>3008</v>
      </c>
      <c r="E848" s="5" t="s">
        <v>4494</v>
      </c>
      <c r="G848" s="5" t="s">
        <v>83</v>
      </c>
      <c r="H848" s="5" t="s">
        <v>3009</v>
      </c>
      <c r="I848" s="5" t="s">
        <v>274</v>
      </c>
      <c r="J848" s="5" t="s">
        <v>1799</v>
      </c>
      <c r="K848" s="4">
        <v>43344</v>
      </c>
      <c r="L848" s="4">
        <v>43344</v>
      </c>
      <c r="M848" s="9">
        <f t="shared" si="117"/>
        <v>6</v>
      </c>
      <c r="N848" s="4" t="str">
        <f t="shared" si="118"/>
        <v>] 5 ; 8 ]</v>
      </c>
      <c r="O848" s="5" t="s">
        <v>3782</v>
      </c>
      <c r="P848" s="5" t="s">
        <v>3782</v>
      </c>
      <c r="Q848" s="5">
        <v>1</v>
      </c>
      <c r="R848" s="5" t="str">
        <f t="shared" si="122"/>
        <v>Management &amp; Expertise</v>
      </c>
      <c r="S848" s="5" t="s">
        <v>3789</v>
      </c>
      <c r="T848" s="4">
        <v>33273</v>
      </c>
      <c r="U848" s="5">
        <f t="shared" si="119"/>
        <v>1991</v>
      </c>
      <c r="V848" s="5" t="s">
        <v>3793</v>
      </c>
      <c r="W848" s="9">
        <f t="shared" si="120"/>
        <v>34</v>
      </c>
      <c r="X848" s="5" t="str">
        <f t="shared" si="123"/>
        <v>[30 - 34 ans]</v>
      </c>
      <c r="Y848" s="5" t="str">
        <f t="shared" si="124"/>
        <v xml:space="preserve"> Mellenials </v>
      </c>
      <c r="Z848" s="9">
        <f t="shared" si="121"/>
        <v>26</v>
      </c>
      <c r="AA848" s="5" t="str">
        <f t="shared" si="125"/>
        <v>RAS</v>
      </c>
      <c r="AB848" s="5" t="s">
        <v>3806</v>
      </c>
      <c r="AC848" s="6" t="s">
        <v>3799</v>
      </c>
      <c r="AE848" s="5" t="s">
        <v>3844</v>
      </c>
      <c r="AF848" s="5" t="s">
        <v>4481</v>
      </c>
      <c r="AG848" s="5" t="s">
        <v>4485</v>
      </c>
      <c r="AH848" s="5" t="s">
        <v>4489</v>
      </c>
      <c r="AI848" s="5" t="s">
        <v>3991</v>
      </c>
      <c r="AJ848" s="5" t="s">
        <v>3992</v>
      </c>
      <c r="AK848" s="5" t="s">
        <v>3993</v>
      </c>
      <c r="AL848" s="5" t="s">
        <v>3858</v>
      </c>
    </row>
    <row r="849" spans="1:38" x14ac:dyDescent="0.3">
      <c r="A849" s="4">
        <v>45716</v>
      </c>
      <c r="B849" s="5" t="s">
        <v>3010</v>
      </c>
      <c r="C849" s="5" t="s">
        <v>3011</v>
      </c>
      <c r="D849" s="5" t="s">
        <v>3012</v>
      </c>
      <c r="E849" s="5" t="s">
        <v>4494</v>
      </c>
      <c r="G849" s="5" t="s">
        <v>83</v>
      </c>
      <c r="H849" s="5" t="s">
        <v>1438</v>
      </c>
      <c r="I849" s="5" t="s">
        <v>96</v>
      </c>
      <c r="J849" s="5" t="s">
        <v>1222</v>
      </c>
      <c r="K849" s="4">
        <v>43344</v>
      </c>
      <c r="L849" s="4">
        <v>43344</v>
      </c>
      <c r="M849" s="9">
        <f t="shared" si="117"/>
        <v>6</v>
      </c>
      <c r="N849" s="4" t="str">
        <f t="shared" si="118"/>
        <v>] 5 ; 8 ]</v>
      </c>
      <c r="O849" s="5" t="s">
        <v>3783</v>
      </c>
      <c r="P849" s="5" t="s">
        <v>3783</v>
      </c>
      <c r="Q849" s="5">
        <v>2</v>
      </c>
      <c r="R849" s="5" t="str">
        <f t="shared" si="122"/>
        <v>Specialisation</v>
      </c>
      <c r="S849" s="5" t="s">
        <v>3789</v>
      </c>
      <c r="T849" s="4">
        <v>31437</v>
      </c>
      <c r="U849" s="5">
        <f t="shared" si="119"/>
        <v>1986</v>
      </c>
      <c r="V849" s="5" t="s">
        <v>3793</v>
      </c>
      <c r="W849" s="9">
        <f t="shared" si="120"/>
        <v>39</v>
      </c>
      <c r="X849" s="5" t="str">
        <f t="shared" si="123"/>
        <v>[35 - 39 ans ]</v>
      </c>
      <c r="Y849" s="5" t="str">
        <f t="shared" si="124"/>
        <v xml:space="preserve"> Mellenials </v>
      </c>
      <c r="Z849" s="9">
        <f t="shared" si="121"/>
        <v>21</v>
      </c>
      <c r="AA849" s="5" t="str">
        <f t="shared" si="125"/>
        <v>RAS</v>
      </c>
      <c r="AB849" s="5" t="s">
        <v>3807</v>
      </c>
      <c r="AC849" s="6" t="s">
        <v>3799</v>
      </c>
      <c r="AE849" s="5" t="s">
        <v>3844</v>
      </c>
      <c r="AF849" s="5" t="s">
        <v>4482</v>
      </c>
      <c r="AG849" s="5" t="s">
        <v>4485</v>
      </c>
      <c r="AH849" s="5" t="s">
        <v>4489</v>
      </c>
      <c r="AI849" s="5" t="s">
        <v>3901</v>
      </c>
      <c r="AJ849" s="5" t="s">
        <v>3902</v>
      </c>
      <c r="AK849" s="5" t="s">
        <v>3903</v>
      </c>
      <c r="AL849" s="5" t="s">
        <v>3858</v>
      </c>
    </row>
    <row r="850" spans="1:38" x14ac:dyDescent="0.3">
      <c r="A850" s="4">
        <v>45716</v>
      </c>
      <c r="B850" s="5" t="s">
        <v>3013</v>
      </c>
      <c r="C850" s="5" t="s">
        <v>3014</v>
      </c>
      <c r="D850" s="5" t="s">
        <v>3015</v>
      </c>
      <c r="E850" s="5" t="s">
        <v>4494</v>
      </c>
      <c r="G850" s="5" t="s">
        <v>78</v>
      </c>
      <c r="H850" s="5" t="s">
        <v>4507</v>
      </c>
      <c r="I850" s="5" t="s">
        <v>491</v>
      </c>
      <c r="J850" s="5" t="s">
        <v>4511</v>
      </c>
      <c r="K850" s="4">
        <v>43344</v>
      </c>
      <c r="L850" s="4">
        <v>43344</v>
      </c>
      <c r="M850" s="9">
        <f t="shared" si="117"/>
        <v>6</v>
      </c>
      <c r="N850" s="4" t="str">
        <f t="shared" si="118"/>
        <v>] 5 ; 8 ]</v>
      </c>
      <c r="O850" s="5" t="s">
        <v>3786</v>
      </c>
      <c r="P850" s="5" t="s">
        <v>3786</v>
      </c>
      <c r="Q850" s="5">
        <v>1</v>
      </c>
      <c r="R850" s="5" t="str">
        <f t="shared" si="122"/>
        <v>Specialisation</v>
      </c>
      <c r="S850" s="5" t="s">
        <v>3790</v>
      </c>
      <c r="T850" s="4">
        <v>29528</v>
      </c>
      <c r="U850" s="5">
        <f t="shared" si="119"/>
        <v>1980</v>
      </c>
      <c r="V850" s="5" t="s">
        <v>3793</v>
      </c>
      <c r="W850" s="9">
        <f t="shared" si="120"/>
        <v>44</v>
      </c>
      <c r="X850" s="5" t="str">
        <f t="shared" si="123"/>
        <v>[40 - 44 ans]</v>
      </c>
      <c r="Y850" s="5" t="str">
        <f t="shared" si="124"/>
        <v xml:space="preserve"> Generation X </v>
      </c>
      <c r="Z850" s="9">
        <f t="shared" si="121"/>
        <v>16</v>
      </c>
      <c r="AA850" s="5" t="str">
        <f t="shared" si="125"/>
        <v>RAS</v>
      </c>
      <c r="AB850" s="5" t="s">
        <v>3808</v>
      </c>
      <c r="AC850" s="6" t="s">
        <v>3799</v>
      </c>
      <c r="AE850" s="5" t="s">
        <v>3844</v>
      </c>
      <c r="AF850" s="5" t="s">
        <v>4482</v>
      </c>
      <c r="AG850" s="5" t="s">
        <v>4485</v>
      </c>
      <c r="AH850" s="5" t="s">
        <v>4488</v>
      </c>
      <c r="AI850" s="5" t="s">
        <v>4091</v>
      </c>
      <c r="AJ850" s="5" t="s">
        <v>4092</v>
      </c>
      <c r="AK850" s="5" t="s">
        <v>3946</v>
      </c>
      <c r="AL850" s="5" t="s">
        <v>3858</v>
      </c>
    </row>
    <row r="851" spans="1:38" x14ac:dyDescent="0.3">
      <c r="A851" s="4">
        <v>45716</v>
      </c>
      <c r="B851" s="5" t="s">
        <v>3016</v>
      </c>
      <c r="C851" s="5" t="s">
        <v>3017</v>
      </c>
      <c r="D851" s="5" t="s">
        <v>3018</v>
      </c>
      <c r="E851" s="5" t="s">
        <v>4494</v>
      </c>
      <c r="G851" s="5" t="s">
        <v>78</v>
      </c>
      <c r="H851" s="5" t="s">
        <v>2121</v>
      </c>
      <c r="I851" s="5" t="s">
        <v>2312</v>
      </c>
      <c r="J851" s="5" t="s">
        <v>298</v>
      </c>
      <c r="K851" s="4">
        <v>43344</v>
      </c>
      <c r="L851" s="4">
        <v>43344</v>
      </c>
      <c r="M851" s="9">
        <f t="shared" si="117"/>
        <v>6</v>
      </c>
      <c r="N851" s="4" t="str">
        <f t="shared" si="118"/>
        <v>] 5 ; 8 ]</v>
      </c>
      <c r="O851" s="5" t="s">
        <v>3788</v>
      </c>
      <c r="P851" s="5" t="s">
        <v>3788</v>
      </c>
      <c r="Q851" s="5">
        <v>2</v>
      </c>
      <c r="R851" s="5" t="str">
        <f t="shared" si="122"/>
        <v>Qualification</v>
      </c>
      <c r="S851" s="5" t="s">
        <v>3790</v>
      </c>
      <c r="T851" s="4">
        <v>31230</v>
      </c>
      <c r="U851" s="5">
        <f t="shared" si="119"/>
        <v>1985</v>
      </c>
      <c r="V851" s="5" t="s">
        <v>3793</v>
      </c>
      <c r="W851" s="9">
        <f t="shared" si="120"/>
        <v>39</v>
      </c>
      <c r="X851" s="5" t="str">
        <f t="shared" si="123"/>
        <v>[35 - 39 ans ]</v>
      </c>
      <c r="Y851" s="5" t="str">
        <f t="shared" si="124"/>
        <v xml:space="preserve"> Mellenials </v>
      </c>
      <c r="Z851" s="9">
        <f t="shared" si="121"/>
        <v>21</v>
      </c>
      <c r="AA851" s="5" t="str">
        <f t="shared" si="125"/>
        <v>RAS</v>
      </c>
      <c r="AB851" s="5" t="s">
        <v>3808</v>
      </c>
      <c r="AC851" s="6" t="s">
        <v>3799</v>
      </c>
      <c r="AE851" s="5" t="s">
        <v>3844</v>
      </c>
      <c r="AF851" s="5" t="s">
        <v>4482</v>
      </c>
      <c r="AG851" s="5" t="s">
        <v>4485</v>
      </c>
      <c r="AH851" s="5" t="s">
        <v>4488</v>
      </c>
      <c r="AI851" s="5" t="s">
        <v>4381</v>
      </c>
      <c r="AJ851" s="5" t="s">
        <v>4382</v>
      </c>
      <c r="AK851" s="5" t="s">
        <v>3946</v>
      </c>
      <c r="AL851" s="5" t="s">
        <v>3858</v>
      </c>
    </row>
    <row r="852" spans="1:38" x14ac:dyDescent="0.3">
      <c r="A852" s="4">
        <v>45716</v>
      </c>
      <c r="B852" s="5" t="s">
        <v>3019</v>
      </c>
      <c r="C852" s="5" t="s">
        <v>3020</v>
      </c>
      <c r="D852" s="5" t="s">
        <v>3021</v>
      </c>
      <c r="E852" s="5" t="s">
        <v>4494</v>
      </c>
      <c r="G852" s="5" t="s">
        <v>78</v>
      </c>
      <c r="H852" s="5" t="s">
        <v>1205</v>
      </c>
      <c r="I852" s="5" t="s">
        <v>1069</v>
      </c>
      <c r="J852" s="5" t="s">
        <v>298</v>
      </c>
      <c r="K852" s="4">
        <v>43344</v>
      </c>
      <c r="L852" s="4">
        <v>43344</v>
      </c>
      <c r="M852" s="9">
        <f t="shared" si="117"/>
        <v>6</v>
      </c>
      <c r="N852" s="4" t="str">
        <f t="shared" si="118"/>
        <v>] 5 ; 8 ]</v>
      </c>
      <c r="O852" s="5" t="s">
        <v>3788</v>
      </c>
      <c r="P852" s="5" t="s">
        <v>3788</v>
      </c>
      <c r="Q852" s="5">
        <v>2</v>
      </c>
      <c r="R852" s="5" t="str">
        <f t="shared" si="122"/>
        <v>Qualification</v>
      </c>
      <c r="S852" s="5" t="s">
        <v>3789</v>
      </c>
      <c r="T852" s="4">
        <v>31896</v>
      </c>
      <c r="U852" s="5">
        <f t="shared" si="119"/>
        <v>1987</v>
      </c>
      <c r="V852" s="5" t="s">
        <v>3792</v>
      </c>
      <c r="W852" s="9">
        <f t="shared" si="120"/>
        <v>37</v>
      </c>
      <c r="X852" s="5" t="str">
        <f t="shared" si="123"/>
        <v>[35 - 39 ans ]</v>
      </c>
      <c r="Y852" s="5" t="str">
        <f t="shared" si="124"/>
        <v xml:space="preserve"> Mellenials </v>
      </c>
      <c r="Z852" s="9">
        <f t="shared" si="121"/>
        <v>23</v>
      </c>
      <c r="AA852" s="5" t="str">
        <f t="shared" si="125"/>
        <v>RAS</v>
      </c>
      <c r="AB852" s="5" t="s">
        <v>3808</v>
      </c>
      <c r="AC852" s="6" t="s">
        <v>3799</v>
      </c>
      <c r="AE852" s="5" t="s">
        <v>3844</v>
      </c>
      <c r="AF852" s="5" t="s">
        <v>4482</v>
      </c>
      <c r="AG852" s="5" t="s">
        <v>4485</v>
      </c>
      <c r="AH852" s="5" t="s">
        <v>4488</v>
      </c>
      <c r="AI852" s="5" t="s">
        <v>4240</v>
      </c>
      <c r="AJ852" s="5" t="s">
        <v>4264</v>
      </c>
      <c r="AK852" s="5" t="s">
        <v>4090</v>
      </c>
      <c r="AL852" s="5" t="s">
        <v>3858</v>
      </c>
    </row>
    <row r="853" spans="1:38" x14ac:dyDescent="0.3">
      <c r="A853" s="4">
        <v>45716</v>
      </c>
      <c r="B853" s="5" t="s">
        <v>3022</v>
      </c>
      <c r="C853" s="5" t="s">
        <v>3023</v>
      </c>
      <c r="D853" s="5" t="s">
        <v>3024</v>
      </c>
      <c r="E853" s="5" t="s">
        <v>4494</v>
      </c>
      <c r="G853" s="5" t="s">
        <v>88</v>
      </c>
      <c r="H853" s="5" t="s">
        <v>456</v>
      </c>
      <c r="I853" s="5" t="s">
        <v>652</v>
      </c>
      <c r="J853" s="5" t="s">
        <v>883</v>
      </c>
      <c r="K853" s="4">
        <v>43344</v>
      </c>
      <c r="L853" s="4">
        <v>43344</v>
      </c>
      <c r="M853" s="9">
        <f t="shared" si="117"/>
        <v>6</v>
      </c>
      <c r="N853" s="4" t="str">
        <f t="shared" si="118"/>
        <v>] 5 ; 8 ]</v>
      </c>
      <c r="O853" s="5" t="s">
        <v>3780</v>
      </c>
      <c r="P853" s="5" t="s">
        <v>3780</v>
      </c>
      <c r="Q853" s="5">
        <v>3</v>
      </c>
      <c r="R853" s="5" t="str">
        <f t="shared" si="122"/>
        <v>Qualification</v>
      </c>
      <c r="S853" s="5" t="s">
        <v>3790</v>
      </c>
      <c r="T853" s="4">
        <v>32346</v>
      </c>
      <c r="U853" s="5">
        <f t="shared" si="119"/>
        <v>1988</v>
      </c>
      <c r="V853" s="5" t="s">
        <v>3793</v>
      </c>
      <c r="W853" s="9">
        <f t="shared" si="120"/>
        <v>36</v>
      </c>
      <c r="X853" s="5" t="str">
        <f t="shared" si="123"/>
        <v>[35 - 39 ans ]</v>
      </c>
      <c r="Y853" s="5" t="str">
        <f t="shared" si="124"/>
        <v xml:space="preserve"> Mellenials </v>
      </c>
      <c r="Z853" s="9">
        <f t="shared" si="121"/>
        <v>24</v>
      </c>
      <c r="AA853" s="5" t="str">
        <f t="shared" si="125"/>
        <v>RAS</v>
      </c>
      <c r="AB853" s="5" t="s">
        <v>3822</v>
      </c>
      <c r="AC853" s="6" t="s">
        <v>3802</v>
      </c>
      <c r="AE853" s="5" t="s">
        <v>3844</v>
      </c>
      <c r="AF853" s="5" t="s">
        <v>4482</v>
      </c>
      <c r="AG853" s="5" t="s">
        <v>4485</v>
      </c>
      <c r="AH853" s="5" t="s">
        <v>4488</v>
      </c>
      <c r="AI853" s="5" t="s">
        <v>4166</v>
      </c>
      <c r="AJ853" s="5" t="s">
        <v>4167</v>
      </c>
      <c r="AK853" s="5" t="s">
        <v>4168</v>
      </c>
      <c r="AL853" s="5" t="s">
        <v>3858</v>
      </c>
    </row>
    <row r="854" spans="1:38" x14ac:dyDescent="0.3">
      <c r="A854" s="4">
        <v>45716</v>
      </c>
      <c r="B854" s="5" t="s">
        <v>3025</v>
      </c>
      <c r="C854" s="5" t="s">
        <v>3026</v>
      </c>
      <c r="D854" s="5" t="s">
        <v>3027</v>
      </c>
      <c r="E854" s="5" t="s">
        <v>4494</v>
      </c>
      <c r="G854" s="5" t="s">
        <v>78</v>
      </c>
      <c r="H854" s="5" t="s">
        <v>1980</v>
      </c>
      <c r="I854" s="5" t="s">
        <v>2312</v>
      </c>
      <c r="J854" s="5" t="s">
        <v>298</v>
      </c>
      <c r="K854" s="4">
        <v>43344</v>
      </c>
      <c r="L854" s="4">
        <v>43344</v>
      </c>
      <c r="M854" s="9">
        <f t="shared" si="117"/>
        <v>6</v>
      </c>
      <c r="N854" s="4" t="str">
        <f t="shared" si="118"/>
        <v>] 5 ; 8 ]</v>
      </c>
      <c r="O854" s="5" t="s">
        <v>3788</v>
      </c>
      <c r="P854" s="5" t="s">
        <v>3788</v>
      </c>
      <c r="Q854" s="5">
        <v>2</v>
      </c>
      <c r="R854" s="5" t="str">
        <f t="shared" si="122"/>
        <v>Qualification</v>
      </c>
      <c r="S854" s="5" t="s">
        <v>3790</v>
      </c>
      <c r="T854" s="4">
        <v>32518</v>
      </c>
      <c r="U854" s="5">
        <f t="shared" si="119"/>
        <v>1989</v>
      </c>
      <c r="V854" s="5" t="s">
        <v>3793</v>
      </c>
      <c r="W854" s="9">
        <f t="shared" si="120"/>
        <v>36</v>
      </c>
      <c r="X854" s="5" t="str">
        <f t="shared" si="123"/>
        <v>[35 - 39 ans ]</v>
      </c>
      <c r="Y854" s="5" t="str">
        <f t="shared" si="124"/>
        <v xml:space="preserve"> Mellenials </v>
      </c>
      <c r="Z854" s="9">
        <f t="shared" si="121"/>
        <v>24</v>
      </c>
      <c r="AA854" s="5" t="str">
        <f t="shared" si="125"/>
        <v>RAS</v>
      </c>
      <c r="AB854" s="5" t="s">
        <v>3808</v>
      </c>
      <c r="AC854" s="6" t="s">
        <v>3799</v>
      </c>
      <c r="AE854" s="5" t="s">
        <v>3844</v>
      </c>
      <c r="AF854" s="5" t="s">
        <v>4482</v>
      </c>
      <c r="AG854" s="5" t="s">
        <v>4485</v>
      </c>
      <c r="AH854" s="5" t="s">
        <v>4488</v>
      </c>
      <c r="AI854" s="5" t="s">
        <v>4381</v>
      </c>
      <c r="AJ854" s="5" t="s">
        <v>4382</v>
      </c>
      <c r="AK854" s="5" t="s">
        <v>3946</v>
      </c>
      <c r="AL854" s="5" t="s">
        <v>3858</v>
      </c>
    </row>
    <row r="855" spans="1:38" x14ac:dyDescent="0.3">
      <c r="A855" s="4">
        <v>45716</v>
      </c>
      <c r="B855" s="5" t="s">
        <v>3028</v>
      </c>
      <c r="C855" s="5" t="s">
        <v>3029</v>
      </c>
      <c r="D855" s="5" t="s">
        <v>3030</v>
      </c>
      <c r="E855" s="5" t="s">
        <v>4494</v>
      </c>
      <c r="G855" s="5" t="s">
        <v>88</v>
      </c>
      <c r="H855" s="5" t="s">
        <v>456</v>
      </c>
      <c r="I855" s="5" t="s">
        <v>770</v>
      </c>
      <c r="J855" s="5" t="s">
        <v>883</v>
      </c>
      <c r="K855" s="4">
        <v>43344</v>
      </c>
      <c r="L855" s="4">
        <v>43344</v>
      </c>
      <c r="M855" s="9">
        <f t="shared" si="117"/>
        <v>6</v>
      </c>
      <c r="N855" s="4" t="str">
        <f t="shared" si="118"/>
        <v>] 5 ; 8 ]</v>
      </c>
      <c r="O855" s="5" t="s">
        <v>3780</v>
      </c>
      <c r="P855" s="5" t="s">
        <v>3788</v>
      </c>
      <c r="Q855" s="5">
        <v>1</v>
      </c>
      <c r="R855" s="5" t="str">
        <f t="shared" si="122"/>
        <v>Qualification</v>
      </c>
      <c r="S855" s="5" t="s">
        <v>3789</v>
      </c>
      <c r="T855" s="4">
        <v>31331</v>
      </c>
      <c r="U855" s="5">
        <f t="shared" si="119"/>
        <v>1985</v>
      </c>
      <c r="V855" s="5" t="s">
        <v>3793</v>
      </c>
      <c r="W855" s="9">
        <f t="shared" si="120"/>
        <v>39</v>
      </c>
      <c r="X855" s="5" t="str">
        <f t="shared" si="123"/>
        <v>[35 - 39 ans ]</v>
      </c>
      <c r="Y855" s="5" t="str">
        <f t="shared" si="124"/>
        <v xml:space="preserve"> Mellenials </v>
      </c>
      <c r="Z855" s="9">
        <f t="shared" si="121"/>
        <v>21</v>
      </c>
      <c r="AA855" s="5" t="str">
        <f t="shared" si="125"/>
        <v>RAS</v>
      </c>
      <c r="AB855" s="5" t="s">
        <v>3814</v>
      </c>
      <c r="AC855" s="6" t="s">
        <v>3799</v>
      </c>
      <c r="AE855" s="5" t="s">
        <v>3844</v>
      </c>
      <c r="AF855" s="5" t="s">
        <v>4482</v>
      </c>
      <c r="AG855" s="5" t="s">
        <v>4485</v>
      </c>
      <c r="AH855" s="5" t="s">
        <v>4488</v>
      </c>
      <c r="AI855" s="5" t="s">
        <v>4075</v>
      </c>
      <c r="AJ855" s="5" t="s">
        <v>4076</v>
      </c>
      <c r="AK855" s="5" t="s">
        <v>4077</v>
      </c>
      <c r="AL855" s="5" t="s">
        <v>3858</v>
      </c>
    </row>
    <row r="856" spans="1:38" x14ac:dyDescent="0.3">
      <c r="A856" s="4">
        <v>45716</v>
      </c>
      <c r="B856" s="5" t="s">
        <v>3031</v>
      </c>
      <c r="C856" s="5" t="s">
        <v>3032</v>
      </c>
      <c r="D856" s="5" t="s">
        <v>3033</v>
      </c>
      <c r="E856" s="5" t="s">
        <v>4494</v>
      </c>
      <c r="G856" s="5" t="s">
        <v>39</v>
      </c>
      <c r="H856" s="5" t="s">
        <v>471</v>
      </c>
      <c r="I856" s="5" t="s">
        <v>1835</v>
      </c>
      <c r="J856" s="5" t="s">
        <v>48</v>
      </c>
      <c r="K856" s="4">
        <v>43344</v>
      </c>
      <c r="L856" s="4">
        <v>43344</v>
      </c>
      <c r="M856" s="9">
        <f t="shared" si="117"/>
        <v>6</v>
      </c>
      <c r="N856" s="4" t="str">
        <f t="shared" si="118"/>
        <v>] 5 ; 8 ]</v>
      </c>
      <c r="O856" s="5" t="s">
        <v>3786</v>
      </c>
      <c r="P856" s="5" t="s">
        <v>3786</v>
      </c>
      <c r="Q856" s="5">
        <v>1</v>
      </c>
      <c r="R856" s="5" t="str">
        <f t="shared" si="122"/>
        <v>Specialisation</v>
      </c>
      <c r="S856" s="5" t="s">
        <v>3789</v>
      </c>
      <c r="T856" s="4">
        <v>30878</v>
      </c>
      <c r="U856" s="5">
        <f t="shared" si="119"/>
        <v>1984</v>
      </c>
      <c r="V856" s="5" t="s">
        <v>3792</v>
      </c>
      <c r="W856" s="9">
        <f t="shared" si="120"/>
        <v>40</v>
      </c>
      <c r="X856" s="5" t="str">
        <f t="shared" si="123"/>
        <v>[40 - 44 ans]</v>
      </c>
      <c r="Y856" s="5" t="str">
        <f t="shared" si="124"/>
        <v xml:space="preserve"> Mellenials </v>
      </c>
      <c r="Z856" s="9">
        <f t="shared" si="121"/>
        <v>20</v>
      </c>
      <c r="AA856" s="5" t="str">
        <f t="shared" si="125"/>
        <v>RAS</v>
      </c>
      <c r="AB856" s="5" t="s">
        <v>3807</v>
      </c>
      <c r="AC856" s="6" t="s">
        <v>3799</v>
      </c>
      <c r="AE856" s="5" t="s">
        <v>3844</v>
      </c>
      <c r="AF856" s="5" t="s">
        <v>4482</v>
      </c>
      <c r="AG856" s="5" t="s">
        <v>4485</v>
      </c>
      <c r="AH856" s="5" t="s">
        <v>4489</v>
      </c>
      <c r="AI856" s="5" t="s">
        <v>4078</v>
      </c>
      <c r="AJ856" s="5" t="s">
        <v>4079</v>
      </c>
      <c r="AK856" s="5" t="s">
        <v>4080</v>
      </c>
      <c r="AL856" s="5" t="s">
        <v>3858</v>
      </c>
    </row>
    <row r="857" spans="1:38" x14ac:dyDescent="0.3">
      <c r="A857" s="4">
        <v>45716</v>
      </c>
      <c r="B857" s="5" t="s">
        <v>3034</v>
      </c>
      <c r="C857" s="5" t="s">
        <v>3035</v>
      </c>
      <c r="D857" s="5" t="s">
        <v>3036</v>
      </c>
      <c r="E857" s="5" t="s">
        <v>4494</v>
      </c>
      <c r="G857" s="5" t="s">
        <v>78</v>
      </c>
      <c r="H857" s="5" t="s">
        <v>2430</v>
      </c>
      <c r="I857" s="5" t="s">
        <v>298</v>
      </c>
      <c r="J857" s="5" t="s">
        <v>169</v>
      </c>
      <c r="K857" s="4">
        <v>43344</v>
      </c>
      <c r="L857" s="4">
        <v>43344</v>
      </c>
      <c r="M857" s="9">
        <f t="shared" si="117"/>
        <v>6</v>
      </c>
      <c r="N857" s="4" t="str">
        <f t="shared" si="118"/>
        <v>] 5 ; 8 ]</v>
      </c>
      <c r="O857" s="5" t="s">
        <v>3781</v>
      </c>
      <c r="P857" s="5" t="s">
        <v>3781</v>
      </c>
      <c r="Q857" s="5">
        <v>2</v>
      </c>
      <c r="R857" s="5" t="str">
        <f t="shared" si="122"/>
        <v>Qualification</v>
      </c>
      <c r="S857" s="5" t="s">
        <v>3790</v>
      </c>
      <c r="T857" s="4">
        <v>30878</v>
      </c>
      <c r="U857" s="5">
        <f t="shared" si="119"/>
        <v>1984</v>
      </c>
      <c r="V857" s="5" t="s">
        <v>3792</v>
      </c>
      <c r="W857" s="9">
        <f t="shared" si="120"/>
        <v>40</v>
      </c>
      <c r="X857" s="5" t="str">
        <f t="shared" si="123"/>
        <v>[40 - 44 ans]</v>
      </c>
      <c r="Y857" s="5" t="str">
        <f t="shared" si="124"/>
        <v xml:space="preserve"> Mellenials </v>
      </c>
      <c r="Z857" s="9">
        <f t="shared" si="121"/>
        <v>20</v>
      </c>
      <c r="AA857" s="5" t="str">
        <f t="shared" si="125"/>
        <v>RAS</v>
      </c>
      <c r="AB857" s="5" t="s">
        <v>3808</v>
      </c>
      <c r="AC857" s="6" t="s">
        <v>3799</v>
      </c>
      <c r="AE857" s="5" t="s">
        <v>3844</v>
      </c>
      <c r="AF857" s="5" t="s">
        <v>4482</v>
      </c>
      <c r="AG857" s="5" t="s">
        <v>4485</v>
      </c>
      <c r="AH857" s="5" t="s">
        <v>4488</v>
      </c>
      <c r="AI857" s="5" t="s">
        <v>4414</v>
      </c>
      <c r="AJ857" s="5" t="s">
        <v>4415</v>
      </c>
      <c r="AK857" s="5" t="s">
        <v>4245</v>
      </c>
      <c r="AL857" s="5" t="s">
        <v>3858</v>
      </c>
    </row>
    <row r="858" spans="1:38" x14ac:dyDescent="0.3">
      <c r="A858" s="4">
        <v>45716</v>
      </c>
      <c r="B858" s="5" t="s">
        <v>3037</v>
      </c>
      <c r="C858" s="5" t="s">
        <v>3038</v>
      </c>
      <c r="D858" s="5" t="s">
        <v>3039</v>
      </c>
      <c r="E858" s="5" t="s">
        <v>4494</v>
      </c>
      <c r="G858" s="5" t="s">
        <v>88</v>
      </c>
      <c r="H858" s="5" t="s">
        <v>456</v>
      </c>
      <c r="I858" s="5" t="s">
        <v>744</v>
      </c>
      <c r="J858" s="5" t="s">
        <v>883</v>
      </c>
      <c r="K858" s="4">
        <v>43344</v>
      </c>
      <c r="L858" s="4">
        <v>43344</v>
      </c>
      <c r="M858" s="9">
        <f t="shared" si="117"/>
        <v>6</v>
      </c>
      <c r="N858" s="4" t="str">
        <f t="shared" si="118"/>
        <v>] 5 ; 8 ]</v>
      </c>
      <c r="O858" s="5" t="s">
        <v>3780</v>
      </c>
      <c r="P858" s="5" t="s">
        <v>3780</v>
      </c>
      <c r="Q858" s="5">
        <v>2</v>
      </c>
      <c r="R858" s="5" t="str">
        <f t="shared" si="122"/>
        <v>Qualification</v>
      </c>
      <c r="S858" s="5" t="s">
        <v>3789</v>
      </c>
      <c r="T858" s="4">
        <v>32874</v>
      </c>
      <c r="U858" s="5">
        <f t="shared" si="119"/>
        <v>1990</v>
      </c>
      <c r="V858" s="5" t="s">
        <v>3793</v>
      </c>
      <c r="W858" s="9">
        <f t="shared" si="120"/>
        <v>35</v>
      </c>
      <c r="X858" s="5" t="str">
        <f t="shared" si="123"/>
        <v>[35 - 39 ans ]</v>
      </c>
      <c r="Y858" s="5" t="str">
        <f t="shared" si="124"/>
        <v xml:space="preserve"> Mellenials </v>
      </c>
      <c r="Z858" s="9">
        <f t="shared" si="121"/>
        <v>25</v>
      </c>
      <c r="AA858" s="5" t="str">
        <f t="shared" si="125"/>
        <v>RAS</v>
      </c>
      <c r="AB858" s="5" t="s">
        <v>3828</v>
      </c>
      <c r="AC858" s="6" t="s">
        <v>3799</v>
      </c>
      <c r="AE858" s="5" t="s">
        <v>3844</v>
      </c>
      <c r="AF858" s="5" t="s">
        <v>4482</v>
      </c>
      <c r="AG858" s="5" t="s">
        <v>4485</v>
      </c>
      <c r="AH858" s="5" t="s">
        <v>4488</v>
      </c>
      <c r="AI858" s="5" t="s">
        <v>4186</v>
      </c>
      <c r="AJ858" s="5" t="s">
        <v>4187</v>
      </c>
      <c r="AK858" s="5" t="s">
        <v>4183</v>
      </c>
      <c r="AL858" s="5" t="s">
        <v>3858</v>
      </c>
    </row>
    <row r="859" spans="1:38" x14ac:dyDescent="0.3">
      <c r="A859" s="4">
        <v>45716</v>
      </c>
      <c r="B859" s="5" t="s">
        <v>3040</v>
      </c>
      <c r="C859" s="5" t="s">
        <v>3041</v>
      </c>
      <c r="D859" s="5" t="s">
        <v>3042</v>
      </c>
      <c r="E859" s="5" t="s">
        <v>4494</v>
      </c>
      <c r="F859" s="5" t="s">
        <v>4495</v>
      </c>
      <c r="G859" s="5" t="s">
        <v>78</v>
      </c>
      <c r="H859" s="5" t="s">
        <v>1980</v>
      </c>
      <c r="I859" s="5" t="s">
        <v>2312</v>
      </c>
      <c r="J859" s="5" t="s">
        <v>298</v>
      </c>
      <c r="K859" s="4">
        <v>43344</v>
      </c>
      <c r="L859" s="4">
        <v>43344</v>
      </c>
      <c r="M859" s="9">
        <f t="shared" si="117"/>
        <v>6</v>
      </c>
      <c r="N859" s="4" t="str">
        <f t="shared" si="118"/>
        <v>] 5 ; 8 ]</v>
      </c>
      <c r="O859" s="5" t="s">
        <v>3788</v>
      </c>
      <c r="P859" s="5" t="s">
        <v>3788</v>
      </c>
      <c r="Q859" s="5">
        <v>3</v>
      </c>
      <c r="R859" s="5" t="str">
        <f t="shared" si="122"/>
        <v>Qualification</v>
      </c>
      <c r="S859" s="5" t="s">
        <v>3790</v>
      </c>
      <c r="T859" s="4">
        <v>32088</v>
      </c>
      <c r="U859" s="5">
        <f t="shared" si="119"/>
        <v>1987</v>
      </c>
      <c r="V859" s="5" t="s">
        <v>3792</v>
      </c>
      <c r="W859" s="9">
        <f t="shared" si="120"/>
        <v>37</v>
      </c>
      <c r="X859" s="5" t="str">
        <f t="shared" si="123"/>
        <v>[35 - 39 ans ]</v>
      </c>
      <c r="Y859" s="5" t="str">
        <f t="shared" si="124"/>
        <v xml:space="preserve"> Mellenials </v>
      </c>
      <c r="Z859" s="9">
        <f t="shared" si="121"/>
        <v>23</v>
      </c>
      <c r="AA859" s="5" t="str">
        <f t="shared" si="125"/>
        <v>RAS</v>
      </c>
      <c r="AB859" s="5" t="s">
        <v>3808</v>
      </c>
      <c r="AC859" s="6" t="s">
        <v>3799</v>
      </c>
      <c r="AE859" s="5" t="s">
        <v>3844</v>
      </c>
      <c r="AF859" s="5" t="s">
        <v>4482</v>
      </c>
      <c r="AG859" s="5" t="s">
        <v>4485</v>
      </c>
      <c r="AH859" s="5" t="s">
        <v>4488</v>
      </c>
      <c r="AI859" s="5" t="s">
        <v>4381</v>
      </c>
      <c r="AJ859" s="5" t="s">
        <v>4382</v>
      </c>
      <c r="AK859" s="5" t="s">
        <v>3946</v>
      </c>
      <c r="AL859" s="5" t="s">
        <v>3858</v>
      </c>
    </row>
    <row r="860" spans="1:38" x14ac:dyDescent="0.3">
      <c r="A860" s="4">
        <v>45716</v>
      </c>
      <c r="B860" s="5" t="s">
        <v>3043</v>
      </c>
      <c r="C860" s="5" t="s">
        <v>3044</v>
      </c>
      <c r="D860" s="5" t="s">
        <v>3045</v>
      </c>
      <c r="E860" s="5" t="s">
        <v>4494</v>
      </c>
      <c r="G860" s="5" t="s">
        <v>39</v>
      </c>
      <c r="H860" s="5" t="s">
        <v>621</v>
      </c>
      <c r="I860" s="5" t="s">
        <v>1795</v>
      </c>
      <c r="J860" s="5" t="s">
        <v>52</v>
      </c>
      <c r="K860" s="4">
        <v>43344</v>
      </c>
      <c r="L860" s="4">
        <v>43344</v>
      </c>
      <c r="M860" s="9">
        <f t="shared" si="117"/>
        <v>6</v>
      </c>
      <c r="N860" s="4" t="str">
        <f t="shared" si="118"/>
        <v>] 5 ; 8 ]</v>
      </c>
      <c r="O860" s="5" t="s">
        <v>3780</v>
      </c>
      <c r="P860" s="5" t="s">
        <v>3780</v>
      </c>
      <c r="Q860" s="5">
        <v>1</v>
      </c>
      <c r="R860" s="5" t="str">
        <f t="shared" si="122"/>
        <v>Qualification</v>
      </c>
      <c r="S860" s="5" t="s">
        <v>3789</v>
      </c>
      <c r="T860" s="4">
        <v>29616</v>
      </c>
      <c r="U860" s="5">
        <f t="shared" si="119"/>
        <v>1981</v>
      </c>
      <c r="V860" s="5" t="s">
        <v>3792</v>
      </c>
      <c r="W860" s="9">
        <f t="shared" si="120"/>
        <v>44</v>
      </c>
      <c r="X860" s="5" t="str">
        <f t="shared" si="123"/>
        <v>[40 - 44 ans]</v>
      </c>
      <c r="Y860" s="5" t="str">
        <f t="shared" si="124"/>
        <v xml:space="preserve"> Mellenials </v>
      </c>
      <c r="Z860" s="9">
        <f t="shared" si="121"/>
        <v>16</v>
      </c>
      <c r="AA860" s="5" t="str">
        <f t="shared" si="125"/>
        <v>RAS</v>
      </c>
      <c r="AB860" s="5" t="s">
        <v>3807</v>
      </c>
      <c r="AC860" s="6" t="s">
        <v>3799</v>
      </c>
      <c r="AE860" s="5" t="s">
        <v>3844</v>
      </c>
      <c r="AF860" s="5" t="s">
        <v>4482</v>
      </c>
      <c r="AG860" s="5" t="s">
        <v>4485</v>
      </c>
      <c r="AH860" s="5" t="s">
        <v>4489</v>
      </c>
      <c r="AI860" s="5" t="s">
        <v>4146</v>
      </c>
      <c r="AJ860" s="5" t="s">
        <v>4147</v>
      </c>
      <c r="AK860" s="5" t="s">
        <v>4148</v>
      </c>
      <c r="AL860" s="5" t="s">
        <v>3858</v>
      </c>
    </row>
    <row r="861" spans="1:38" x14ac:dyDescent="0.3">
      <c r="A861" s="4">
        <v>45716</v>
      </c>
      <c r="B861" s="5" t="s">
        <v>3046</v>
      </c>
      <c r="C861" s="5" t="s">
        <v>3047</v>
      </c>
      <c r="D861" s="5" t="s">
        <v>3048</v>
      </c>
      <c r="E861" s="5" t="s">
        <v>4494</v>
      </c>
      <c r="G861" s="5" t="s">
        <v>78</v>
      </c>
      <c r="H861" s="5" t="s">
        <v>1980</v>
      </c>
      <c r="I861" s="5" t="s">
        <v>2312</v>
      </c>
      <c r="J861" s="5" t="s">
        <v>298</v>
      </c>
      <c r="K861" s="4">
        <v>43344</v>
      </c>
      <c r="L861" s="4">
        <v>43344</v>
      </c>
      <c r="M861" s="9">
        <f t="shared" si="117"/>
        <v>6</v>
      </c>
      <c r="N861" s="4" t="str">
        <f t="shared" si="118"/>
        <v>] 5 ; 8 ]</v>
      </c>
      <c r="O861" s="5" t="s">
        <v>3788</v>
      </c>
      <c r="P861" s="5" t="s">
        <v>3788</v>
      </c>
      <c r="Q861" s="5">
        <v>2</v>
      </c>
      <c r="R861" s="5" t="str">
        <f t="shared" si="122"/>
        <v>Qualification</v>
      </c>
      <c r="S861" s="5" t="s">
        <v>3790</v>
      </c>
      <c r="T861" s="4">
        <v>30776</v>
      </c>
      <c r="U861" s="5">
        <f t="shared" si="119"/>
        <v>1984</v>
      </c>
      <c r="V861" s="5" t="s">
        <v>3793</v>
      </c>
      <c r="W861" s="9">
        <f t="shared" si="120"/>
        <v>40</v>
      </c>
      <c r="X861" s="5" t="str">
        <f t="shared" si="123"/>
        <v>[40 - 44 ans]</v>
      </c>
      <c r="Y861" s="5" t="str">
        <f t="shared" si="124"/>
        <v xml:space="preserve"> Mellenials </v>
      </c>
      <c r="Z861" s="9">
        <f t="shared" si="121"/>
        <v>20</v>
      </c>
      <c r="AA861" s="5" t="str">
        <f t="shared" si="125"/>
        <v>RAS</v>
      </c>
      <c r="AB861" s="5" t="s">
        <v>3808</v>
      </c>
      <c r="AC861" s="6" t="s">
        <v>3799</v>
      </c>
      <c r="AE861" s="5" t="s">
        <v>3844</v>
      </c>
      <c r="AF861" s="5" t="s">
        <v>4482</v>
      </c>
      <c r="AG861" s="5" t="s">
        <v>4485</v>
      </c>
      <c r="AH861" s="5" t="s">
        <v>4488</v>
      </c>
      <c r="AI861" s="5" t="s">
        <v>4381</v>
      </c>
      <c r="AJ861" s="5" t="s">
        <v>4382</v>
      </c>
      <c r="AK861" s="5" t="s">
        <v>3946</v>
      </c>
      <c r="AL861" s="5" t="s">
        <v>3858</v>
      </c>
    </row>
    <row r="862" spans="1:38" x14ac:dyDescent="0.3">
      <c r="A862" s="4">
        <v>45716</v>
      </c>
      <c r="B862" s="5" t="s">
        <v>3049</v>
      </c>
      <c r="C862" s="5" t="s">
        <v>3050</v>
      </c>
      <c r="D862" s="5" t="s">
        <v>3051</v>
      </c>
      <c r="E862" s="5" t="s">
        <v>4494</v>
      </c>
      <c r="G862" s="5" t="s">
        <v>88</v>
      </c>
      <c r="H862" s="5" t="s">
        <v>456</v>
      </c>
      <c r="I862" s="5" t="s">
        <v>744</v>
      </c>
      <c r="J862" s="5" t="s">
        <v>883</v>
      </c>
      <c r="K862" s="4">
        <v>43344</v>
      </c>
      <c r="L862" s="4">
        <v>43344</v>
      </c>
      <c r="M862" s="9">
        <f t="shared" si="117"/>
        <v>6</v>
      </c>
      <c r="N862" s="4" t="str">
        <f t="shared" si="118"/>
        <v>] 5 ; 8 ]</v>
      </c>
      <c r="O862" s="5" t="s">
        <v>3780</v>
      </c>
      <c r="P862" s="5" t="s">
        <v>3780</v>
      </c>
      <c r="Q862" s="5">
        <v>1</v>
      </c>
      <c r="R862" s="5" t="str">
        <f t="shared" si="122"/>
        <v>Qualification</v>
      </c>
      <c r="S862" s="5" t="s">
        <v>3790</v>
      </c>
      <c r="T862" s="4">
        <v>31713</v>
      </c>
      <c r="U862" s="5">
        <f t="shared" si="119"/>
        <v>1986</v>
      </c>
      <c r="V862" s="5" t="s">
        <v>3793</v>
      </c>
      <c r="W862" s="9">
        <f t="shared" si="120"/>
        <v>38</v>
      </c>
      <c r="X862" s="5" t="str">
        <f t="shared" si="123"/>
        <v>[35 - 39 ans ]</v>
      </c>
      <c r="Y862" s="5" t="str">
        <f t="shared" si="124"/>
        <v xml:space="preserve"> Mellenials </v>
      </c>
      <c r="Z862" s="9">
        <f t="shared" si="121"/>
        <v>22</v>
      </c>
      <c r="AA862" s="5" t="str">
        <f t="shared" si="125"/>
        <v>RAS</v>
      </c>
      <c r="AB862" s="5" t="s">
        <v>3828</v>
      </c>
      <c r="AC862" s="6" t="s">
        <v>3799</v>
      </c>
      <c r="AE862" s="5" t="s">
        <v>3844</v>
      </c>
      <c r="AF862" s="5" t="s">
        <v>4482</v>
      </c>
      <c r="AG862" s="5" t="s">
        <v>4485</v>
      </c>
      <c r="AH862" s="5" t="s">
        <v>4488</v>
      </c>
      <c r="AI862" s="5" t="s">
        <v>4186</v>
      </c>
      <c r="AJ862" s="5" t="s">
        <v>4187</v>
      </c>
      <c r="AK862" s="5" t="s">
        <v>4183</v>
      </c>
      <c r="AL862" s="5" t="s">
        <v>3858</v>
      </c>
    </row>
    <row r="863" spans="1:38" x14ac:dyDescent="0.3">
      <c r="A863" s="4">
        <v>45716</v>
      </c>
      <c r="B863" s="5" t="s">
        <v>3052</v>
      </c>
      <c r="C863" s="5" t="s">
        <v>3053</v>
      </c>
      <c r="D863" s="5" t="s">
        <v>3054</v>
      </c>
      <c r="E863" s="5" t="s">
        <v>4494</v>
      </c>
      <c r="G863" s="5" t="s">
        <v>83</v>
      </c>
      <c r="H863" s="5" t="s">
        <v>3055</v>
      </c>
      <c r="I863" s="5" t="s">
        <v>1482</v>
      </c>
      <c r="J863" s="5" t="s">
        <v>1222</v>
      </c>
      <c r="K863" s="4">
        <v>43353</v>
      </c>
      <c r="L863" s="4">
        <v>43353</v>
      </c>
      <c r="M863" s="9">
        <f t="shared" si="117"/>
        <v>6</v>
      </c>
      <c r="N863" s="4" t="str">
        <f t="shared" si="118"/>
        <v>] 5 ; 8 ]</v>
      </c>
      <c r="O863" s="5" t="s">
        <v>3782</v>
      </c>
      <c r="P863" s="5" t="s">
        <v>3782</v>
      </c>
      <c r="Q863" s="5">
        <v>1</v>
      </c>
      <c r="R863" s="5" t="str">
        <f t="shared" si="122"/>
        <v>Management &amp; Expertise</v>
      </c>
      <c r="S863" s="5" t="s">
        <v>3789</v>
      </c>
      <c r="T863" s="4">
        <v>29192</v>
      </c>
      <c r="U863" s="5">
        <f t="shared" si="119"/>
        <v>1979</v>
      </c>
      <c r="V863" s="5" t="s">
        <v>3792</v>
      </c>
      <c r="W863" s="9">
        <f t="shared" si="120"/>
        <v>45</v>
      </c>
      <c r="X863" s="5" t="str">
        <f t="shared" si="123"/>
        <v>[45 - 49 ans]</v>
      </c>
      <c r="Y863" s="5" t="str">
        <f t="shared" si="124"/>
        <v xml:space="preserve"> Generation X </v>
      </c>
      <c r="Z863" s="9">
        <f t="shared" si="121"/>
        <v>15</v>
      </c>
      <c r="AA863" s="5" t="str">
        <f t="shared" si="125"/>
        <v>RAS</v>
      </c>
      <c r="AB863" s="5" t="s">
        <v>3807</v>
      </c>
      <c r="AC863" s="6" t="s">
        <v>3799</v>
      </c>
      <c r="AE863" s="5" t="s">
        <v>3844</v>
      </c>
      <c r="AF863" s="5" t="s">
        <v>4481</v>
      </c>
      <c r="AG863" s="5" t="s">
        <v>4485</v>
      </c>
      <c r="AH863" s="5" t="s">
        <v>4489</v>
      </c>
      <c r="AI863" s="5" t="s">
        <v>4297</v>
      </c>
      <c r="AJ863" s="5" t="s">
        <v>4298</v>
      </c>
      <c r="AK863" s="5" t="s">
        <v>4430</v>
      </c>
      <c r="AL863" s="5" t="s">
        <v>3858</v>
      </c>
    </row>
    <row r="864" spans="1:38" x14ac:dyDescent="0.3">
      <c r="A864" s="4">
        <v>45716</v>
      </c>
      <c r="B864" s="5" t="s">
        <v>3056</v>
      </c>
      <c r="C864" s="5" t="s">
        <v>3057</v>
      </c>
      <c r="D864" s="5" t="s">
        <v>3058</v>
      </c>
      <c r="E864" s="5" t="s">
        <v>4494</v>
      </c>
      <c r="G864" s="5" t="s">
        <v>243</v>
      </c>
      <c r="H864" s="5" t="s">
        <v>3059</v>
      </c>
      <c r="I864" s="5" t="s">
        <v>242</v>
      </c>
      <c r="J864" s="5" t="s">
        <v>1272</v>
      </c>
      <c r="K864" s="4">
        <v>43358</v>
      </c>
      <c r="L864" s="4">
        <v>43358</v>
      </c>
      <c r="M864" s="9">
        <f t="shared" si="117"/>
        <v>6</v>
      </c>
      <c r="N864" s="4" t="str">
        <f t="shared" si="118"/>
        <v>] 5 ; 8 ]</v>
      </c>
      <c r="O864" s="5" t="s">
        <v>3786</v>
      </c>
      <c r="P864" s="5" t="s">
        <v>3786</v>
      </c>
      <c r="Q864" s="5">
        <v>2</v>
      </c>
      <c r="R864" s="5" t="str">
        <f t="shared" si="122"/>
        <v>Specialisation</v>
      </c>
      <c r="S864" s="5" t="s">
        <v>3789</v>
      </c>
      <c r="T864" s="4">
        <v>32586</v>
      </c>
      <c r="U864" s="5">
        <f t="shared" si="119"/>
        <v>1989</v>
      </c>
      <c r="V864" s="5" t="s">
        <v>3792</v>
      </c>
      <c r="W864" s="9">
        <f t="shared" si="120"/>
        <v>35</v>
      </c>
      <c r="X864" s="5" t="str">
        <f t="shared" si="123"/>
        <v>[35 - 39 ans ]</v>
      </c>
      <c r="Y864" s="5" t="str">
        <f t="shared" si="124"/>
        <v xml:space="preserve"> Mellenials </v>
      </c>
      <c r="Z864" s="9">
        <f t="shared" si="121"/>
        <v>25</v>
      </c>
      <c r="AA864" s="5" t="str">
        <f t="shared" si="125"/>
        <v>RAS</v>
      </c>
      <c r="AB864" s="5" t="s">
        <v>3806</v>
      </c>
      <c r="AC864" s="6" t="s">
        <v>3799</v>
      </c>
      <c r="AE864" s="5" t="s">
        <v>3844</v>
      </c>
      <c r="AF864" s="5" t="s">
        <v>4482</v>
      </c>
      <c r="AG864" s="5" t="s">
        <v>4485</v>
      </c>
      <c r="AH864" s="5" t="s">
        <v>4487</v>
      </c>
      <c r="AI864" s="5" t="s">
        <v>3975</v>
      </c>
      <c r="AJ864" s="5" t="s">
        <v>3976</v>
      </c>
      <c r="AK864" s="5" t="s">
        <v>3977</v>
      </c>
      <c r="AL864" s="5" t="s">
        <v>3858</v>
      </c>
    </row>
    <row r="865" spans="1:38" x14ac:dyDescent="0.3">
      <c r="A865" s="4">
        <v>45716</v>
      </c>
      <c r="B865" s="5" t="s">
        <v>3060</v>
      </c>
      <c r="C865" s="5" t="s">
        <v>3061</v>
      </c>
      <c r="D865" s="5" t="s">
        <v>3062</v>
      </c>
      <c r="E865" s="5" t="s">
        <v>4494</v>
      </c>
      <c r="G865" s="5" t="s">
        <v>178</v>
      </c>
      <c r="H865" s="5" t="s">
        <v>3063</v>
      </c>
      <c r="I865" s="5" t="s">
        <v>201</v>
      </c>
      <c r="J865" s="5" t="s">
        <v>1368</v>
      </c>
      <c r="K865" s="4">
        <v>43374</v>
      </c>
      <c r="L865" s="4">
        <v>43374</v>
      </c>
      <c r="M865" s="9">
        <f t="shared" si="117"/>
        <v>6</v>
      </c>
      <c r="N865" s="4" t="str">
        <f t="shared" si="118"/>
        <v>] 5 ; 8 ]</v>
      </c>
      <c r="O865" s="5" t="s">
        <v>3782</v>
      </c>
      <c r="P865" s="5" t="s">
        <v>3782</v>
      </c>
      <c r="Q865" s="5">
        <v>1</v>
      </c>
      <c r="R865" s="5" t="str">
        <f t="shared" si="122"/>
        <v>Management &amp; Expertise</v>
      </c>
      <c r="S865" s="5" t="s">
        <v>3789</v>
      </c>
      <c r="T865" s="4">
        <v>32319</v>
      </c>
      <c r="U865" s="5">
        <f t="shared" si="119"/>
        <v>1988</v>
      </c>
      <c r="V865" s="5" t="s">
        <v>3793</v>
      </c>
      <c r="W865" s="9">
        <f t="shared" si="120"/>
        <v>36</v>
      </c>
      <c r="X865" s="5" t="str">
        <f t="shared" si="123"/>
        <v>[35 - 39 ans ]</v>
      </c>
      <c r="Y865" s="5" t="str">
        <f t="shared" si="124"/>
        <v xml:space="preserve"> Mellenials </v>
      </c>
      <c r="Z865" s="9">
        <f t="shared" si="121"/>
        <v>24</v>
      </c>
      <c r="AA865" s="5" t="str">
        <f t="shared" si="125"/>
        <v>RAS</v>
      </c>
      <c r="AB865" s="5" t="s">
        <v>3806</v>
      </c>
      <c r="AC865" s="6" t="s">
        <v>3799</v>
      </c>
      <c r="AE865" s="5" t="s">
        <v>3845</v>
      </c>
      <c r="AF865" s="5" t="s">
        <v>4481</v>
      </c>
      <c r="AG865" s="5" t="s">
        <v>4485</v>
      </c>
      <c r="AH865" s="5" t="s">
        <v>4488</v>
      </c>
      <c r="AI865" s="5" t="s">
        <v>4135</v>
      </c>
      <c r="AJ865" s="5" t="s">
        <v>4136</v>
      </c>
      <c r="AK865" s="5" t="s">
        <v>3962</v>
      </c>
      <c r="AL865" s="5" t="s">
        <v>3854</v>
      </c>
    </row>
    <row r="866" spans="1:38" x14ac:dyDescent="0.3">
      <c r="A866" s="4">
        <v>45716</v>
      </c>
      <c r="B866" s="5" t="s">
        <v>3064</v>
      </c>
      <c r="C866" s="5" t="s">
        <v>3065</v>
      </c>
      <c r="D866" s="5" t="s">
        <v>3066</v>
      </c>
      <c r="E866" s="5" t="s">
        <v>4494</v>
      </c>
      <c r="G866" s="5" t="s">
        <v>78</v>
      </c>
      <c r="H866" s="5" t="s">
        <v>1980</v>
      </c>
      <c r="I866" s="5" t="s">
        <v>2312</v>
      </c>
      <c r="J866" s="5" t="s">
        <v>298</v>
      </c>
      <c r="K866" s="4">
        <v>43374</v>
      </c>
      <c r="L866" s="4">
        <v>43374</v>
      </c>
      <c r="M866" s="9">
        <f t="shared" si="117"/>
        <v>6</v>
      </c>
      <c r="N866" s="4" t="str">
        <f t="shared" si="118"/>
        <v>] 5 ; 8 ]</v>
      </c>
      <c r="O866" s="5" t="s">
        <v>3788</v>
      </c>
      <c r="P866" s="5" t="s">
        <v>3788</v>
      </c>
      <c r="Q866" s="5">
        <v>3</v>
      </c>
      <c r="R866" s="5" t="str">
        <f t="shared" si="122"/>
        <v>Qualification</v>
      </c>
      <c r="S866" s="5" t="s">
        <v>3790</v>
      </c>
      <c r="T866" s="4">
        <v>28789</v>
      </c>
      <c r="U866" s="5">
        <f t="shared" si="119"/>
        <v>1978</v>
      </c>
      <c r="V866" s="5" t="s">
        <v>3794</v>
      </c>
      <c r="W866" s="9">
        <f t="shared" si="120"/>
        <v>46</v>
      </c>
      <c r="X866" s="5" t="str">
        <f t="shared" si="123"/>
        <v>[45 - 49 ans]</v>
      </c>
      <c r="Y866" s="5" t="str">
        <f t="shared" si="124"/>
        <v xml:space="preserve"> Generation X </v>
      </c>
      <c r="Z866" s="9">
        <f t="shared" si="121"/>
        <v>14</v>
      </c>
      <c r="AA866" s="5" t="str">
        <f t="shared" si="125"/>
        <v>RAS</v>
      </c>
      <c r="AB866" s="5" t="s">
        <v>3808</v>
      </c>
      <c r="AC866" s="6" t="s">
        <v>3799</v>
      </c>
      <c r="AE866" s="5" t="s">
        <v>3844</v>
      </c>
      <c r="AF866" s="5" t="s">
        <v>4482</v>
      </c>
      <c r="AG866" s="5" t="s">
        <v>4485</v>
      </c>
      <c r="AH866" s="5" t="s">
        <v>4488</v>
      </c>
      <c r="AI866" s="5" t="s">
        <v>4381</v>
      </c>
      <c r="AJ866" s="5" t="s">
        <v>4382</v>
      </c>
      <c r="AK866" s="5" t="s">
        <v>3946</v>
      </c>
      <c r="AL866" s="5" t="s">
        <v>3858</v>
      </c>
    </row>
    <row r="867" spans="1:38" x14ac:dyDescent="0.3">
      <c r="A867" s="4">
        <v>45716</v>
      </c>
      <c r="B867" s="5" t="s">
        <v>3067</v>
      </c>
      <c r="C867" s="5" t="s">
        <v>3068</v>
      </c>
      <c r="D867" s="5" t="s">
        <v>3069</v>
      </c>
      <c r="E867" s="5" t="s">
        <v>4494</v>
      </c>
      <c r="G867" s="5" t="s">
        <v>39</v>
      </c>
      <c r="H867" s="5" t="s">
        <v>621</v>
      </c>
      <c r="I867" s="5" t="s">
        <v>1795</v>
      </c>
      <c r="J867" s="5" t="s">
        <v>52</v>
      </c>
      <c r="K867" s="4">
        <v>43374</v>
      </c>
      <c r="L867" s="4">
        <v>43374</v>
      </c>
      <c r="M867" s="9">
        <f t="shared" si="117"/>
        <v>6</v>
      </c>
      <c r="N867" s="4" t="str">
        <f t="shared" si="118"/>
        <v>] 5 ; 8 ]</v>
      </c>
      <c r="O867" s="5" t="s">
        <v>3780</v>
      </c>
      <c r="P867" s="5" t="s">
        <v>3780</v>
      </c>
      <c r="Q867" s="5">
        <v>1</v>
      </c>
      <c r="R867" s="5" t="str">
        <f t="shared" si="122"/>
        <v>Qualification</v>
      </c>
      <c r="S867" s="5" t="s">
        <v>3789</v>
      </c>
      <c r="T867" s="4">
        <v>32278</v>
      </c>
      <c r="U867" s="5">
        <f t="shared" si="119"/>
        <v>1988</v>
      </c>
      <c r="V867" s="5" t="s">
        <v>3792</v>
      </c>
      <c r="W867" s="9">
        <f t="shared" si="120"/>
        <v>36</v>
      </c>
      <c r="X867" s="5" t="str">
        <f t="shared" si="123"/>
        <v>[35 - 39 ans ]</v>
      </c>
      <c r="Y867" s="5" t="str">
        <f t="shared" si="124"/>
        <v xml:space="preserve"> Mellenials </v>
      </c>
      <c r="Z867" s="9">
        <f t="shared" si="121"/>
        <v>24</v>
      </c>
      <c r="AA867" s="5" t="str">
        <f t="shared" si="125"/>
        <v>RAS</v>
      </c>
      <c r="AB867" s="5" t="s">
        <v>3807</v>
      </c>
      <c r="AC867" s="6" t="s">
        <v>3799</v>
      </c>
      <c r="AE867" s="5" t="s">
        <v>3844</v>
      </c>
      <c r="AF867" s="5" t="s">
        <v>4482</v>
      </c>
      <c r="AG867" s="5" t="s">
        <v>4485</v>
      </c>
      <c r="AH867" s="5" t="s">
        <v>4489</v>
      </c>
      <c r="AI867" s="5" t="s">
        <v>4146</v>
      </c>
      <c r="AJ867" s="5" t="s">
        <v>4147</v>
      </c>
      <c r="AK867" s="5" t="s">
        <v>4148</v>
      </c>
      <c r="AL867" s="5" t="s">
        <v>3858</v>
      </c>
    </row>
    <row r="868" spans="1:38" x14ac:dyDescent="0.3">
      <c r="A868" s="4">
        <v>45716</v>
      </c>
      <c r="B868" s="5" t="s">
        <v>3070</v>
      </c>
      <c r="C868" s="5" t="s">
        <v>3071</v>
      </c>
      <c r="D868" s="5" t="s">
        <v>3072</v>
      </c>
      <c r="E868" s="5" t="s">
        <v>4494</v>
      </c>
      <c r="G868" s="5" t="s">
        <v>78</v>
      </c>
      <c r="H868" s="5" t="s">
        <v>2430</v>
      </c>
      <c r="I868" s="5" t="s">
        <v>298</v>
      </c>
      <c r="J868" s="5" t="s">
        <v>169</v>
      </c>
      <c r="K868" s="4">
        <v>43374</v>
      </c>
      <c r="L868" s="4">
        <v>43374</v>
      </c>
      <c r="M868" s="9">
        <f t="shared" si="117"/>
        <v>6</v>
      </c>
      <c r="N868" s="4" t="str">
        <f t="shared" si="118"/>
        <v>] 5 ; 8 ]</v>
      </c>
      <c r="O868" s="5" t="s">
        <v>3781</v>
      </c>
      <c r="P868" s="5" t="s">
        <v>3781</v>
      </c>
      <c r="Q868" s="5">
        <v>3</v>
      </c>
      <c r="R868" s="5" t="str">
        <f t="shared" si="122"/>
        <v>Qualification</v>
      </c>
      <c r="S868" s="5" t="s">
        <v>3790</v>
      </c>
      <c r="T868" s="4">
        <v>30921</v>
      </c>
      <c r="U868" s="5">
        <f t="shared" si="119"/>
        <v>1984</v>
      </c>
      <c r="V868" s="5" t="s">
        <v>3793</v>
      </c>
      <c r="W868" s="9">
        <f t="shared" si="120"/>
        <v>40</v>
      </c>
      <c r="X868" s="5" t="str">
        <f t="shared" si="123"/>
        <v>[40 - 44 ans]</v>
      </c>
      <c r="Y868" s="5" t="str">
        <f t="shared" si="124"/>
        <v xml:space="preserve"> Mellenials </v>
      </c>
      <c r="Z868" s="9">
        <f t="shared" si="121"/>
        <v>20</v>
      </c>
      <c r="AA868" s="5" t="str">
        <f t="shared" si="125"/>
        <v>RAS</v>
      </c>
      <c r="AB868" s="5" t="s">
        <v>3808</v>
      </c>
      <c r="AC868" s="6" t="s">
        <v>3799</v>
      </c>
      <c r="AE868" s="5" t="s">
        <v>3844</v>
      </c>
      <c r="AF868" s="5" t="s">
        <v>4482</v>
      </c>
      <c r="AG868" s="5" t="s">
        <v>4485</v>
      </c>
      <c r="AH868" s="5" t="s">
        <v>4488</v>
      </c>
      <c r="AI868" s="5" t="s">
        <v>4414</v>
      </c>
      <c r="AJ868" s="5" t="s">
        <v>4415</v>
      </c>
      <c r="AK868" s="5" t="s">
        <v>4245</v>
      </c>
      <c r="AL868" s="5" t="s">
        <v>3858</v>
      </c>
    </row>
    <row r="869" spans="1:38" x14ac:dyDescent="0.3">
      <c r="A869" s="4">
        <v>45716</v>
      </c>
      <c r="B869" s="5" t="s">
        <v>3073</v>
      </c>
      <c r="C869" s="5" t="s">
        <v>3074</v>
      </c>
      <c r="D869" s="5" t="s">
        <v>3075</v>
      </c>
      <c r="E869" s="5" t="s">
        <v>4494</v>
      </c>
      <c r="G869" s="5" t="s">
        <v>78</v>
      </c>
      <c r="H869" s="5" t="s">
        <v>3076</v>
      </c>
      <c r="I869" s="5" t="s">
        <v>1518</v>
      </c>
      <c r="J869" s="5" t="s">
        <v>1518</v>
      </c>
      <c r="K869" s="4">
        <v>43374</v>
      </c>
      <c r="L869" s="4">
        <v>43374</v>
      </c>
      <c r="M869" s="9">
        <f t="shared" si="117"/>
        <v>6</v>
      </c>
      <c r="N869" s="4" t="str">
        <f t="shared" si="118"/>
        <v>] 5 ; 8 ]</v>
      </c>
      <c r="O869" s="5" t="s">
        <v>3788</v>
      </c>
      <c r="P869" s="5" t="s">
        <v>3788</v>
      </c>
      <c r="Q869" s="5">
        <v>2</v>
      </c>
      <c r="R869" s="5" t="str">
        <f t="shared" si="122"/>
        <v>Qualification</v>
      </c>
      <c r="S869" s="5" t="s">
        <v>3790</v>
      </c>
      <c r="T869" s="4">
        <v>28382</v>
      </c>
      <c r="U869" s="5">
        <f t="shared" si="119"/>
        <v>1977</v>
      </c>
      <c r="V869" s="5" t="s">
        <v>3792</v>
      </c>
      <c r="W869" s="9">
        <f t="shared" si="120"/>
        <v>47</v>
      </c>
      <c r="X869" s="5" t="str">
        <f t="shared" si="123"/>
        <v>[45 - 49 ans]</v>
      </c>
      <c r="Y869" s="5" t="str">
        <f t="shared" si="124"/>
        <v xml:space="preserve"> Generation X </v>
      </c>
      <c r="Z869" s="9">
        <f t="shared" si="121"/>
        <v>13</v>
      </c>
      <c r="AA869" s="5" t="str">
        <f t="shared" si="125"/>
        <v>RAS</v>
      </c>
      <c r="AB869" s="5" t="s">
        <v>3808</v>
      </c>
      <c r="AC869" s="6" t="s">
        <v>3799</v>
      </c>
      <c r="AE869" s="5" t="s">
        <v>3844</v>
      </c>
      <c r="AF869" s="5" t="s">
        <v>4482</v>
      </c>
      <c r="AG869" s="5" t="s">
        <v>4485</v>
      </c>
      <c r="AH869" s="5" t="s">
        <v>4488</v>
      </c>
      <c r="AI869" s="5" t="s">
        <v>4243</v>
      </c>
      <c r="AJ869" s="5" t="s">
        <v>4244</v>
      </c>
      <c r="AK869" s="5" t="s">
        <v>4090</v>
      </c>
      <c r="AL869" s="5" t="s">
        <v>3858</v>
      </c>
    </row>
    <row r="870" spans="1:38" x14ac:dyDescent="0.3">
      <c r="A870" s="4">
        <v>45716</v>
      </c>
      <c r="B870" s="5" t="s">
        <v>3077</v>
      </c>
      <c r="C870" s="5" t="s">
        <v>3078</v>
      </c>
      <c r="D870" s="5" t="s">
        <v>3079</v>
      </c>
      <c r="E870" s="5" t="s">
        <v>4494</v>
      </c>
      <c r="G870" s="5" t="s">
        <v>78</v>
      </c>
      <c r="H870" s="5" t="s">
        <v>1205</v>
      </c>
      <c r="I870" s="5" t="s">
        <v>1069</v>
      </c>
      <c r="J870" s="5" t="s">
        <v>298</v>
      </c>
      <c r="K870" s="4">
        <v>43374</v>
      </c>
      <c r="L870" s="4">
        <v>43374</v>
      </c>
      <c r="M870" s="9">
        <f t="shared" si="117"/>
        <v>6</v>
      </c>
      <c r="N870" s="4" t="str">
        <f t="shared" si="118"/>
        <v>] 5 ; 8 ]</v>
      </c>
      <c r="O870" s="5" t="s">
        <v>3788</v>
      </c>
      <c r="P870" s="5" t="s">
        <v>3788</v>
      </c>
      <c r="Q870" s="5">
        <v>3</v>
      </c>
      <c r="R870" s="5" t="str">
        <f t="shared" si="122"/>
        <v>Qualification</v>
      </c>
      <c r="S870" s="5" t="s">
        <v>3790</v>
      </c>
      <c r="T870" s="4">
        <v>32102</v>
      </c>
      <c r="U870" s="5">
        <f t="shared" si="119"/>
        <v>1987</v>
      </c>
      <c r="V870" s="5" t="s">
        <v>3793</v>
      </c>
      <c r="W870" s="9">
        <f t="shared" si="120"/>
        <v>37</v>
      </c>
      <c r="X870" s="5" t="str">
        <f t="shared" si="123"/>
        <v>[35 - 39 ans ]</v>
      </c>
      <c r="Y870" s="5" t="str">
        <f t="shared" si="124"/>
        <v xml:space="preserve"> Mellenials </v>
      </c>
      <c r="Z870" s="9">
        <f t="shared" si="121"/>
        <v>23</v>
      </c>
      <c r="AA870" s="5" t="str">
        <f t="shared" si="125"/>
        <v>RAS</v>
      </c>
      <c r="AB870" s="5" t="s">
        <v>3808</v>
      </c>
      <c r="AC870" s="6" t="s">
        <v>3799</v>
      </c>
      <c r="AE870" s="5" t="s">
        <v>3844</v>
      </c>
      <c r="AF870" s="5" t="s">
        <v>4482</v>
      </c>
      <c r="AG870" s="5" t="s">
        <v>4485</v>
      </c>
      <c r="AH870" s="5" t="s">
        <v>4488</v>
      </c>
      <c r="AI870" s="5" t="s">
        <v>4240</v>
      </c>
      <c r="AJ870" s="5" t="s">
        <v>4264</v>
      </c>
      <c r="AK870" s="5" t="s">
        <v>4090</v>
      </c>
      <c r="AL870" s="5" t="s">
        <v>3858</v>
      </c>
    </row>
    <row r="871" spans="1:38" x14ac:dyDescent="0.3">
      <c r="A871" s="4">
        <v>45716</v>
      </c>
      <c r="B871" s="5" t="s">
        <v>3080</v>
      </c>
      <c r="C871" s="5" t="s">
        <v>3081</v>
      </c>
      <c r="D871" s="5" t="s">
        <v>3082</v>
      </c>
      <c r="E871" s="5" t="s">
        <v>4494</v>
      </c>
      <c r="G871" s="5" t="s">
        <v>78</v>
      </c>
      <c r="H871" s="5" t="s">
        <v>2121</v>
      </c>
      <c r="I871" s="5" t="s">
        <v>2312</v>
      </c>
      <c r="J871" s="5" t="s">
        <v>298</v>
      </c>
      <c r="K871" s="4">
        <v>43405</v>
      </c>
      <c r="L871" s="4">
        <v>43405</v>
      </c>
      <c r="M871" s="9">
        <f t="shared" si="117"/>
        <v>6</v>
      </c>
      <c r="N871" s="4" t="str">
        <f t="shared" si="118"/>
        <v>] 5 ; 8 ]</v>
      </c>
      <c r="O871" s="5" t="s">
        <v>3788</v>
      </c>
      <c r="P871" s="5" t="s">
        <v>3788</v>
      </c>
      <c r="Q871" s="5">
        <v>2</v>
      </c>
      <c r="R871" s="5" t="str">
        <f t="shared" si="122"/>
        <v>Qualification</v>
      </c>
      <c r="S871" s="5" t="s">
        <v>3790</v>
      </c>
      <c r="T871" s="4">
        <v>32098</v>
      </c>
      <c r="U871" s="5">
        <f t="shared" si="119"/>
        <v>1987</v>
      </c>
      <c r="V871" s="5" t="s">
        <v>3793</v>
      </c>
      <c r="W871" s="9">
        <f t="shared" si="120"/>
        <v>37</v>
      </c>
      <c r="X871" s="5" t="str">
        <f t="shared" si="123"/>
        <v>[35 - 39 ans ]</v>
      </c>
      <c r="Y871" s="5" t="str">
        <f t="shared" si="124"/>
        <v xml:space="preserve"> Mellenials </v>
      </c>
      <c r="Z871" s="9">
        <f t="shared" si="121"/>
        <v>23</v>
      </c>
      <c r="AA871" s="5" t="str">
        <f t="shared" si="125"/>
        <v>RAS</v>
      </c>
      <c r="AB871" s="5" t="s">
        <v>3808</v>
      </c>
      <c r="AC871" s="6" t="s">
        <v>3799</v>
      </c>
      <c r="AE871" s="5" t="s">
        <v>3844</v>
      </c>
      <c r="AF871" s="5" t="s">
        <v>4482</v>
      </c>
      <c r="AG871" s="5" t="s">
        <v>4485</v>
      </c>
      <c r="AH871" s="5" t="s">
        <v>4488</v>
      </c>
      <c r="AI871" s="5" t="s">
        <v>4381</v>
      </c>
      <c r="AJ871" s="5" t="s">
        <v>4382</v>
      </c>
      <c r="AK871" s="5" t="s">
        <v>3946</v>
      </c>
      <c r="AL871" s="5" t="s">
        <v>3858</v>
      </c>
    </row>
    <row r="872" spans="1:38" x14ac:dyDescent="0.3">
      <c r="A872" s="4">
        <v>45716</v>
      </c>
      <c r="B872" s="5" t="s">
        <v>3083</v>
      </c>
      <c r="C872" s="5" t="s">
        <v>3084</v>
      </c>
      <c r="D872" s="5" t="s">
        <v>3085</v>
      </c>
      <c r="E872" s="5" t="s">
        <v>4494</v>
      </c>
      <c r="G872" s="5" t="s">
        <v>78</v>
      </c>
      <c r="H872" s="5" t="s">
        <v>2444</v>
      </c>
      <c r="I872" s="5" t="s">
        <v>590</v>
      </c>
      <c r="J872" s="5" t="s">
        <v>169</v>
      </c>
      <c r="K872" s="4">
        <v>43405</v>
      </c>
      <c r="L872" s="4">
        <v>43405</v>
      </c>
      <c r="M872" s="9">
        <f t="shared" si="117"/>
        <v>6</v>
      </c>
      <c r="N872" s="4" t="str">
        <f t="shared" si="118"/>
        <v>] 5 ; 8 ]</v>
      </c>
      <c r="O872" s="5" t="s">
        <v>3788</v>
      </c>
      <c r="P872" s="5" t="s">
        <v>3788</v>
      </c>
      <c r="Q872" s="5">
        <v>2</v>
      </c>
      <c r="R872" s="5" t="str">
        <f t="shared" si="122"/>
        <v>Qualification</v>
      </c>
      <c r="S872" s="5" t="s">
        <v>3790</v>
      </c>
      <c r="T872" s="4">
        <v>31499</v>
      </c>
      <c r="U872" s="5">
        <f t="shared" si="119"/>
        <v>1986</v>
      </c>
      <c r="V872" s="5" t="s">
        <v>3793</v>
      </c>
      <c r="W872" s="9">
        <f t="shared" si="120"/>
        <v>38</v>
      </c>
      <c r="X872" s="5" t="str">
        <f t="shared" si="123"/>
        <v>[35 - 39 ans ]</v>
      </c>
      <c r="Y872" s="5" t="str">
        <f t="shared" si="124"/>
        <v xml:space="preserve"> Mellenials </v>
      </c>
      <c r="Z872" s="9">
        <f t="shared" si="121"/>
        <v>22</v>
      </c>
      <c r="AA872" s="5" t="str">
        <f t="shared" si="125"/>
        <v>RAS</v>
      </c>
      <c r="AB872" s="5" t="s">
        <v>3808</v>
      </c>
      <c r="AC872" s="6" t="s">
        <v>3799</v>
      </c>
      <c r="AE872" s="5" t="s">
        <v>3844</v>
      </c>
      <c r="AF872" s="5" t="s">
        <v>4482</v>
      </c>
      <c r="AG872" s="5" t="s">
        <v>4485</v>
      </c>
      <c r="AH872" s="5" t="s">
        <v>4488</v>
      </c>
      <c r="AI872" s="5" t="s">
        <v>4138</v>
      </c>
      <c r="AJ872" s="5" t="s">
        <v>4139</v>
      </c>
      <c r="AK872" s="5" t="s">
        <v>4090</v>
      </c>
      <c r="AL872" s="5" t="s">
        <v>3858</v>
      </c>
    </row>
    <row r="873" spans="1:38" x14ac:dyDescent="0.3">
      <c r="A873" s="4">
        <v>45716</v>
      </c>
      <c r="B873" s="5" t="s">
        <v>3086</v>
      </c>
      <c r="C873" s="5" t="s">
        <v>3087</v>
      </c>
      <c r="D873" s="5" t="s">
        <v>3088</v>
      </c>
      <c r="E873" s="5" t="s">
        <v>4494</v>
      </c>
      <c r="G873" s="5" t="s">
        <v>78</v>
      </c>
      <c r="H873" s="5" t="s">
        <v>1205</v>
      </c>
      <c r="I873" s="5" t="s">
        <v>1069</v>
      </c>
      <c r="J873" s="5" t="s">
        <v>298</v>
      </c>
      <c r="K873" s="4">
        <v>43405</v>
      </c>
      <c r="L873" s="4">
        <v>43405</v>
      </c>
      <c r="M873" s="9">
        <f t="shared" si="117"/>
        <v>6</v>
      </c>
      <c r="N873" s="4" t="str">
        <f t="shared" si="118"/>
        <v>] 5 ; 8 ]</v>
      </c>
      <c r="O873" s="5" t="s">
        <v>3788</v>
      </c>
      <c r="P873" s="5" t="s">
        <v>3788</v>
      </c>
      <c r="Q873" s="5">
        <v>2</v>
      </c>
      <c r="R873" s="5" t="str">
        <f t="shared" si="122"/>
        <v>Qualification</v>
      </c>
      <c r="S873" s="5" t="s">
        <v>3789</v>
      </c>
      <c r="T873" s="4">
        <v>31278</v>
      </c>
      <c r="U873" s="5">
        <f t="shared" si="119"/>
        <v>1985</v>
      </c>
      <c r="V873" s="5" t="s">
        <v>3793</v>
      </c>
      <c r="W873" s="9">
        <f t="shared" si="120"/>
        <v>39</v>
      </c>
      <c r="X873" s="5" t="str">
        <f t="shared" si="123"/>
        <v>[35 - 39 ans ]</v>
      </c>
      <c r="Y873" s="5" t="str">
        <f t="shared" si="124"/>
        <v xml:space="preserve"> Mellenials </v>
      </c>
      <c r="Z873" s="9">
        <f t="shared" si="121"/>
        <v>21</v>
      </c>
      <c r="AA873" s="5" t="str">
        <f t="shared" si="125"/>
        <v>RAS</v>
      </c>
      <c r="AB873" s="5" t="s">
        <v>3808</v>
      </c>
      <c r="AC873" s="6" t="s">
        <v>3799</v>
      </c>
      <c r="AE873" s="5" t="s">
        <v>3844</v>
      </c>
      <c r="AF873" s="5" t="s">
        <v>4482</v>
      </c>
      <c r="AG873" s="5" t="s">
        <v>4485</v>
      </c>
      <c r="AH873" s="5" t="s">
        <v>4488</v>
      </c>
      <c r="AI873" s="5" t="s">
        <v>4240</v>
      </c>
      <c r="AJ873" s="5" t="s">
        <v>4264</v>
      </c>
      <c r="AK873" s="5" t="s">
        <v>4090</v>
      </c>
      <c r="AL873" s="5" t="s">
        <v>3858</v>
      </c>
    </row>
    <row r="874" spans="1:38" x14ac:dyDescent="0.3">
      <c r="A874" s="4">
        <v>45716</v>
      </c>
      <c r="B874" s="5" t="s">
        <v>3089</v>
      </c>
      <c r="C874" s="5" t="s">
        <v>3090</v>
      </c>
      <c r="D874" s="5" t="s">
        <v>3091</v>
      </c>
      <c r="E874" s="5" t="s">
        <v>4494</v>
      </c>
      <c r="G874" s="5" t="s">
        <v>39</v>
      </c>
      <c r="H874" s="5" t="s">
        <v>463</v>
      </c>
      <c r="I874" s="5" t="s">
        <v>1268</v>
      </c>
      <c r="J874" s="5" t="s">
        <v>52</v>
      </c>
      <c r="K874" s="4">
        <v>43405</v>
      </c>
      <c r="L874" s="4">
        <v>43405</v>
      </c>
      <c r="M874" s="9">
        <f t="shared" si="117"/>
        <v>6</v>
      </c>
      <c r="N874" s="4" t="str">
        <f t="shared" si="118"/>
        <v>] 5 ; 8 ]</v>
      </c>
      <c r="O874" s="5" t="s">
        <v>3786</v>
      </c>
      <c r="P874" s="5" t="s">
        <v>3786</v>
      </c>
      <c r="Q874" s="5">
        <v>1</v>
      </c>
      <c r="R874" s="5" t="str">
        <f t="shared" si="122"/>
        <v>Specialisation</v>
      </c>
      <c r="S874" s="5" t="s">
        <v>3789</v>
      </c>
      <c r="T874" s="4">
        <v>29413</v>
      </c>
      <c r="U874" s="5">
        <f t="shared" si="119"/>
        <v>1980</v>
      </c>
      <c r="V874" s="5" t="s">
        <v>3793</v>
      </c>
      <c r="W874" s="9">
        <f t="shared" si="120"/>
        <v>44</v>
      </c>
      <c r="X874" s="5" t="str">
        <f t="shared" si="123"/>
        <v>[40 - 44 ans]</v>
      </c>
      <c r="Y874" s="5" t="str">
        <f t="shared" si="124"/>
        <v xml:space="preserve"> Generation X </v>
      </c>
      <c r="Z874" s="9">
        <f t="shared" si="121"/>
        <v>16</v>
      </c>
      <c r="AA874" s="5" t="str">
        <f t="shared" si="125"/>
        <v>RAS</v>
      </c>
      <c r="AB874" s="5" t="s">
        <v>3807</v>
      </c>
      <c r="AC874" s="6" t="s">
        <v>3799</v>
      </c>
      <c r="AE874" s="5" t="s">
        <v>3844</v>
      </c>
      <c r="AF874" s="5" t="s">
        <v>4482</v>
      </c>
      <c r="AG874" s="5" t="s">
        <v>4485</v>
      </c>
      <c r="AH874" s="5" t="s">
        <v>4489</v>
      </c>
      <c r="AI874" s="5" t="s">
        <v>4013</v>
      </c>
      <c r="AJ874" s="5" t="s">
        <v>4014</v>
      </c>
      <c r="AK874" s="5" t="s">
        <v>4015</v>
      </c>
      <c r="AL874" s="5" t="s">
        <v>3858</v>
      </c>
    </row>
    <row r="875" spans="1:38" x14ac:dyDescent="0.3">
      <c r="A875" s="4">
        <v>45716</v>
      </c>
      <c r="B875" s="5" t="s">
        <v>3092</v>
      </c>
      <c r="C875" s="5" t="s">
        <v>3093</v>
      </c>
      <c r="D875" s="5" t="s">
        <v>3094</v>
      </c>
      <c r="E875" s="5" t="s">
        <v>4494</v>
      </c>
      <c r="G875" s="5" t="s">
        <v>178</v>
      </c>
      <c r="H875" s="5" t="s">
        <v>3095</v>
      </c>
      <c r="I875" s="5" t="s">
        <v>982</v>
      </c>
      <c r="J875" s="5" t="s">
        <v>435</v>
      </c>
      <c r="K875" s="4">
        <v>43416</v>
      </c>
      <c r="L875" s="4">
        <v>43416</v>
      </c>
      <c r="M875" s="9">
        <f t="shared" si="117"/>
        <v>6</v>
      </c>
      <c r="N875" s="4" t="str">
        <f t="shared" si="118"/>
        <v>] 5 ; 8 ]</v>
      </c>
      <c r="O875" s="5" t="s">
        <v>3783</v>
      </c>
      <c r="P875" s="5" t="s">
        <v>3783</v>
      </c>
      <c r="Q875" s="5">
        <v>1</v>
      </c>
      <c r="R875" s="5" t="str">
        <f t="shared" si="122"/>
        <v>Specialisation</v>
      </c>
      <c r="S875" s="5" t="s">
        <v>3790</v>
      </c>
      <c r="T875" s="4">
        <v>32134</v>
      </c>
      <c r="U875" s="5">
        <f t="shared" si="119"/>
        <v>1987</v>
      </c>
      <c r="V875" s="5" t="s">
        <v>3793</v>
      </c>
      <c r="W875" s="9">
        <f t="shared" si="120"/>
        <v>37</v>
      </c>
      <c r="X875" s="5" t="str">
        <f t="shared" si="123"/>
        <v>[35 - 39 ans ]</v>
      </c>
      <c r="Y875" s="5" t="str">
        <f t="shared" si="124"/>
        <v xml:space="preserve"> Mellenials </v>
      </c>
      <c r="Z875" s="9">
        <f t="shared" si="121"/>
        <v>23</v>
      </c>
      <c r="AA875" s="5" t="str">
        <f t="shared" si="125"/>
        <v>RAS</v>
      </c>
      <c r="AB875" s="5" t="s">
        <v>3806</v>
      </c>
      <c r="AC875" s="6" t="s">
        <v>3799</v>
      </c>
      <c r="AE875" s="5" t="s">
        <v>3844</v>
      </c>
      <c r="AF875" s="5" t="s">
        <v>4482</v>
      </c>
      <c r="AG875" s="5" t="s">
        <v>4485</v>
      </c>
      <c r="AH875" s="5" t="s">
        <v>4488</v>
      </c>
      <c r="AI875" s="5" t="s">
        <v>4209</v>
      </c>
      <c r="AJ875" s="5" t="s">
        <v>4450</v>
      </c>
      <c r="AK875" s="5" t="s">
        <v>3962</v>
      </c>
      <c r="AL875" s="5" t="s">
        <v>3858</v>
      </c>
    </row>
    <row r="876" spans="1:38" x14ac:dyDescent="0.3">
      <c r="A876" s="4">
        <v>45716</v>
      </c>
      <c r="B876" s="5" t="s">
        <v>3096</v>
      </c>
      <c r="C876" s="5" t="s">
        <v>3097</v>
      </c>
      <c r="D876" s="5" t="s">
        <v>3098</v>
      </c>
      <c r="E876" s="5" t="s">
        <v>4494</v>
      </c>
      <c r="G876" s="5" t="s">
        <v>39</v>
      </c>
      <c r="H876" s="5" t="s">
        <v>967</v>
      </c>
      <c r="I876" s="5" t="s">
        <v>397</v>
      </c>
      <c r="J876" s="5" t="s">
        <v>1899</v>
      </c>
      <c r="K876" s="4">
        <v>43437</v>
      </c>
      <c r="L876" s="4">
        <v>43437</v>
      </c>
      <c r="M876" s="9">
        <f t="shared" si="117"/>
        <v>6</v>
      </c>
      <c r="N876" s="4" t="str">
        <f t="shared" si="118"/>
        <v>] 5 ; 8 ]</v>
      </c>
      <c r="O876" s="5" t="s">
        <v>3785</v>
      </c>
      <c r="P876" s="5" t="s">
        <v>3785</v>
      </c>
      <c r="Q876" s="5">
        <v>2</v>
      </c>
      <c r="R876" s="5" t="str">
        <f t="shared" si="122"/>
        <v>Specialisation</v>
      </c>
      <c r="S876" s="5" t="s">
        <v>3789</v>
      </c>
      <c r="T876" s="4">
        <v>33525</v>
      </c>
      <c r="U876" s="5">
        <f t="shared" si="119"/>
        <v>1991</v>
      </c>
      <c r="V876" s="5" t="s">
        <v>3792</v>
      </c>
      <c r="W876" s="9">
        <f t="shared" si="120"/>
        <v>33</v>
      </c>
      <c r="X876" s="5" t="str">
        <f t="shared" si="123"/>
        <v>[30 - 34 ans]</v>
      </c>
      <c r="Y876" s="5" t="str">
        <f t="shared" si="124"/>
        <v xml:space="preserve"> Mellenials </v>
      </c>
      <c r="Z876" s="9">
        <f t="shared" si="121"/>
        <v>27</v>
      </c>
      <c r="AA876" s="5" t="str">
        <f t="shared" si="125"/>
        <v>RAS</v>
      </c>
      <c r="AB876" s="5" t="s">
        <v>3807</v>
      </c>
      <c r="AC876" s="6" t="s">
        <v>3799</v>
      </c>
      <c r="AE876" s="5" t="s">
        <v>3844</v>
      </c>
      <c r="AF876" s="5" t="s">
        <v>4481</v>
      </c>
      <c r="AG876" s="5" t="s">
        <v>4485</v>
      </c>
      <c r="AH876" s="5" t="s">
        <v>4489</v>
      </c>
      <c r="AI876" s="5" t="s">
        <v>4224</v>
      </c>
      <c r="AJ876" s="5" t="s">
        <v>4451</v>
      </c>
      <c r="AK876" s="5" t="s">
        <v>4030</v>
      </c>
      <c r="AL876" s="5" t="s">
        <v>3858</v>
      </c>
    </row>
    <row r="877" spans="1:38" x14ac:dyDescent="0.3">
      <c r="A877" s="4">
        <v>45716</v>
      </c>
      <c r="B877" s="5" t="s">
        <v>3099</v>
      </c>
      <c r="C877" s="5" t="s">
        <v>3100</v>
      </c>
      <c r="D877" s="5" t="s">
        <v>3101</v>
      </c>
      <c r="E877" s="5" t="s">
        <v>4494</v>
      </c>
      <c r="G877" s="5" t="s">
        <v>39</v>
      </c>
      <c r="H877" s="5" t="s">
        <v>3102</v>
      </c>
      <c r="I877" s="5" t="s">
        <v>1425</v>
      </c>
      <c r="J877" s="5" t="s">
        <v>153</v>
      </c>
      <c r="K877" s="4">
        <v>43440</v>
      </c>
      <c r="L877" s="4">
        <v>43440</v>
      </c>
      <c r="M877" s="9">
        <f t="shared" si="117"/>
        <v>6</v>
      </c>
      <c r="N877" s="4" t="str">
        <f t="shared" si="118"/>
        <v>] 5 ; 8 ]</v>
      </c>
      <c r="O877" s="5" t="s">
        <v>3782</v>
      </c>
      <c r="P877" s="5" t="s">
        <v>3782</v>
      </c>
      <c r="Q877" s="5">
        <v>1</v>
      </c>
      <c r="R877" s="5" t="str">
        <f t="shared" si="122"/>
        <v>Management &amp; Expertise</v>
      </c>
      <c r="S877" s="5" t="s">
        <v>3790</v>
      </c>
      <c r="T877" s="4">
        <v>34195</v>
      </c>
      <c r="U877" s="5">
        <f t="shared" si="119"/>
        <v>1993</v>
      </c>
      <c r="V877" s="5" t="s">
        <v>3792</v>
      </c>
      <c r="W877" s="9">
        <f t="shared" si="120"/>
        <v>31</v>
      </c>
      <c r="X877" s="5" t="str">
        <f t="shared" si="123"/>
        <v>[30 - 34 ans]</v>
      </c>
      <c r="Y877" s="5" t="str">
        <f t="shared" si="124"/>
        <v xml:space="preserve"> Mellenials </v>
      </c>
      <c r="Z877" s="9">
        <f t="shared" si="121"/>
        <v>29</v>
      </c>
      <c r="AA877" s="5" t="str">
        <f t="shared" si="125"/>
        <v>RAS</v>
      </c>
      <c r="AB877" s="5" t="s">
        <v>3807</v>
      </c>
      <c r="AC877" s="6" t="s">
        <v>3799</v>
      </c>
      <c r="AE877" s="5" t="s">
        <v>3844</v>
      </c>
      <c r="AF877" s="5" t="s">
        <v>4481</v>
      </c>
      <c r="AG877" s="5" t="s">
        <v>4485</v>
      </c>
      <c r="AH877" s="5" t="s">
        <v>4489</v>
      </c>
      <c r="AI877" s="5" t="s">
        <v>4304</v>
      </c>
      <c r="AJ877" s="5" t="s">
        <v>4305</v>
      </c>
      <c r="AK877" s="5" t="s">
        <v>4306</v>
      </c>
      <c r="AL877" s="5" t="s">
        <v>3858</v>
      </c>
    </row>
    <row r="878" spans="1:38" x14ac:dyDescent="0.3">
      <c r="A878" s="4">
        <v>45716</v>
      </c>
      <c r="B878" s="5" t="s">
        <v>3103</v>
      </c>
      <c r="C878" s="5" t="s">
        <v>3104</v>
      </c>
      <c r="D878" s="5" t="s">
        <v>3105</v>
      </c>
      <c r="E878" s="5" t="s">
        <v>4494</v>
      </c>
      <c r="G878" s="5" t="s">
        <v>39</v>
      </c>
      <c r="H878" s="5" t="s">
        <v>2633</v>
      </c>
      <c r="I878" s="5" t="s">
        <v>1451</v>
      </c>
      <c r="J878" s="5" t="s">
        <v>1372</v>
      </c>
      <c r="K878" s="4">
        <v>43449</v>
      </c>
      <c r="L878" s="4">
        <v>43449</v>
      </c>
      <c r="M878" s="9">
        <f t="shared" si="117"/>
        <v>6</v>
      </c>
      <c r="N878" s="4" t="str">
        <f t="shared" si="118"/>
        <v>] 5 ; 8 ]</v>
      </c>
      <c r="O878" s="5" t="s">
        <v>3782</v>
      </c>
      <c r="P878" s="5" t="s">
        <v>3782</v>
      </c>
      <c r="Q878" s="5">
        <v>1</v>
      </c>
      <c r="R878" s="5" t="str">
        <f t="shared" si="122"/>
        <v>Management &amp; Expertise</v>
      </c>
      <c r="S878" s="5" t="s">
        <v>3789</v>
      </c>
      <c r="T878" s="4">
        <v>30796</v>
      </c>
      <c r="U878" s="5">
        <f t="shared" si="119"/>
        <v>1984</v>
      </c>
      <c r="V878" s="5" t="s">
        <v>3792</v>
      </c>
      <c r="W878" s="9">
        <f t="shared" si="120"/>
        <v>40</v>
      </c>
      <c r="X878" s="5" t="str">
        <f t="shared" si="123"/>
        <v>[40 - 44 ans]</v>
      </c>
      <c r="Y878" s="5" t="str">
        <f t="shared" si="124"/>
        <v xml:space="preserve"> Mellenials </v>
      </c>
      <c r="Z878" s="9">
        <f t="shared" si="121"/>
        <v>20</v>
      </c>
      <c r="AA878" s="5" t="str">
        <f t="shared" si="125"/>
        <v>RAS</v>
      </c>
      <c r="AB878" s="5" t="s">
        <v>3805</v>
      </c>
      <c r="AC878" s="6" t="s">
        <v>3799</v>
      </c>
      <c r="AE878" s="5" t="s">
        <v>3844</v>
      </c>
      <c r="AF878" s="5" t="s">
        <v>4481</v>
      </c>
      <c r="AG878" s="5" t="s">
        <v>4485</v>
      </c>
      <c r="AH878" s="5" t="s">
        <v>4489</v>
      </c>
      <c r="AI878" s="5" t="s">
        <v>3957</v>
      </c>
      <c r="AJ878" s="5" t="s">
        <v>3958</v>
      </c>
      <c r="AK878" s="5" t="s">
        <v>3959</v>
      </c>
      <c r="AL878" s="5" t="s">
        <v>3858</v>
      </c>
    </row>
    <row r="879" spans="1:38" x14ac:dyDescent="0.3">
      <c r="A879" s="4">
        <v>45716</v>
      </c>
      <c r="B879" s="5" t="s">
        <v>3106</v>
      </c>
      <c r="C879" s="5" t="s">
        <v>3107</v>
      </c>
      <c r="D879" s="5" t="s">
        <v>3108</v>
      </c>
      <c r="E879" s="5" t="s">
        <v>4494</v>
      </c>
      <c r="G879" s="5" t="s">
        <v>243</v>
      </c>
      <c r="H879" s="5" t="s">
        <v>3109</v>
      </c>
      <c r="I879" s="5" t="s">
        <v>1502</v>
      </c>
      <c r="J879" s="5" t="s">
        <v>1272</v>
      </c>
      <c r="K879" s="4">
        <v>43444</v>
      </c>
      <c r="L879" s="4">
        <v>39566</v>
      </c>
      <c r="M879" s="9">
        <f t="shared" si="117"/>
        <v>16</v>
      </c>
      <c r="N879" s="4" t="str">
        <f t="shared" si="118"/>
        <v>] 15 ; +oo [</v>
      </c>
      <c r="O879" s="5" t="s">
        <v>3785</v>
      </c>
      <c r="P879" s="5" t="s">
        <v>3785</v>
      </c>
      <c r="Q879" s="5">
        <v>1</v>
      </c>
      <c r="R879" s="5" t="str">
        <f t="shared" si="122"/>
        <v>Specialisation</v>
      </c>
      <c r="S879" s="5" t="s">
        <v>3790</v>
      </c>
      <c r="T879" s="4">
        <v>31812</v>
      </c>
      <c r="U879" s="5">
        <f t="shared" si="119"/>
        <v>1987</v>
      </c>
      <c r="V879" s="5" t="s">
        <v>3792</v>
      </c>
      <c r="W879" s="9">
        <f t="shared" si="120"/>
        <v>38</v>
      </c>
      <c r="X879" s="5" t="str">
        <f t="shared" si="123"/>
        <v>[35 - 39 ans ]</v>
      </c>
      <c r="Y879" s="5" t="str">
        <f t="shared" si="124"/>
        <v xml:space="preserve"> Mellenials </v>
      </c>
      <c r="Z879" s="9">
        <f t="shared" si="121"/>
        <v>22</v>
      </c>
      <c r="AA879" s="5" t="str">
        <f t="shared" si="125"/>
        <v>RAS</v>
      </c>
      <c r="AB879" s="5" t="s">
        <v>3806</v>
      </c>
      <c r="AC879" s="6" t="s">
        <v>3799</v>
      </c>
      <c r="AE879" s="5" t="s">
        <v>3844</v>
      </c>
      <c r="AF879" s="5" t="s">
        <v>4481</v>
      </c>
      <c r="AG879" s="5" t="s">
        <v>4485</v>
      </c>
      <c r="AH879" s="5" t="s">
        <v>4487</v>
      </c>
      <c r="AI879" s="5" t="s">
        <v>4320</v>
      </c>
      <c r="AJ879" s="5" t="s">
        <v>4321</v>
      </c>
      <c r="AK879" s="5" t="s">
        <v>3977</v>
      </c>
      <c r="AL879" s="5" t="s">
        <v>3858</v>
      </c>
    </row>
    <row r="880" spans="1:38" x14ac:dyDescent="0.3">
      <c r="A880" s="4">
        <v>45716</v>
      </c>
      <c r="B880" s="5" t="s">
        <v>3110</v>
      </c>
      <c r="C880" s="5" t="s">
        <v>3111</v>
      </c>
      <c r="D880" s="5" t="s">
        <v>3112</v>
      </c>
      <c r="E880" s="5" t="s">
        <v>4494</v>
      </c>
      <c r="G880" s="5" t="s">
        <v>83</v>
      </c>
      <c r="H880" s="5" t="s">
        <v>1438</v>
      </c>
      <c r="I880" s="5" t="s">
        <v>970</v>
      </c>
      <c r="J880" s="5" t="s">
        <v>1222</v>
      </c>
      <c r="K880" s="4">
        <v>43453</v>
      </c>
      <c r="L880" s="4">
        <v>43453</v>
      </c>
      <c r="M880" s="9">
        <f t="shared" si="117"/>
        <v>6</v>
      </c>
      <c r="N880" s="4" t="str">
        <f t="shared" si="118"/>
        <v>] 5 ; 8 ]</v>
      </c>
      <c r="O880" s="5" t="s">
        <v>3783</v>
      </c>
      <c r="P880" s="5" t="s">
        <v>3783</v>
      </c>
      <c r="Q880" s="5">
        <v>2</v>
      </c>
      <c r="R880" s="5" t="str">
        <f t="shared" si="122"/>
        <v>Specialisation</v>
      </c>
      <c r="S880" s="5" t="s">
        <v>3789</v>
      </c>
      <c r="T880" s="4">
        <v>33463</v>
      </c>
      <c r="U880" s="5">
        <f t="shared" si="119"/>
        <v>1991</v>
      </c>
      <c r="V880" s="5" t="s">
        <v>3792</v>
      </c>
      <c r="W880" s="9">
        <f t="shared" si="120"/>
        <v>33</v>
      </c>
      <c r="X880" s="5" t="str">
        <f t="shared" si="123"/>
        <v>[30 - 34 ans]</v>
      </c>
      <c r="Y880" s="5" t="str">
        <f t="shared" si="124"/>
        <v xml:space="preserve"> Mellenials </v>
      </c>
      <c r="Z880" s="9">
        <f t="shared" si="121"/>
        <v>27</v>
      </c>
      <c r="AA880" s="5" t="str">
        <f t="shared" si="125"/>
        <v>RAS</v>
      </c>
      <c r="AB880" s="5" t="s">
        <v>3807</v>
      </c>
      <c r="AC880" s="6" t="s">
        <v>3799</v>
      </c>
      <c r="AE880" s="5" t="s">
        <v>3844</v>
      </c>
      <c r="AF880" s="5" t="s">
        <v>4482</v>
      </c>
      <c r="AG880" s="5" t="s">
        <v>4485</v>
      </c>
      <c r="AH880" s="5" t="s">
        <v>4489</v>
      </c>
      <c r="AI880" s="5" t="s">
        <v>4225</v>
      </c>
      <c r="AJ880" s="5" t="s">
        <v>4397</v>
      </c>
      <c r="AK880" s="5" t="s">
        <v>4226</v>
      </c>
      <c r="AL880" s="5" t="s">
        <v>3858</v>
      </c>
    </row>
    <row r="881" spans="1:38" x14ac:dyDescent="0.3">
      <c r="A881" s="4">
        <v>45716</v>
      </c>
      <c r="B881" s="5" t="s">
        <v>3113</v>
      </c>
      <c r="C881" s="5" t="s">
        <v>3114</v>
      </c>
      <c r="D881" s="5" t="s">
        <v>3115</v>
      </c>
      <c r="E881" s="5" t="s">
        <v>4494</v>
      </c>
      <c r="G881" s="5" t="s">
        <v>137</v>
      </c>
      <c r="H881" s="5" t="s">
        <v>3116</v>
      </c>
      <c r="I881" s="5" t="s">
        <v>263</v>
      </c>
      <c r="J881" s="5" t="s">
        <v>290</v>
      </c>
      <c r="K881" s="4">
        <v>43466</v>
      </c>
      <c r="L881" s="4">
        <v>43466</v>
      </c>
      <c r="M881" s="9">
        <f t="shared" si="117"/>
        <v>6</v>
      </c>
      <c r="N881" s="4" t="str">
        <f t="shared" si="118"/>
        <v>] 5 ; 8 ]</v>
      </c>
      <c r="O881" s="5" t="s">
        <v>3780</v>
      </c>
      <c r="P881" s="5" t="s">
        <v>3780</v>
      </c>
      <c r="Q881" s="5">
        <v>2</v>
      </c>
      <c r="R881" s="5" t="str">
        <f t="shared" si="122"/>
        <v>Qualification</v>
      </c>
      <c r="S881" s="5" t="s">
        <v>3789</v>
      </c>
      <c r="T881" s="4">
        <v>32148</v>
      </c>
      <c r="U881" s="5">
        <f t="shared" si="119"/>
        <v>1988</v>
      </c>
      <c r="V881" s="5" t="s">
        <v>3792</v>
      </c>
      <c r="W881" s="9">
        <f t="shared" si="120"/>
        <v>37</v>
      </c>
      <c r="X881" s="5" t="str">
        <f t="shared" si="123"/>
        <v>[35 - 39 ans ]</v>
      </c>
      <c r="Y881" s="5" t="str">
        <f t="shared" si="124"/>
        <v xml:space="preserve"> Mellenials </v>
      </c>
      <c r="Z881" s="9">
        <f t="shared" si="121"/>
        <v>23</v>
      </c>
      <c r="AA881" s="5" t="str">
        <f t="shared" si="125"/>
        <v>RAS</v>
      </c>
      <c r="AB881" s="5" t="s">
        <v>3806</v>
      </c>
      <c r="AC881" s="6" t="s">
        <v>3799</v>
      </c>
      <c r="AE881" s="5" t="s">
        <v>3844</v>
      </c>
      <c r="AF881" s="5" t="s">
        <v>4482</v>
      </c>
      <c r="AG881" s="5" t="s">
        <v>4485</v>
      </c>
      <c r="AH881" s="5" t="s">
        <v>4487</v>
      </c>
      <c r="AI881" s="5" t="s">
        <v>3984</v>
      </c>
      <c r="AJ881" s="5" t="s">
        <v>3985</v>
      </c>
      <c r="AK881" s="5" t="s">
        <v>3986</v>
      </c>
      <c r="AL881" s="5" t="s">
        <v>3858</v>
      </c>
    </row>
    <row r="882" spans="1:38" x14ac:dyDescent="0.3">
      <c r="A882" s="4">
        <v>45716</v>
      </c>
      <c r="B882" s="5" t="s">
        <v>3117</v>
      </c>
      <c r="C882" s="5" t="s">
        <v>3118</v>
      </c>
      <c r="D882" s="5" t="s">
        <v>3119</v>
      </c>
      <c r="E882" s="5" t="s">
        <v>4494</v>
      </c>
      <c r="G882" s="5" t="s">
        <v>137</v>
      </c>
      <c r="H882" s="5" t="s">
        <v>3120</v>
      </c>
      <c r="I882" s="5" t="s">
        <v>381</v>
      </c>
      <c r="J882" s="5" t="s">
        <v>1346</v>
      </c>
      <c r="K882" s="4">
        <v>43466</v>
      </c>
      <c r="L882" s="4">
        <v>43466</v>
      </c>
      <c r="M882" s="9">
        <f t="shared" si="117"/>
        <v>6</v>
      </c>
      <c r="N882" s="4" t="str">
        <f t="shared" si="118"/>
        <v>] 5 ; 8 ]</v>
      </c>
      <c r="O882" s="5" t="s">
        <v>3785</v>
      </c>
      <c r="P882" s="5" t="s">
        <v>3785</v>
      </c>
      <c r="Q882" s="5">
        <v>1</v>
      </c>
      <c r="R882" s="5" t="str">
        <f t="shared" si="122"/>
        <v>Specialisation</v>
      </c>
      <c r="S882" s="5" t="s">
        <v>3789</v>
      </c>
      <c r="T882" s="4">
        <v>32274</v>
      </c>
      <c r="U882" s="5">
        <f t="shared" si="119"/>
        <v>1988</v>
      </c>
      <c r="V882" s="5" t="s">
        <v>3793</v>
      </c>
      <c r="W882" s="9">
        <f t="shared" si="120"/>
        <v>36</v>
      </c>
      <c r="X882" s="5" t="str">
        <f t="shared" si="123"/>
        <v>[35 - 39 ans ]</v>
      </c>
      <c r="Y882" s="5" t="str">
        <f t="shared" si="124"/>
        <v xml:space="preserve"> Mellenials </v>
      </c>
      <c r="Z882" s="9">
        <f t="shared" si="121"/>
        <v>24</v>
      </c>
      <c r="AA882" s="5" t="str">
        <f t="shared" si="125"/>
        <v>RAS</v>
      </c>
      <c r="AB882" s="5" t="s">
        <v>3806</v>
      </c>
      <c r="AC882" s="6" t="s">
        <v>3799</v>
      </c>
      <c r="AE882" s="5" t="s">
        <v>3844</v>
      </c>
      <c r="AF882" s="5" t="s">
        <v>4481</v>
      </c>
      <c r="AG882" s="5" t="s">
        <v>4485</v>
      </c>
      <c r="AH882" s="5" t="s">
        <v>4487</v>
      </c>
      <c r="AI882" s="5" t="s">
        <v>4452</v>
      </c>
      <c r="AJ882" s="5" t="s">
        <v>4453</v>
      </c>
      <c r="AK882" s="5" t="s">
        <v>4454</v>
      </c>
      <c r="AL882" s="5" t="s">
        <v>3858</v>
      </c>
    </row>
    <row r="883" spans="1:38" x14ac:dyDescent="0.3">
      <c r="A883" s="4">
        <v>45716</v>
      </c>
      <c r="B883" s="5" t="s">
        <v>3121</v>
      </c>
      <c r="C883" s="5" t="s">
        <v>3122</v>
      </c>
      <c r="D883" s="5" t="s">
        <v>3123</v>
      </c>
      <c r="E883" s="5" t="s">
        <v>4494</v>
      </c>
      <c r="G883" s="5" t="s">
        <v>222</v>
      </c>
      <c r="H883" s="5" t="s">
        <v>3124</v>
      </c>
      <c r="I883" s="5" t="s">
        <v>2333</v>
      </c>
      <c r="J883" s="5" t="s">
        <v>2086</v>
      </c>
      <c r="K883" s="4">
        <v>43466</v>
      </c>
      <c r="L883" s="4">
        <v>43466</v>
      </c>
      <c r="M883" s="9">
        <f t="shared" si="117"/>
        <v>6</v>
      </c>
      <c r="N883" s="4" t="str">
        <f t="shared" si="118"/>
        <v>] 5 ; 8 ]</v>
      </c>
      <c r="O883" s="5" t="s">
        <v>3783</v>
      </c>
      <c r="P883" s="5" t="s">
        <v>3783</v>
      </c>
      <c r="Q883" s="5">
        <v>1</v>
      </c>
      <c r="R883" s="5" t="str">
        <f t="shared" si="122"/>
        <v>Specialisation</v>
      </c>
      <c r="S883" s="5" t="s">
        <v>3790</v>
      </c>
      <c r="T883" s="4">
        <v>30089</v>
      </c>
      <c r="U883" s="5">
        <f t="shared" si="119"/>
        <v>1982</v>
      </c>
      <c r="V883" s="5" t="s">
        <v>3792</v>
      </c>
      <c r="W883" s="9">
        <f t="shared" si="120"/>
        <v>42</v>
      </c>
      <c r="X883" s="5" t="str">
        <f t="shared" si="123"/>
        <v>[40 - 44 ans]</v>
      </c>
      <c r="Y883" s="5" t="str">
        <f t="shared" si="124"/>
        <v xml:space="preserve"> Mellenials </v>
      </c>
      <c r="Z883" s="9">
        <f t="shared" si="121"/>
        <v>18</v>
      </c>
      <c r="AA883" s="5" t="str">
        <f t="shared" si="125"/>
        <v>RAS</v>
      </c>
      <c r="AB883" s="5" t="s">
        <v>3806</v>
      </c>
      <c r="AC883" s="6" t="s">
        <v>3799</v>
      </c>
      <c r="AE883" s="5" t="s">
        <v>3844</v>
      </c>
      <c r="AF883" s="5" t="s">
        <v>4482</v>
      </c>
      <c r="AG883" s="5" t="s">
        <v>4485</v>
      </c>
      <c r="AH883" s="5" t="s">
        <v>4487</v>
      </c>
      <c r="AI883" s="5" t="s">
        <v>4400</v>
      </c>
      <c r="AJ883" s="5" t="s">
        <v>4401</v>
      </c>
      <c r="AK883" s="5" t="s">
        <v>3967</v>
      </c>
      <c r="AL883" s="5" t="s">
        <v>3858</v>
      </c>
    </row>
    <row r="884" spans="1:38" x14ac:dyDescent="0.3">
      <c r="A884" s="4">
        <v>45716</v>
      </c>
      <c r="B884" s="5" t="s">
        <v>3125</v>
      </c>
      <c r="C884" s="5" t="s">
        <v>3126</v>
      </c>
      <c r="D884" s="5" t="s">
        <v>3127</v>
      </c>
      <c r="E884" s="5" t="s">
        <v>4494</v>
      </c>
      <c r="G884" s="5" t="s">
        <v>78</v>
      </c>
      <c r="H884" s="5" t="s">
        <v>815</v>
      </c>
      <c r="I884" s="5" t="s">
        <v>491</v>
      </c>
      <c r="J884" s="5" t="s">
        <v>1823</v>
      </c>
      <c r="K884" s="4">
        <v>43466</v>
      </c>
      <c r="L884" s="4">
        <v>43466</v>
      </c>
      <c r="M884" s="9">
        <f t="shared" si="117"/>
        <v>6</v>
      </c>
      <c r="N884" s="4" t="str">
        <f t="shared" si="118"/>
        <v>] 5 ; 8 ]</v>
      </c>
      <c r="O884" s="5" t="s">
        <v>3786</v>
      </c>
      <c r="P884" s="5" t="s">
        <v>3786</v>
      </c>
      <c r="Q884" s="5">
        <v>1</v>
      </c>
      <c r="R884" s="5" t="str">
        <f t="shared" si="122"/>
        <v>Specialisation</v>
      </c>
      <c r="S884" s="5" t="s">
        <v>3790</v>
      </c>
      <c r="T884" s="4">
        <v>30556</v>
      </c>
      <c r="U884" s="5">
        <f t="shared" si="119"/>
        <v>1983</v>
      </c>
      <c r="V884" s="5" t="s">
        <v>3792</v>
      </c>
      <c r="W884" s="9">
        <f t="shared" si="120"/>
        <v>41</v>
      </c>
      <c r="X884" s="5" t="str">
        <f t="shared" si="123"/>
        <v>[40 - 44 ans]</v>
      </c>
      <c r="Y884" s="5" t="str">
        <f t="shared" si="124"/>
        <v xml:space="preserve"> Mellenials </v>
      </c>
      <c r="Z884" s="9">
        <f t="shared" si="121"/>
        <v>19</v>
      </c>
      <c r="AA884" s="5" t="str">
        <f t="shared" si="125"/>
        <v>RAS</v>
      </c>
      <c r="AB884" s="5" t="s">
        <v>3808</v>
      </c>
      <c r="AC884" s="6" t="s">
        <v>3799</v>
      </c>
      <c r="AE884" s="5" t="s">
        <v>3844</v>
      </c>
      <c r="AF884" s="5" t="s">
        <v>4482</v>
      </c>
      <c r="AG884" s="5" t="s">
        <v>4485</v>
      </c>
      <c r="AH884" s="5" t="s">
        <v>4488</v>
      </c>
      <c r="AI884" s="5" t="s">
        <v>4091</v>
      </c>
      <c r="AJ884" s="5" t="s">
        <v>4092</v>
      </c>
      <c r="AK884" s="5" t="s">
        <v>3946</v>
      </c>
      <c r="AL884" s="5" t="s">
        <v>3858</v>
      </c>
    </row>
    <row r="885" spans="1:38" x14ac:dyDescent="0.3">
      <c r="A885" s="4">
        <v>45716</v>
      </c>
      <c r="B885" s="5" t="s">
        <v>3128</v>
      </c>
      <c r="C885" s="5" t="s">
        <v>3129</v>
      </c>
      <c r="D885" s="5" t="s">
        <v>3130</v>
      </c>
      <c r="E885" s="5" t="s">
        <v>4494</v>
      </c>
      <c r="G885" s="5" t="s">
        <v>88</v>
      </c>
      <c r="H885" s="5" t="s">
        <v>456</v>
      </c>
      <c r="I885" s="5" t="s">
        <v>1709</v>
      </c>
      <c r="J885" s="5" t="s">
        <v>883</v>
      </c>
      <c r="K885" s="4">
        <v>43466</v>
      </c>
      <c r="L885" s="4">
        <v>43466</v>
      </c>
      <c r="M885" s="9">
        <f t="shared" si="117"/>
        <v>6</v>
      </c>
      <c r="N885" s="4" t="str">
        <f t="shared" si="118"/>
        <v>] 5 ; 8 ]</v>
      </c>
      <c r="O885" s="5" t="s">
        <v>3780</v>
      </c>
      <c r="P885" s="5" t="s">
        <v>3786</v>
      </c>
      <c r="Q885" s="5">
        <v>1</v>
      </c>
      <c r="R885" s="5" t="str">
        <f t="shared" si="122"/>
        <v>Qualification</v>
      </c>
      <c r="S885" s="5" t="s">
        <v>3789</v>
      </c>
      <c r="T885" s="4">
        <v>28731</v>
      </c>
      <c r="U885" s="5">
        <f t="shared" si="119"/>
        <v>1978</v>
      </c>
      <c r="V885" s="5" t="s">
        <v>3793</v>
      </c>
      <c r="W885" s="9">
        <f t="shared" si="120"/>
        <v>46</v>
      </c>
      <c r="X885" s="5" t="str">
        <f t="shared" si="123"/>
        <v>[45 - 49 ans]</v>
      </c>
      <c r="Y885" s="5" t="str">
        <f t="shared" si="124"/>
        <v xml:space="preserve"> Generation X </v>
      </c>
      <c r="Z885" s="9">
        <f t="shared" si="121"/>
        <v>14</v>
      </c>
      <c r="AA885" s="5" t="str">
        <f t="shared" si="125"/>
        <v>RAS</v>
      </c>
      <c r="AB885" s="5" t="s">
        <v>3835</v>
      </c>
      <c r="AC885" s="6" t="s">
        <v>3800</v>
      </c>
      <c r="AE885" s="5" t="s">
        <v>3844</v>
      </c>
      <c r="AF885" s="5" t="s">
        <v>4482</v>
      </c>
      <c r="AG885" s="5" t="s">
        <v>4485</v>
      </c>
      <c r="AH885" s="5" t="s">
        <v>4488</v>
      </c>
      <c r="AI885" s="5" t="s">
        <v>4350</v>
      </c>
      <c r="AJ885" s="5" t="s">
        <v>4351</v>
      </c>
      <c r="AK885" s="5" t="s">
        <v>4352</v>
      </c>
      <c r="AL885" s="5" t="s">
        <v>3858</v>
      </c>
    </row>
    <row r="886" spans="1:38" x14ac:dyDescent="0.3">
      <c r="A886" s="4">
        <v>45716</v>
      </c>
      <c r="B886" s="5" t="s">
        <v>3131</v>
      </c>
      <c r="C886" s="5" t="s">
        <v>3132</v>
      </c>
      <c r="D886" s="5" t="s">
        <v>3133</v>
      </c>
      <c r="E886" s="5" t="s">
        <v>4494</v>
      </c>
      <c r="G886" s="5" t="s">
        <v>29</v>
      </c>
      <c r="H886" s="5" t="s">
        <v>1638</v>
      </c>
      <c r="I886" s="5" t="s">
        <v>377</v>
      </c>
      <c r="J886" s="5" t="s">
        <v>69</v>
      </c>
      <c r="K886" s="4">
        <v>43466</v>
      </c>
      <c r="L886" s="4">
        <v>43466</v>
      </c>
      <c r="M886" s="9">
        <f t="shared" si="117"/>
        <v>6</v>
      </c>
      <c r="N886" s="4" t="str">
        <f t="shared" si="118"/>
        <v>] 5 ; 8 ]</v>
      </c>
      <c r="O886" s="5" t="s">
        <v>3780</v>
      </c>
      <c r="P886" s="5" t="s">
        <v>3780</v>
      </c>
      <c r="Q886" s="5">
        <v>3</v>
      </c>
      <c r="R886" s="5" t="str">
        <f t="shared" si="122"/>
        <v>Qualification</v>
      </c>
      <c r="S886" s="5" t="s">
        <v>3789</v>
      </c>
      <c r="T886" s="4">
        <v>30840</v>
      </c>
      <c r="U886" s="5">
        <f t="shared" si="119"/>
        <v>1984</v>
      </c>
      <c r="V886" s="5" t="s">
        <v>3793</v>
      </c>
      <c r="W886" s="9">
        <f t="shared" si="120"/>
        <v>40</v>
      </c>
      <c r="X886" s="5" t="str">
        <f t="shared" si="123"/>
        <v>[40 - 44 ans]</v>
      </c>
      <c r="Y886" s="5" t="str">
        <f t="shared" si="124"/>
        <v xml:space="preserve"> Mellenials </v>
      </c>
      <c r="Z886" s="9">
        <f t="shared" si="121"/>
        <v>20</v>
      </c>
      <c r="AA886" s="5" t="str">
        <f t="shared" si="125"/>
        <v>RAS</v>
      </c>
      <c r="AB886" s="5" t="s">
        <v>3811</v>
      </c>
      <c r="AC886" s="6" t="s">
        <v>3801</v>
      </c>
      <c r="AE886" s="5" t="s">
        <v>3844</v>
      </c>
      <c r="AF886" s="5" t="s">
        <v>4482</v>
      </c>
      <c r="AG886" s="5" t="s">
        <v>4485</v>
      </c>
      <c r="AH886" s="5" t="s">
        <v>4488</v>
      </c>
      <c r="AI886" s="5" t="s">
        <v>3855</v>
      </c>
      <c r="AJ886" s="5" t="s">
        <v>3856</v>
      </c>
      <c r="AK886" s="5" t="s">
        <v>3857</v>
      </c>
      <c r="AL886" s="5" t="s">
        <v>3858</v>
      </c>
    </row>
    <row r="887" spans="1:38" x14ac:dyDescent="0.3">
      <c r="A887" s="4">
        <v>45716</v>
      </c>
      <c r="B887" s="5" t="s">
        <v>3134</v>
      </c>
      <c r="C887" s="5" t="s">
        <v>3135</v>
      </c>
      <c r="D887" s="5" t="s">
        <v>3136</v>
      </c>
      <c r="E887" s="5" t="s">
        <v>4494</v>
      </c>
      <c r="G887" s="5" t="s">
        <v>88</v>
      </c>
      <c r="H887" s="5" t="s">
        <v>456</v>
      </c>
      <c r="I887" s="5" t="s">
        <v>1957</v>
      </c>
      <c r="J887" s="5" t="s">
        <v>883</v>
      </c>
      <c r="K887" s="4">
        <v>43466</v>
      </c>
      <c r="L887" s="4">
        <v>43466</v>
      </c>
      <c r="M887" s="9">
        <f t="shared" si="117"/>
        <v>6</v>
      </c>
      <c r="N887" s="4" t="str">
        <f t="shared" si="118"/>
        <v>] 5 ; 8 ]</v>
      </c>
      <c r="O887" s="5" t="s">
        <v>3780</v>
      </c>
      <c r="P887" s="5" t="s">
        <v>3786</v>
      </c>
      <c r="Q887" s="5">
        <v>1</v>
      </c>
      <c r="R887" s="5" t="str">
        <f t="shared" si="122"/>
        <v>Qualification</v>
      </c>
      <c r="S887" s="5" t="s">
        <v>3789</v>
      </c>
      <c r="T887" s="4">
        <v>29715</v>
      </c>
      <c r="U887" s="5">
        <f t="shared" si="119"/>
        <v>1981</v>
      </c>
      <c r="V887" s="5" t="s">
        <v>3793</v>
      </c>
      <c r="W887" s="9">
        <f t="shared" si="120"/>
        <v>43</v>
      </c>
      <c r="X887" s="5" t="str">
        <f t="shared" si="123"/>
        <v>[40 - 44 ans]</v>
      </c>
      <c r="Y887" s="5" t="str">
        <f t="shared" si="124"/>
        <v xml:space="preserve"> Mellenials </v>
      </c>
      <c r="Z887" s="9">
        <f t="shared" si="121"/>
        <v>17</v>
      </c>
      <c r="AA887" s="5" t="str">
        <f t="shared" si="125"/>
        <v>RAS</v>
      </c>
      <c r="AB887" s="5" t="s">
        <v>3829</v>
      </c>
      <c r="AC887" s="6" t="s">
        <v>3802</v>
      </c>
      <c r="AE887" s="5" t="s">
        <v>3844</v>
      </c>
      <c r="AF887" s="5" t="s">
        <v>4482</v>
      </c>
      <c r="AG887" s="5" t="s">
        <v>4485</v>
      </c>
      <c r="AH887" s="5" t="s">
        <v>4488</v>
      </c>
      <c r="AI887" s="5" t="s">
        <v>4220</v>
      </c>
      <c r="AJ887" s="5" t="s">
        <v>4221</v>
      </c>
      <c r="AK887" s="5" t="s">
        <v>4222</v>
      </c>
      <c r="AL887" s="5" t="s">
        <v>3858</v>
      </c>
    </row>
    <row r="888" spans="1:38" x14ac:dyDescent="0.3">
      <c r="A888" s="4">
        <v>45716</v>
      </c>
      <c r="B888" s="5" t="s">
        <v>3137</v>
      </c>
      <c r="C888" s="5" t="s">
        <v>3138</v>
      </c>
      <c r="D888" s="5" t="s">
        <v>3139</v>
      </c>
      <c r="E888" s="5" t="s">
        <v>4494</v>
      </c>
      <c r="G888" s="5" t="s">
        <v>88</v>
      </c>
      <c r="H888" s="5" t="s">
        <v>456</v>
      </c>
      <c r="I888" s="5" t="s">
        <v>1957</v>
      </c>
      <c r="J888" s="5" t="s">
        <v>883</v>
      </c>
      <c r="K888" s="4">
        <v>43466</v>
      </c>
      <c r="L888" s="4">
        <v>43466</v>
      </c>
      <c r="M888" s="9">
        <f t="shared" si="117"/>
        <v>6</v>
      </c>
      <c r="N888" s="4" t="str">
        <f t="shared" si="118"/>
        <v>] 5 ; 8 ]</v>
      </c>
      <c r="O888" s="5" t="s">
        <v>3780</v>
      </c>
      <c r="P888" s="5" t="s">
        <v>3780</v>
      </c>
      <c r="Q888" s="5">
        <v>3</v>
      </c>
      <c r="R888" s="5" t="str">
        <f t="shared" si="122"/>
        <v>Qualification</v>
      </c>
      <c r="S888" s="5" t="s">
        <v>3790</v>
      </c>
      <c r="T888" s="4">
        <v>33999</v>
      </c>
      <c r="U888" s="5">
        <f t="shared" si="119"/>
        <v>1993</v>
      </c>
      <c r="V888" s="5" t="s">
        <v>3793</v>
      </c>
      <c r="W888" s="9">
        <f t="shared" si="120"/>
        <v>32</v>
      </c>
      <c r="X888" s="5" t="str">
        <f t="shared" si="123"/>
        <v>[30 - 34 ans]</v>
      </c>
      <c r="Y888" s="5" t="str">
        <f t="shared" si="124"/>
        <v xml:space="preserve"> Mellenials </v>
      </c>
      <c r="Z888" s="9">
        <f t="shared" si="121"/>
        <v>28</v>
      </c>
      <c r="AA888" s="5" t="str">
        <f t="shared" si="125"/>
        <v>RAS</v>
      </c>
      <c r="AB888" s="5" t="s">
        <v>3829</v>
      </c>
      <c r="AC888" s="6" t="s">
        <v>3802</v>
      </c>
      <c r="AE888" s="5" t="s">
        <v>3844</v>
      </c>
      <c r="AF888" s="5" t="s">
        <v>4482</v>
      </c>
      <c r="AG888" s="5" t="s">
        <v>4485</v>
      </c>
      <c r="AH888" s="5" t="s">
        <v>4488</v>
      </c>
      <c r="AI888" s="5" t="s">
        <v>4220</v>
      </c>
      <c r="AJ888" s="5" t="s">
        <v>4221</v>
      </c>
      <c r="AK888" s="5" t="s">
        <v>4222</v>
      </c>
      <c r="AL888" s="5" t="s">
        <v>3858</v>
      </c>
    </row>
    <row r="889" spans="1:38" x14ac:dyDescent="0.3">
      <c r="A889" s="4">
        <v>45716</v>
      </c>
      <c r="B889" s="5" t="s">
        <v>3140</v>
      </c>
      <c r="C889" s="5" t="s">
        <v>3141</v>
      </c>
      <c r="D889" s="5" t="s">
        <v>3142</v>
      </c>
      <c r="E889" s="5" t="s">
        <v>4494</v>
      </c>
      <c r="G889" s="5" t="s">
        <v>88</v>
      </c>
      <c r="H889" s="5" t="s">
        <v>456</v>
      </c>
      <c r="I889" s="5" t="s">
        <v>1002</v>
      </c>
      <c r="J889" s="5" t="s">
        <v>883</v>
      </c>
      <c r="K889" s="4">
        <v>43466</v>
      </c>
      <c r="L889" s="4">
        <v>43466</v>
      </c>
      <c r="M889" s="9">
        <f t="shared" si="117"/>
        <v>6</v>
      </c>
      <c r="N889" s="4" t="str">
        <f t="shared" si="118"/>
        <v>] 5 ; 8 ]</v>
      </c>
      <c r="O889" s="5" t="s">
        <v>3780</v>
      </c>
      <c r="P889" s="5" t="s">
        <v>3780</v>
      </c>
      <c r="Q889" s="5">
        <v>2</v>
      </c>
      <c r="R889" s="5" t="str">
        <f t="shared" si="122"/>
        <v>Qualification</v>
      </c>
      <c r="S889" s="5" t="s">
        <v>3789</v>
      </c>
      <c r="T889" s="4">
        <v>31941</v>
      </c>
      <c r="U889" s="5">
        <f t="shared" si="119"/>
        <v>1987</v>
      </c>
      <c r="V889" s="5" t="s">
        <v>3793</v>
      </c>
      <c r="W889" s="9">
        <f t="shared" si="120"/>
        <v>37</v>
      </c>
      <c r="X889" s="5" t="str">
        <f t="shared" si="123"/>
        <v>[35 - 39 ans ]</v>
      </c>
      <c r="Y889" s="5" t="str">
        <f t="shared" si="124"/>
        <v xml:space="preserve"> Mellenials </v>
      </c>
      <c r="Z889" s="9">
        <f t="shared" si="121"/>
        <v>23</v>
      </c>
      <c r="AA889" s="5" t="str">
        <f t="shared" si="125"/>
        <v>RAS</v>
      </c>
      <c r="AB889" s="5" t="s">
        <v>3818</v>
      </c>
      <c r="AC889" s="6" t="s">
        <v>3799</v>
      </c>
      <c r="AE889" s="5" t="s">
        <v>3844</v>
      </c>
      <c r="AF889" s="5" t="s">
        <v>4482</v>
      </c>
      <c r="AG889" s="5" t="s">
        <v>4485</v>
      </c>
      <c r="AH889" s="5" t="s">
        <v>4488</v>
      </c>
      <c r="AI889" s="5" t="s">
        <v>4149</v>
      </c>
      <c r="AJ889" s="5" t="s">
        <v>4150</v>
      </c>
      <c r="AK889" s="5" t="s">
        <v>4151</v>
      </c>
      <c r="AL889" s="5" t="s">
        <v>3858</v>
      </c>
    </row>
    <row r="890" spans="1:38" x14ac:dyDescent="0.3">
      <c r="A890" s="4">
        <v>45716</v>
      </c>
      <c r="B890" s="5" t="s">
        <v>3143</v>
      </c>
      <c r="C890" s="5" t="s">
        <v>3144</v>
      </c>
      <c r="D890" s="5" t="s">
        <v>3145</v>
      </c>
      <c r="E890" s="5" t="s">
        <v>4494</v>
      </c>
      <c r="G890" s="5" t="s">
        <v>88</v>
      </c>
      <c r="H890" s="5" t="s">
        <v>456</v>
      </c>
      <c r="I890" s="5" t="s">
        <v>2079</v>
      </c>
      <c r="J890" s="5" t="s">
        <v>883</v>
      </c>
      <c r="K890" s="4">
        <v>43466</v>
      </c>
      <c r="L890" s="4">
        <v>43466</v>
      </c>
      <c r="M890" s="9">
        <f t="shared" si="117"/>
        <v>6</v>
      </c>
      <c r="N890" s="4" t="str">
        <f t="shared" si="118"/>
        <v>] 5 ; 8 ]</v>
      </c>
      <c r="O890" s="5" t="s">
        <v>3780</v>
      </c>
      <c r="P890" s="5" t="s">
        <v>3780</v>
      </c>
      <c r="Q890" s="5">
        <v>1</v>
      </c>
      <c r="R890" s="5" t="str">
        <f t="shared" si="122"/>
        <v>Qualification</v>
      </c>
      <c r="S890" s="5" t="s">
        <v>3789</v>
      </c>
      <c r="T890" s="4">
        <v>32385</v>
      </c>
      <c r="U890" s="5">
        <f t="shared" si="119"/>
        <v>1988</v>
      </c>
      <c r="V890" s="5" t="s">
        <v>3793</v>
      </c>
      <c r="W890" s="9">
        <f t="shared" si="120"/>
        <v>36</v>
      </c>
      <c r="X890" s="5" t="str">
        <f t="shared" si="123"/>
        <v>[35 - 39 ans ]</v>
      </c>
      <c r="Y890" s="5" t="str">
        <f t="shared" si="124"/>
        <v xml:space="preserve"> Mellenials </v>
      </c>
      <c r="Z890" s="9">
        <f t="shared" si="121"/>
        <v>24</v>
      </c>
      <c r="AA890" s="5" t="str">
        <f t="shared" si="125"/>
        <v>RAS</v>
      </c>
      <c r="AB890" s="5" t="s">
        <v>3824</v>
      </c>
      <c r="AC890" s="6" t="s">
        <v>3799</v>
      </c>
      <c r="AE890" s="5" t="s">
        <v>3844</v>
      </c>
      <c r="AF890" s="5" t="s">
        <v>4482</v>
      </c>
      <c r="AG890" s="5" t="s">
        <v>4485</v>
      </c>
      <c r="AH890" s="5" t="s">
        <v>4488</v>
      </c>
      <c r="AI890" s="5" t="s">
        <v>4176</v>
      </c>
      <c r="AJ890" s="5" t="s">
        <v>4177</v>
      </c>
      <c r="AK890" s="5" t="s">
        <v>4178</v>
      </c>
      <c r="AL890" s="5" t="s">
        <v>3858</v>
      </c>
    </row>
    <row r="891" spans="1:38" x14ac:dyDescent="0.3">
      <c r="A891" s="4">
        <v>45716</v>
      </c>
      <c r="B891" s="5" t="s">
        <v>3146</v>
      </c>
      <c r="C891" s="5" t="s">
        <v>3147</v>
      </c>
      <c r="D891" s="5" t="s">
        <v>3148</v>
      </c>
      <c r="E891" s="5" t="s">
        <v>4494</v>
      </c>
      <c r="G891" s="5" t="s">
        <v>78</v>
      </c>
      <c r="H891" s="5" t="s">
        <v>508</v>
      </c>
      <c r="I891" s="5" t="s">
        <v>1126</v>
      </c>
      <c r="J891" s="5" t="s">
        <v>298</v>
      </c>
      <c r="K891" s="4">
        <v>43466</v>
      </c>
      <c r="L891" s="4">
        <v>43466</v>
      </c>
      <c r="M891" s="9">
        <f t="shared" si="117"/>
        <v>6</v>
      </c>
      <c r="N891" s="4" t="str">
        <f t="shared" si="118"/>
        <v>] 5 ; 8 ]</v>
      </c>
      <c r="O891" s="5" t="s">
        <v>3788</v>
      </c>
      <c r="P891" s="5" t="s">
        <v>3788</v>
      </c>
      <c r="Q891" s="5">
        <v>1</v>
      </c>
      <c r="R891" s="5" t="str">
        <f t="shared" si="122"/>
        <v>Qualification</v>
      </c>
      <c r="S891" s="5" t="s">
        <v>3789</v>
      </c>
      <c r="T891" s="4">
        <v>32521</v>
      </c>
      <c r="U891" s="5">
        <f t="shared" si="119"/>
        <v>1989</v>
      </c>
      <c r="V891" s="5" t="s">
        <v>3793</v>
      </c>
      <c r="W891" s="9">
        <f t="shared" si="120"/>
        <v>36</v>
      </c>
      <c r="X891" s="5" t="str">
        <f t="shared" si="123"/>
        <v>[35 - 39 ans ]</v>
      </c>
      <c r="Y891" s="5" t="str">
        <f t="shared" si="124"/>
        <v xml:space="preserve"> Mellenials </v>
      </c>
      <c r="Z891" s="9">
        <f t="shared" si="121"/>
        <v>24</v>
      </c>
      <c r="AA891" s="5" t="str">
        <f t="shared" si="125"/>
        <v>RAS</v>
      </c>
      <c r="AB891" s="5" t="s">
        <v>3808</v>
      </c>
      <c r="AC891" s="6" t="s">
        <v>3799</v>
      </c>
      <c r="AE891" s="5" t="s">
        <v>3844</v>
      </c>
      <c r="AF891" s="5" t="s">
        <v>4482</v>
      </c>
      <c r="AG891" s="5" t="s">
        <v>4485</v>
      </c>
      <c r="AH891" s="5" t="s">
        <v>4488</v>
      </c>
      <c r="AI891" s="5" t="s">
        <v>4095</v>
      </c>
      <c r="AJ891" s="5" t="s">
        <v>4096</v>
      </c>
      <c r="AK891" s="5" t="s">
        <v>4097</v>
      </c>
      <c r="AL891" s="5" t="s">
        <v>3858</v>
      </c>
    </row>
    <row r="892" spans="1:38" x14ac:dyDescent="0.3">
      <c r="A892" s="4">
        <v>45716</v>
      </c>
      <c r="B892" s="5" t="s">
        <v>3149</v>
      </c>
      <c r="C892" s="5" t="s">
        <v>3150</v>
      </c>
      <c r="D892" s="5" t="s">
        <v>3151</v>
      </c>
      <c r="E892" s="5" t="s">
        <v>4494</v>
      </c>
      <c r="G892" s="5" t="s">
        <v>137</v>
      </c>
      <c r="H892" s="5" t="s">
        <v>440</v>
      </c>
      <c r="I892" s="5" t="s">
        <v>290</v>
      </c>
      <c r="J892" s="5" t="s">
        <v>1346</v>
      </c>
      <c r="K892" s="4">
        <v>43466</v>
      </c>
      <c r="L892" s="4">
        <v>43466</v>
      </c>
      <c r="M892" s="9">
        <f t="shared" si="117"/>
        <v>6</v>
      </c>
      <c r="N892" s="4" t="str">
        <f t="shared" si="118"/>
        <v>] 5 ; 8 ]</v>
      </c>
      <c r="O892" s="5" t="s">
        <v>3787</v>
      </c>
      <c r="P892" s="5" t="s">
        <v>3787</v>
      </c>
      <c r="Q892" s="5">
        <v>2</v>
      </c>
      <c r="R892" s="5" t="str">
        <f t="shared" si="122"/>
        <v>Qualification</v>
      </c>
      <c r="S892" s="5" t="s">
        <v>3789</v>
      </c>
      <c r="T892" s="4">
        <v>28934</v>
      </c>
      <c r="U892" s="5">
        <f t="shared" si="119"/>
        <v>1979</v>
      </c>
      <c r="V892" s="5" t="s">
        <v>3793</v>
      </c>
      <c r="W892" s="9">
        <f t="shared" si="120"/>
        <v>45</v>
      </c>
      <c r="X892" s="5" t="str">
        <f t="shared" si="123"/>
        <v>[45 - 49 ans]</v>
      </c>
      <c r="Y892" s="5" t="str">
        <f t="shared" si="124"/>
        <v xml:space="preserve"> Generation X </v>
      </c>
      <c r="Z892" s="9">
        <f t="shared" si="121"/>
        <v>15</v>
      </c>
      <c r="AA892" s="5" t="str">
        <f t="shared" si="125"/>
        <v>RAS</v>
      </c>
      <c r="AB892" s="5" t="s">
        <v>3812</v>
      </c>
      <c r="AC892" s="6" t="s">
        <v>3799</v>
      </c>
      <c r="AE892" s="5" t="s">
        <v>3844</v>
      </c>
      <c r="AF892" s="5" t="s">
        <v>4482</v>
      </c>
      <c r="AG892" s="5" t="s">
        <v>4485</v>
      </c>
      <c r="AH892" s="5" t="s">
        <v>4487</v>
      </c>
      <c r="AI892" s="5" t="s">
        <v>4337</v>
      </c>
      <c r="AJ892" s="5" t="s">
        <v>4338</v>
      </c>
      <c r="AK892" s="5" t="s">
        <v>4066</v>
      </c>
      <c r="AL892" s="5" t="s">
        <v>3858</v>
      </c>
    </row>
    <row r="893" spans="1:38" x14ac:dyDescent="0.3">
      <c r="A893" s="4">
        <v>45716</v>
      </c>
      <c r="B893" s="5" t="s">
        <v>3152</v>
      </c>
      <c r="C893" s="5" t="s">
        <v>3153</v>
      </c>
      <c r="D893" s="5" t="s">
        <v>3154</v>
      </c>
      <c r="E893" s="5" t="s">
        <v>4494</v>
      </c>
      <c r="G893" s="5" t="s">
        <v>88</v>
      </c>
      <c r="H893" s="5" t="s">
        <v>456</v>
      </c>
      <c r="I893" s="5" t="s">
        <v>1479</v>
      </c>
      <c r="J893" s="5" t="s">
        <v>883</v>
      </c>
      <c r="K893" s="4">
        <v>43466</v>
      </c>
      <c r="L893" s="4">
        <v>43466</v>
      </c>
      <c r="M893" s="9">
        <f t="shared" si="117"/>
        <v>6</v>
      </c>
      <c r="N893" s="4" t="str">
        <f t="shared" si="118"/>
        <v>] 5 ; 8 ]</v>
      </c>
      <c r="O893" s="5" t="s">
        <v>3780</v>
      </c>
      <c r="P893" s="5" t="s">
        <v>3780</v>
      </c>
      <c r="Q893" s="5">
        <v>3</v>
      </c>
      <c r="R893" s="5" t="str">
        <f t="shared" si="122"/>
        <v>Qualification</v>
      </c>
      <c r="S893" s="5" t="s">
        <v>3790</v>
      </c>
      <c r="T893" s="4">
        <v>33157</v>
      </c>
      <c r="U893" s="5">
        <f t="shared" si="119"/>
        <v>1990</v>
      </c>
      <c r="V893" s="5" t="s">
        <v>3793</v>
      </c>
      <c r="W893" s="9">
        <f t="shared" si="120"/>
        <v>34</v>
      </c>
      <c r="X893" s="5" t="str">
        <f t="shared" si="123"/>
        <v>[30 - 34 ans]</v>
      </c>
      <c r="Y893" s="5" t="str">
        <f t="shared" si="124"/>
        <v xml:space="preserve"> Mellenials </v>
      </c>
      <c r="Z893" s="9">
        <f t="shared" si="121"/>
        <v>26</v>
      </c>
      <c r="AA893" s="5" t="str">
        <f t="shared" si="125"/>
        <v>RAS</v>
      </c>
      <c r="AB893" s="5" t="s">
        <v>3834</v>
      </c>
      <c r="AC893" s="6" t="s">
        <v>3801</v>
      </c>
      <c r="AE893" s="5" t="s">
        <v>3844</v>
      </c>
      <c r="AF893" s="5" t="s">
        <v>4482</v>
      </c>
      <c r="AG893" s="5" t="s">
        <v>4485</v>
      </c>
      <c r="AH893" s="5" t="s">
        <v>4488</v>
      </c>
      <c r="AI893" s="5" t="s">
        <v>4312</v>
      </c>
      <c r="AJ893" s="5" t="s">
        <v>4313</v>
      </c>
      <c r="AK893" s="5" t="s">
        <v>4314</v>
      </c>
      <c r="AL893" s="5" t="s">
        <v>3858</v>
      </c>
    </row>
    <row r="894" spans="1:38" x14ac:dyDescent="0.3">
      <c r="A894" s="4">
        <v>45716</v>
      </c>
      <c r="B894" s="5" t="s">
        <v>3155</v>
      </c>
      <c r="C894" s="5" t="s">
        <v>3156</v>
      </c>
      <c r="D894" s="5" t="s">
        <v>3157</v>
      </c>
      <c r="E894" s="5" t="s">
        <v>4494</v>
      </c>
      <c r="G894" s="5" t="s">
        <v>137</v>
      </c>
      <c r="H894" s="5" t="s">
        <v>3158</v>
      </c>
      <c r="I894" s="5" t="s">
        <v>290</v>
      </c>
      <c r="J894" s="5" t="s">
        <v>1346</v>
      </c>
      <c r="K894" s="4">
        <v>43466</v>
      </c>
      <c r="L894" s="4">
        <v>43466</v>
      </c>
      <c r="M894" s="9">
        <f t="shared" si="117"/>
        <v>6</v>
      </c>
      <c r="N894" s="4" t="str">
        <f t="shared" si="118"/>
        <v>] 5 ; 8 ]</v>
      </c>
      <c r="O894" s="5" t="s">
        <v>3786</v>
      </c>
      <c r="P894" s="5" t="s">
        <v>3786</v>
      </c>
      <c r="Q894" s="5">
        <v>1</v>
      </c>
      <c r="R894" s="5" t="str">
        <f t="shared" si="122"/>
        <v>Specialisation</v>
      </c>
      <c r="S894" s="5" t="s">
        <v>3789</v>
      </c>
      <c r="T894" s="4">
        <v>31946</v>
      </c>
      <c r="U894" s="5">
        <f t="shared" si="119"/>
        <v>1987</v>
      </c>
      <c r="V894" s="5" t="s">
        <v>3793</v>
      </c>
      <c r="W894" s="9">
        <f t="shared" si="120"/>
        <v>37</v>
      </c>
      <c r="X894" s="5" t="str">
        <f t="shared" si="123"/>
        <v>[35 - 39 ans ]</v>
      </c>
      <c r="Y894" s="5" t="str">
        <f t="shared" si="124"/>
        <v xml:space="preserve"> Mellenials </v>
      </c>
      <c r="Z894" s="9">
        <f t="shared" si="121"/>
        <v>23</v>
      </c>
      <c r="AA894" s="5" t="str">
        <f t="shared" si="125"/>
        <v>RAS</v>
      </c>
      <c r="AB894" s="5" t="s">
        <v>3812</v>
      </c>
      <c r="AC894" s="6" t="s">
        <v>3799</v>
      </c>
      <c r="AE894" s="5" t="s">
        <v>3844</v>
      </c>
      <c r="AF894" s="5" t="s">
        <v>4482</v>
      </c>
      <c r="AG894" s="5" t="s">
        <v>4485</v>
      </c>
      <c r="AH894" s="5" t="s">
        <v>4487</v>
      </c>
      <c r="AI894" s="5" t="s">
        <v>4064</v>
      </c>
      <c r="AJ894" s="5" t="s">
        <v>4065</v>
      </c>
      <c r="AK894" s="5" t="s">
        <v>4066</v>
      </c>
      <c r="AL894" s="5" t="s">
        <v>3858</v>
      </c>
    </row>
    <row r="895" spans="1:38" x14ac:dyDescent="0.3">
      <c r="A895" s="4">
        <v>45716</v>
      </c>
      <c r="B895" s="5" t="s">
        <v>3159</v>
      </c>
      <c r="C895" s="5" t="s">
        <v>3160</v>
      </c>
      <c r="D895" s="5" t="s">
        <v>3161</v>
      </c>
      <c r="E895" s="5" t="s">
        <v>4494</v>
      </c>
      <c r="G895" s="5" t="s">
        <v>88</v>
      </c>
      <c r="H895" s="5" t="s">
        <v>456</v>
      </c>
      <c r="I895" s="5" t="s">
        <v>744</v>
      </c>
      <c r="J895" s="5" t="s">
        <v>883</v>
      </c>
      <c r="K895" s="4">
        <v>43466</v>
      </c>
      <c r="L895" s="4">
        <v>43466</v>
      </c>
      <c r="M895" s="9">
        <f t="shared" si="117"/>
        <v>6</v>
      </c>
      <c r="N895" s="4" t="str">
        <f t="shared" si="118"/>
        <v>] 5 ; 8 ]</v>
      </c>
      <c r="O895" s="5" t="s">
        <v>3780</v>
      </c>
      <c r="P895" s="5" t="s">
        <v>3780</v>
      </c>
      <c r="Q895" s="5">
        <v>2</v>
      </c>
      <c r="R895" s="5" t="str">
        <f t="shared" si="122"/>
        <v>Qualification</v>
      </c>
      <c r="S895" s="5" t="s">
        <v>3789</v>
      </c>
      <c r="T895" s="4">
        <v>32962</v>
      </c>
      <c r="U895" s="5">
        <f t="shared" si="119"/>
        <v>1990</v>
      </c>
      <c r="V895" s="5" t="s">
        <v>3793</v>
      </c>
      <c r="W895" s="9">
        <f t="shared" si="120"/>
        <v>34</v>
      </c>
      <c r="X895" s="5" t="str">
        <f t="shared" si="123"/>
        <v>[30 - 34 ans]</v>
      </c>
      <c r="Y895" s="5" t="str">
        <f t="shared" si="124"/>
        <v xml:space="preserve"> Mellenials </v>
      </c>
      <c r="Z895" s="9">
        <f t="shared" si="121"/>
        <v>26</v>
      </c>
      <c r="AA895" s="5" t="str">
        <f t="shared" si="125"/>
        <v>RAS</v>
      </c>
      <c r="AB895" s="5" t="s">
        <v>3828</v>
      </c>
      <c r="AC895" s="6" t="s">
        <v>3799</v>
      </c>
      <c r="AE895" s="5" t="s">
        <v>3844</v>
      </c>
      <c r="AF895" s="5" t="s">
        <v>4482</v>
      </c>
      <c r="AG895" s="5" t="s">
        <v>4485</v>
      </c>
      <c r="AH895" s="5" t="s">
        <v>4488</v>
      </c>
      <c r="AI895" s="5" t="s">
        <v>4186</v>
      </c>
      <c r="AJ895" s="5" t="s">
        <v>4187</v>
      </c>
      <c r="AK895" s="5" t="s">
        <v>4183</v>
      </c>
      <c r="AL895" s="5" t="s">
        <v>3858</v>
      </c>
    </row>
    <row r="896" spans="1:38" x14ac:dyDescent="0.3">
      <c r="A896" s="4">
        <v>45716</v>
      </c>
      <c r="B896" s="5" t="s">
        <v>3162</v>
      </c>
      <c r="C896" s="5" t="s">
        <v>3163</v>
      </c>
      <c r="D896" s="5" t="s">
        <v>3164</v>
      </c>
      <c r="E896" s="5" t="s">
        <v>4494</v>
      </c>
      <c r="G896" s="5" t="s">
        <v>88</v>
      </c>
      <c r="H896" s="5" t="s">
        <v>456</v>
      </c>
      <c r="I896" s="5" t="s">
        <v>652</v>
      </c>
      <c r="J896" s="5" t="s">
        <v>883</v>
      </c>
      <c r="K896" s="4">
        <v>43466</v>
      </c>
      <c r="L896" s="4">
        <v>43466</v>
      </c>
      <c r="M896" s="9">
        <f t="shared" si="117"/>
        <v>6</v>
      </c>
      <c r="N896" s="4" t="str">
        <f t="shared" si="118"/>
        <v>] 5 ; 8 ]</v>
      </c>
      <c r="O896" s="5" t="s">
        <v>3780</v>
      </c>
      <c r="P896" s="5" t="s">
        <v>3780</v>
      </c>
      <c r="Q896" s="5">
        <v>2</v>
      </c>
      <c r="R896" s="5" t="str">
        <f t="shared" si="122"/>
        <v>Qualification</v>
      </c>
      <c r="S896" s="5" t="s">
        <v>3790</v>
      </c>
      <c r="T896" s="4">
        <v>31723</v>
      </c>
      <c r="U896" s="5">
        <f t="shared" si="119"/>
        <v>1986</v>
      </c>
      <c r="V896" s="5" t="s">
        <v>3792</v>
      </c>
      <c r="W896" s="9">
        <f t="shared" si="120"/>
        <v>38</v>
      </c>
      <c r="X896" s="5" t="str">
        <f t="shared" si="123"/>
        <v>[35 - 39 ans ]</v>
      </c>
      <c r="Y896" s="5" t="str">
        <f t="shared" si="124"/>
        <v xml:space="preserve"> Mellenials </v>
      </c>
      <c r="Z896" s="9">
        <f t="shared" si="121"/>
        <v>22</v>
      </c>
      <c r="AA896" s="5" t="str">
        <f t="shared" si="125"/>
        <v>RAS</v>
      </c>
      <c r="AB896" s="5" t="s">
        <v>3822</v>
      </c>
      <c r="AC896" s="6" t="s">
        <v>3802</v>
      </c>
      <c r="AE896" s="5" t="s">
        <v>3844</v>
      </c>
      <c r="AF896" s="5" t="s">
        <v>4482</v>
      </c>
      <c r="AG896" s="5" t="s">
        <v>4485</v>
      </c>
      <c r="AH896" s="5" t="s">
        <v>4488</v>
      </c>
      <c r="AI896" s="5" t="s">
        <v>4166</v>
      </c>
      <c r="AJ896" s="5" t="s">
        <v>4167</v>
      </c>
      <c r="AK896" s="5" t="s">
        <v>4168</v>
      </c>
      <c r="AL896" s="5" t="s">
        <v>3858</v>
      </c>
    </row>
    <row r="897" spans="1:38" x14ac:dyDescent="0.3">
      <c r="A897" s="4">
        <v>45716</v>
      </c>
      <c r="B897" s="5" t="s">
        <v>3165</v>
      </c>
      <c r="C897" s="5" t="s">
        <v>3166</v>
      </c>
      <c r="D897" s="5" t="s">
        <v>3167</v>
      </c>
      <c r="E897" s="5" t="s">
        <v>4494</v>
      </c>
      <c r="G897" s="5" t="s">
        <v>88</v>
      </c>
      <c r="H897" s="5" t="s">
        <v>456</v>
      </c>
      <c r="I897" s="5" t="s">
        <v>741</v>
      </c>
      <c r="J897" s="5" t="s">
        <v>883</v>
      </c>
      <c r="K897" s="4">
        <v>43466</v>
      </c>
      <c r="L897" s="4">
        <v>43466</v>
      </c>
      <c r="M897" s="9">
        <f t="shared" ref="M897:M960" si="126">DATEDIF(L897,A897,"y")</f>
        <v>6</v>
      </c>
      <c r="N897" s="4" t="str">
        <f t="shared" ref="N897:N960" si="127">IF(M897&lt;=2," ] 0 ; 2 ]",IF(AND(M897&gt;2,M897&lt;=5),"] 2 ; 5 ]",IF(AND(M897&gt;5,M897&lt;=8),"] 5 ; 8 ]",IF(AND(M897&gt;8,M897&lt;=10),"] 8 ; 10 ]",IF(AND(M897&gt;10,M897&lt;=15),"] 10 ; 15 ]","] 15 ; +oo [")))))</f>
        <v>] 5 ; 8 ]</v>
      </c>
      <c r="O897" s="5" t="s">
        <v>3780</v>
      </c>
      <c r="P897" s="5" t="s">
        <v>3780</v>
      </c>
      <c r="Q897" s="5">
        <v>1</v>
      </c>
      <c r="R897" s="5" t="str">
        <f t="shared" si="122"/>
        <v>Qualification</v>
      </c>
      <c r="S897" s="5" t="s">
        <v>3790</v>
      </c>
      <c r="T897" s="4">
        <v>33135</v>
      </c>
      <c r="U897" s="5">
        <f t="shared" ref="U897:U960" si="128">YEAR(T897)</f>
        <v>1990</v>
      </c>
      <c r="V897" s="5" t="s">
        <v>3792</v>
      </c>
      <c r="W897" s="9">
        <f t="shared" ref="W897:W960" si="129">DATEDIF(T897,A897,"y")</f>
        <v>34</v>
      </c>
      <c r="X897" s="5" t="str">
        <f t="shared" si="123"/>
        <v>[30 - 34 ans]</v>
      </c>
      <c r="Y897" s="5" t="str">
        <f t="shared" si="124"/>
        <v xml:space="preserve"> Mellenials </v>
      </c>
      <c r="Z897" s="9">
        <f t="shared" ref="Z897:Z960" si="130">60-W897</f>
        <v>26</v>
      </c>
      <c r="AA897" s="5" t="str">
        <f t="shared" si="125"/>
        <v>RAS</v>
      </c>
      <c r="AB897" s="5" t="s">
        <v>3827</v>
      </c>
      <c r="AC897" s="6" t="s">
        <v>3799</v>
      </c>
      <c r="AE897" s="5" t="s">
        <v>3844</v>
      </c>
      <c r="AF897" s="5" t="s">
        <v>4482</v>
      </c>
      <c r="AG897" s="5" t="s">
        <v>4485</v>
      </c>
      <c r="AH897" s="5" t="s">
        <v>4488</v>
      </c>
      <c r="AI897" s="5" t="s">
        <v>4184</v>
      </c>
      <c r="AJ897" s="5" t="s">
        <v>4185</v>
      </c>
      <c r="AK897" s="5">
        <v>11307</v>
      </c>
      <c r="AL897" s="5" t="s">
        <v>3858</v>
      </c>
    </row>
    <row r="898" spans="1:38" x14ac:dyDescent="0.3">
      <c r="A898" s="4">
        <v>45716</v>
      </c>
      <c r="B898" s="5" t="s">
        <v>3168</v>
      </c>
      <c r="C898" s="5" t="s">
        <v>3169</v>
      </c>
      <c r="D898" s="5" t="s">
        <v>3170</v>
      </c>
      <c r="E898" s="5" t="s">
        <v>4494</v>
      </c>
      <c r="G898" s="5" t="s">
        <v>88</v>
      </c>
      <c r="H898" s="5" t="s">
        <v>456</v>
      </c>
      <c r="I898" s="5" t="s">
        <v>770</v>
      </c>
      <c r="J898" s="5" t="s">
        <v>883</v>
      </c>
      <c r="K898" s="4">
        <v>43466</v>
      </c>
      <c r="L898" s="4">
        <v>43466</v>
      </c>
      <c r="M898" s="9">
        <f t="shared" si="126"/>
        <v>6</v>
      </c>
      <c r="N898" s="4" t="str">
        <f t="shared" si="127"/>
        <v>] 5 ; 8 ]</v>
      </c>
      <c r="O898" s="5" t="s">
        <v>3780</v>
      </c>
      <c r="P898" s="5" t="s">
        <v>3780</v>
      </c>
      <c r="Q898" s="5">
        <v>1</v>
      </c>
      <c r="R898" s="5" t="str">
        <f t="shared" ref="R898:R961" si="131">IF(OR(O898="A",O898="B",O898="C",O898="D"),"Qualification",IF(OR(O898="E",O898="F",O898="G"),"Specialisation","Management &amp; Expertise"))</f>
        <v>Qualification</v>
      </c>
      <c r="S898" s="5" t="s">
        <v>3789</v>
      </c>
      <c r="T898" s="4">
        <v>33930</v>
      </c>
      <c r="U898" s="5">
        <f t="shared" si="128"/>
        <v>1992</v>
      </c>
      <c r="V898" s="5" t="s">
        <v>3793</v>
      </c>
      <c r="W898" s="9">
        <f t="shared" si="129"/>
        <v>32</v>
      </c>
      <c r="X898" s="5" t="str">
        <f t="shared" ref="X898:X961" si="132">IF(W898&lt;30,"[20 - 29 ans[",IF(AND(W898&gt;=30,W898&lt;35),"[30 - 34 ans]",IF(AND(W898&gt;=35,W898&lt;40),"[35 - 39 ans ]",IF(AND(W898&gt;=40,W898&lt;45),"[40 - 44 ans]",IF(AND(W898&gt;=45,W898&lt;50),"[45 - 49 ans]","[50 ans, +oo [")))))</f>
        <v>[30 - 34 ans]</v>
      </c>
      <c r="Y898" s="5" t="str">
        <f t="shared" ref="Y898:Y961" si="133">IF(AND(U898&gt;1946,U898&lt;=1965)," Baby - Boomers ",IF(AND(U898&gt;1965,U898&lt;=1980)," Generation X ",IF(AND(U898&gt;1980,U898&lt;1996)," Mellenials ",IF(AND(U898&gt;1996,U898&lt;2012)," Gen Z "," Gen Alpha"))))</f>
        <v xml:space="preserve"> Mellenials </v>
      </c>
      <c r="Z898" s="9">
        <f t="shared" si="130"/>
        <v>28</v>
      </c>
      <c r="AA898" s="5" t="str">
        <f t="shared" ref="AA898:AA961" si="134">IF(Z898&lt;=5,"Départ à la Retraite 5ans","RAS")</f>
        <v>RAS</v>
      </c>
      <c r="AB898" s="5" t="s">
        <v>3814</v>
      </c>
      <c r="AC898" s="6" t="s">
        <v>3799</v>
      </c>
      <c r="AE898" s="5" t="s">
        <v>3844</v>
      </c>
      <c r="AF898" s="5" t="s">
        <v>4482</v>
      </c>
      <c r="AG898" s="5" t="s">
        <v>4485</v>
      </c>
      <c r="AH898" s="5" t="s">
        <v>4488</v>
      </c>
      <c r="AI898" s="5" t="s">
        <v>4075</v>
      </c>
      <c r="AJ898" s="5" t="s">
        <v>4076</v>
      </c>
      <c r="AK898" s="5" t="s">
        <v>4077</v>
      </c>
      <c r="AL898" s="5" t="s">
        <v>3858</v>
      </c>
    </row>
    <row r="899" spans="1:38" x14ac:dyDescent="0.3">
      <c r="A899" s="4">
        <v>45716</v>
      </c>
      <c r="B899" s="5" t="s">
        <v>3171</v>
      </c>
      <c r="C899" s="5" t="s">
        <v>3172</v>
      </c>
      <c r="D899" s="5" t="s">
        <v>3173</v>
      </c>
      <c r="E899" s="5" t="s">
        <v>4494</v>
      </c>
      <c r="G899" s="5" t="s">
        <v>88</v>
      </c>
      <c r="H899" s="5" t="s">
        <v>456</v>
      </c>
      <c r="I899" s="5" t="s">
        <v>741</v>
      </c>
      <c r="J899" s="5" t="s">
        <v>883</v>
      </c>
      <c r="K899" s="4">
        <v>43466</v>
      </c>
      <c r="L899" s="4">
        <v>43466</v>
      </c>
      <c r="M899" s="9">
        <f t="shared" si="126"/>
        <v>6</v>
      </c>
      <c r="N899" s="4" t="str">
        <f t="shared" si="127"/>
        <v>] 5 ; 8 ]</v>
      </c>
      <c r="O899" s="5" t="s">
        <v>3780</v>
      </c>
      <c r="P899" s="5" t="s">
        <v>3780</v>
      </c>
      <c r="Q899" s="5">
        <v>1</v>
      </c>
      <c r="R899" s="5" t="str">
        <f t="shared" si="131"/>
        <v>Qualification</v>
      </c>
      <c r="S899" s="5" t="s">
        <v>3789</v>
      </c>
      <c r="T899" s="4">
        <v>32349</v>
      </c>
      <c r="U899" s="5">
        <f t="shared" si="128"/>
        <v>1988</v>
      </c>
      <c r="V899" s="5" t="s">
        <v>3792</v>
      </c>
      <c r="W899" s="9">
        <f t="shared" si="129"/>
        <v>36</v>
      </c>
      <c r="X899" s="5" t="str">
        <f t="shared" si="132"/>
        <v>[35 - 39 ans ]</v>
      </c>
      <c r="Y899" s="5" t="str">
        <f t="shared" si="133"/>
        <v xml:space="preserve"> Mellenials </v>
      </c>
      <c r="Z899" s="9">
        <f t="shared" si="130"/>
        <v>24</v>
      </c>
      <c r="AA899" s="5" t="str">
        <f t="shared" si="134"/>
        <v>RAS</v>
      </c>
      <c r="AB899" s="5" t="s">
        <v>3827</v>
      </c>
      <c r="AC899" s="6" t="s">
        <v>3799</v>
      </c>
      <c r="AE899" s="5" t="s">
        <v>3844</v>
      </c>
      <c r="AF899" s="5" t="s">
        <v>4482</v>
      </c>
      <c r="AG899" s="5" t="s">
        <v>4485</v>
      </c>
      <c r="AH899" s="5" t="s">
        <v>4488</v>
      </c>
      <c r="AI899" s="5" t="s">
        <v>4184</v>
      </c>
      <c r="AJ899" s="5" t="s">
        <v>4185</v>
      </c>
      <c r="AK899" s="5">
        <v>11307</v>
      </c>
      <c r="AL899" s="5" t="s">
        <v>3858</v>
      </c>
    </row>
    <row r="900" spans="1:38" x14ac:dyDescent="0.3">
      <c r="A900" s="4">
        <v>45716</v>
      </c>
      <c r="B900" s="5" t="s">
        <v>3174</v>
      </c>
      <c r="C900" s="5" t="s">
        <v>3175</v>
      </c>
      <c r="D900" s="5" t="s">
        <v>3176</v>
      </c>
      <c r="E900" s="5" t="s">
        <v>4494</v>
      </c>
      <c r="G900" s="5" t="s">
        <v>88</v>
      </c>
      <c r="H900" s="5" t="s">
        <v>904</v>
      </c>
      <c r="I900" s="5" t="s">
        <v>1020</v>
      </c>
      <c r="J900" s="5" t="s">
        <v>2739</v>
      </c>
      <c r="K900" s="4">
        <v>43466</v>
      </c>
      <c r="L900" s="4">
        <v>40217</v>
      </c>
      <c r="M900" s="9">
        <f t="shared" si="126"/>
        <v>15</v>
      </c>
      <c r="N900" s="4" t="str">
        <f t="shared" si="127"/>
        <v>] 10 ; 15 ]</v>
      </c>
      <c r="O900" s="5" t="s">
        <v>3780</v>
      </c>
      <c r="P900" s="5" t="s">
        <v>3780</v>
      </c>
      <c r="Q900" s="5">
        <v>3</v>
      </c>
      <c r="R900" s="5" t="str">
        <f t="shared" si="131"/>
        <v>Qualification</v>
      </c>
      <c r="S900" s="5" t="s">
        <v>3790</v>
      </c>
      <c r="T900" s="4">
        <v>30761</v>
      </c>
      <c r="U900" s="5">
        <f t="shared" si="128"/>
        <v>1984</v>
      </c>
      <c r="V900" s="5" t="s">
        <v>3793</v>
      </c>
      <c r="W900" s="9">
        <f t="shared" si="129"/>
        <v>40</v>
      </c>
      <c r="X900" s="5" t="str">
        <f t="shared" si="132"/>
        <v>[40 - 44 ans]</v>
      </c>
      <c r="Y900" s="5" t="str">
        <f t="shared" si="133"/>
        <v xml:space="preserve"> Mellenials </v>
      </c>
      <c r="Z900" s="9">
        <f t="shared" si="130"/>
        <v>20</v>
      </c>
      <c r="AA900" s="5" t="str">
        <f t="shared" si="134"/>
        <v>RAS</v>
      </c>
      <c r="AB900" s="5" t="s">
        <v>3806</v>
      </c>
      <c r="AC900" s="6" t="s">
        <v>3799</v>
      </c>
      <c r="AE900" s="5" t="s">
        <v>3844</v>
      </c>
      <c r="AF900" s="5" t="s">
        <v>4482</v>
      </c>
      <c r="AG900" s="5" t="s">
        <v>4485</v>
      </c>
      <c r="AH900" s="5" t="s">
        <v>4488</v>
      </c>
      <c r="AI900" s="5" t="s">
        <v>4219</v>
      </c>
      <c r="AJ900" s="5" t="s">
        <v>4455</v>
      </c>
      <c r="AK900" s="5" t="s">
        <v>3891</v>
      </c>
      <c r="AL900" s="5" t="s">
        <v>3858</v>
      </c>
    </row>
    <row r="901" spans="1:38" x14ac:dyDescent="0.3">
      <c r="A901" s="4">
        <v>45716</v>
      </c>
      <c r="B901" s="5" t="s">
        <v>3177</v>
      </c>
      <c r="C901" s="5" t="s">
        <v>3178</v>
      </c>
      <c r="D901" s="5" t="s">
        <v>3179</v>
      </c>
      <c r="E901" s="5" t="s">
        <v>4494</v>
      </c>
      <c r="G901" s="5" t="s">
        <v>44</v>
      </c>
      <c r="H901" s="5" t="s">
        <v>3180</v>
      </c>
      <c r="I901" s="5" t="s">
        <v>476</v>
      </c>
      <c r="J901" s="5" t="s">
        <v>2337</v>
      </c>
      <c r="K901" s="4">
        <v>43480</v>
      </c>
      <c r="L901" s="4">
        <v>43480</v>
      </c>
      <c r="M901" s="9">
        <f t="shared" si="126"/>
        <v>6</v>
      </c>
      <c r="N901" s="4" t="str">
        <f t="shared" si="127"/>
        <v>] 5 ; 8 ]</v>
      </c>
      <c r="O901" s="5" t="s">
        <v>3785</v>
      </c>
      <c r="P901" s="5" t="s">
        <v>3785</v>
      </c>
      <c r="Q901" s="5">
        <v>2</v>
      </c>
      <c r="R901" s="5" t="str">
        <f t="shared" si="131"/>
        <v>Specialisation</v>
      </c>
      <c r="S901" s="5" t="s">
        <v>3790</v>
      </c>
      <c r="T901" s="4">
        <v>31486</v>
      </c>
      <c r="U901" s="5">
        <f t="shared" si="128"/>
        <v>1986</v>
      </c>
      <c r="V901" s="5" t="s">
        <v>3793</v>
      </c>
      <c r="W901" s="9">
        <f t="shared" si="129"/>
        <v>38</v>
      </c>
      <c r="X901" s="5" t="str">
        <f t="shared" si="132"/>
        <v>[35 - 39 ans ]</v>
      </c>
      <c r="Y901" s="5" t="str">
        <f t="shared" si="133"/>
        <v xml:space="preserve"> Mellenials </v>
      </c>
      <c r="Z901" s="9">
        <f t="shared" si="130"/>
        <v>22</v>
      </c>
      <c r="AA901" s="5" t="str">
        <f t="shared" si="134"/>
        <v>RAS</v>
      </c>
      <c r="AB901" s="5" t="s">
        <v>3808</v>
      </c>
      <c r="AC901" s="6" t="s">
        <v>3799</v>
      </c>
      <c r="AE901" s="5" t="s">
        <v>3844</v>
      </c>
      <c r="AF901" s="5" t="s">
        <v>4481</v>
      </c>
      <c r="AG901" s="5" t="s">
        <v>4485</v>
      </c>
      <c r="AH901" s="5" t="s">
        <v>4487</v>
      </c>
      <c r="AI901" s="5" t="s">
        <v>4083</v>
      </c>
      <c r="AJ901" s="5" t="s">
        <v>4084</v>
      </c>
      <c r="AK901" s="5" t="s">
        <v>4085</v>
      </c>
      <c r="AL901" s="5" t="s">
        <v>3858</v>
      </c>
    </row>
    <row r="902" spans="1:38" x14ac:dyDescent="0.3">
      <c r="A902" s="4">
        <v>45716</v>
      </c>
      <c r="B902" s="5" t="s">
        <v>3181</v>
      </c>
      <c r="C902" s="5" t="s">
        <v>3182</v>
      </c>
      <c r="D902" s="5" t="s">
        <v>3183</v>
      </c>
      <c r="E902" s="5" t="s">
        <v>4494</v>
      </c>
      <c r="G902" s="5" t="s">
        <v>1762</v>
      </c>
      <c r="H902" s="5" t="s">
        <v>3184</v>
      </c>
      <c r="I902" s="5" t="s">
        <v>2205</v>
      </c>
      <c r="J902" s="5" t="s">
        <v>1857</v>
      </c>
      <c r="K902" s="4">
        <v>43500</v>
      </c>
      <c r="L902" s="4">
        <v>43500</v>
      </c>
      <c r="M902" s="9">
        <f t="shared" si="126"/>
        <v>6</v>
      </c>
      <c r="N902" s="4" t="str">
        <f t="shared" si="127"/>
        <v>] 5 ; 8 ]</v>
      </c>
      <c r="O902" s="5" t="s">
        <v>3782</v>
      </c>
      <c r="P902" s="5" t="s">
        <v>3782</v>
      </c>
      <c r="Q902" s="5">
        <v>2</v>
      </c>
      <c r="R902" s="5" t="str">
        <f t="shared" si="131"/>
        <v>Management &amp; Expertise</v>
      </c>
      <c r="S902" s="5" t="s">
        <v>3790</v>
      </c>
      <c r="T902" s="4">
        <v>32676</v>
      </c>
      <c r="U902" s="5">
        <f t="shared" si="128"/>
        <v>1989</v>
      </c>
      <c r="V902" s="5" t="s">
        <v>3793</v>
      </c>
      <c r="W902" s="9">
        <f t="shared" si="129"/>
        <v>35</v>
      </c>
      <c r="X902" s="5" t="str">
        <f t="shared" si="132"/>
        <v>[35 - 39 ans ]</v>
      </c>
      <c r="Y902" s="5" t="str">
        <f t="shared" si="133"/>
        <v xml:space="preserve"> Mellenials </v>
      </c>
      <c r="Z902" s="9">
        <f t="shared" si="130"/>
        <v>25</v>
      </c>
      <c r="AA902" s="5" t="str">
        <f t="shared" si="134"/>
        <v>RAS</v>
      </c>
      <c r="AB902" s="5" t="s">
        <v>3806</v>
      </c>
      <c r="AC902" s="6" t="s">
        <v>3799</v>
      </c>
      <c r="AE902" s="5" t="s">
        <v>3845</v>
      </c>
      <c r="AF902" s="5" t="s">
        <v>4481</v>
      </c>
      <c r="AG902" s="5" t="s">
        <v>4485</v>
      </c>
      <c r="AH902" s="5" t="s">
        <v>4488</v>
      </c>
      <c r="AI902" s="5" t="s">
        <v>4456</v>
      </c>
      <c r="AJ902" s="5" t="s">
        <v>4457</v>
      </c>
      <c r="AK902" s="5" t="s">
        <v>4392</v>
      </c>
      <c r="AL902" s="5" t="s">
        <v>3854</v>
      </c>
    </row>
    <row r="903" spans="1:38" x14ac:dyDescent="0.3">
      <c r="A903" s="4">
        <v>45716</v>
      </c>
      <c r="B903" s="5" t="s">
        <v>3185</v>
      </c>
      <c r="C903" s="5" t="s">
        <v>3186</v>
      </c>
      <c r="D903" s="5" t="s">
        <v>3187</v>
      </c>
      <c r="E903" s="5" t="s">
        <v>4494</v>
      </c>
      <c r="G903" s="5" t="s">
        <v>39</v>
      </c>
      <c r="H903" s="5" t="s">
        <v>3188</v>
      </c>
      <c r="I903" s="5" t="s">
        <v>2743</v>
      </c>
      <c r="J903" s="5" t="s">
        <v>149</v>
      </c>
      <c r="K903" s="4">
        <v>43525</v>
      </c>
      <c r="L903" s="4">
        <v>43525</v>
      </c>
      <c r="M903" s="9">
        <f t="shared" si="126"/>
        <v>5</v>
      </c>
      <c r="N903" s="4" t="str">
        <f t="shared" si="127"/>
        <v>] 2 ; 5 ]</v>
      </c>
      <c r="O903" s="5" t="s">
        <v>3782</v>
      </c>
      <c r="P903" s="5" t="s">
        <v>3782</v>
      </c>
      <c r="Q903" s="5">
        <v>1</v>
      </c>
      <c r="R903" s="5" t="str">
        <f t="shared" si="131"/>
        <v>Management &amp; Expertise</v>
      </c>
      <c r="S903" s="5" t="s">
        <v>3789</v>
      </c>
      <c r="T903" s="4">
        <v>30842</v>
      </c>
      <c r="U903" s="5">
        <f t="shared" si="128"/>
        <v>1984</v>
      </c>
      <c r="V903" s="5" t="s">
        <v>3793</v>
      </c>
      <c r="W903" s="9">
        <f t="shared" si="129"/>
        <v>40</v>
      </c>
      <c r="X903" s="5" t="str">
        <f t="shared" si="132"/>
        <v>[40 - 44 ans]</v>
      </c>
      <c r="Y903" s="5" t="str">
        <f t="shared" si="133"/>
        <v xml:space="preserve"> Mellenials </v>
      </c>
      <c r="Z903" s="9">
        <f t="shared" si="130"/>
        <v>20</v>
      </c>
      <c r="AA903" s="5" t="str">
        <f t="shared" si="134"/>
        <v>RAS</v>
      </c>
      <c r="AB903" s="5" t="s">
        <v>3807</v>
      </c>
      <c r="AC903" s="6" t="s">
        <v>3799</v>
      </c>
      <c r="AE903" s="5" t="s">
        <v>3844</v>
      </c>
      <c r="AF903" s="5" t="s">
        <v>4481</v>
      </c>
      <c r="AG903" s="5" t="s">
        <v>4485</v>
      </c>
      <c r="AH903" s="5" t="s">
        <v>4489</v>
      </c>
      <c r="AI903" s="5" t="s">
        <v>3971</v>
      </c>
      <c r="AJ903" s="5" t="s">
        <v>3972</v>
      </c>
      <c r="AK903" s="5" t="s">
        <v>3873</v>
      </c>
      <c r="AL903" s="5" t="s">
        <v>3858</v>
      </c>
    </row>
    <row r="904" spans="1:38" x14ac:dyDescent="0.3">
      <c r="A904" s="4">
        <v>45716</v>
      </c>
      <c r="B904" s="5" t="s">
        <v>3189</v>
      </c>
      <c r="C904" s="5" t="s">
        <v>3190</v>
      </c>
      <c r="D904" s="5" t="s">
        <v>3191</v>
      </c>
      <c r="E904" s="5" t="s">
        <v>4494</v>
      </c>
      <c r="G904" s="5" t="s">
        <v>137</v>
      </c>
      <c r="H904" s="5" t="s">
        <v>3192</v>
      </c>
      <c r="I904" s="5" t="s">
        <v>381</v>
      </c>
      <c r="J904" s="5" t="s">
        <v>1346</v>
      </c>
      <c r="K904" s="4">
        <v>43528</v>
      </c>
      <c r="L904" s="4">
        <v>43528</v>
      </c>
      <c r="M904" s="9">
        <f t="shared" si="126"/>
        <v>5</v>
      </c>
      <c r="N904" s="4" t="str">
        <f t="shared" si="127"/>
        <v>] 2 ; 5 ]</v>
      </c>
      <c r="O904" s="5" t="s">
        <v>3782</v>
      </c>
      <c r="P904" s="5" t="s">
        <v>3782</v>
      </c>
      <c r="Q904" s="5">
        <v>1</v>
      </c>
      <c r="R904" s="5" t="str">
        <f t="shared" si="131"/>
        <v>Management &amp; Expertise</v>
      </c>
      <c r="S904" s="5" t="s">
        <v>3789</v>
      </c>
      <c r="T904" s="4">
        <v>32210</v>
      </c>
      <c r="U904" s="5">
        <f t="shared" si="128"/>
        <v>1988</v>
      </c>
      <c r="V904" s="5" t="s">
        <v>3793</v>
      </c>
      <c r="W904" s="9">
        <f t="shared" si="129"/>
        <v>36</v>
      </c>
      <c r="X904" s="5" t="str">
        <f t="shared" si="132"/>
        <v>[35 - 39 ans ]</v>
      </c>
      <c r="Y904" s="5" t="str">
        <f t="shared" si="133"/>
        <v xml:space="preserve"> Mellenials </v>
      </c>
      <c r="Z904" s="9">
        <f t="shared" si="130"/>
        <v>24</v>
      </c>
      <c r="AA904" s="5" t="str">
        <f t="shared" si="134"/>
        <v>RAS</v>
      </c>
      <c r="AB904" s="5" t="s">
        <v>3806</v>
      </c>
      <c r="AC904" s="6" t="s">
        <v>3799</v>
      </c>
      <c r="AE904" s="5" t="s">
        <v>3844</v>
      </c>
      <c r="AF904" s="5" t="s">
        <v>4481</v>
      </c>
      <c r="AG904" s="5" t="s">
        <v>4485</v>
      </c>
      <c r="AH904" s="5" t="s">
        <v>4487</v>
      </c>
      <c r="AI904" s="5" t="s">
        <v>4452</v>
      </c>
      <c r="AJ904" s="5" t="s">
        <v>4453</v>
      </c>
      <c r="AK904" s="5" t="s">
        <v>4454</v>
      </c>
      <c r="AL904" s="5" t="s">
        <v>3858</v>
      </c>
    </row>
    <row r="905" spans="1:38" x14ac:dyDescent="0.3">
      <c r="A905" s="4">
        <v>45716</v>
      </c>
      <c r="B905" s="5" t="s">
        <v>3193</v>
      </c>
      <c r="C905" s="5" t="s">
        <v>3194</v>
      </c>
      <c r="D905" s="5" t="s">
        <v>3195</v>
      </c>
      <c r="E905" s="5" t="s">
        <v>4494</v>
      </c>
      <c r="G905" s="5" t="s">
        <v>39</v>
      </c>
      <c r="H905" s="5" t="s">
        <v>3196</v>
      </c>
      <c r="I905" s="5" t="s">
        <v>278</v>
      </c>
      <c r="J905" s="5" t="s">
        <v>278</v>
      </c>
      <c r="K905" s="4">
        <v>43535</v>
      </c>
      <c r="L905" s="4">
        <v>43535</v>
      </c>
      <c r="M905" s="9">
        <f t="shared" si="126"/>
        <v>5</v>
      </c>
      <c r="N905" s="4" t="str">
        <f t="shared" si="127"/>
        <v>] 2 ; 5 ]</v>
      </c>
      <c r="O905" s="5" t="s">
        <v>3782</v>
      </c>
      <c r="P905" s="5" t="s">
        <v>3782</v>
      </c>
      <c r="Q905" s="5">
        <v>1</v>
      </c>
      <c r="R905" s="5" t="str">
        <f t="shared" si="131"/>
        <v>Management &amp; Expertise</v>
      </c>
      <c r="S905" s="5" t="s">
        <v>3790</v>
      </c>
      <c r="T905" s="4">
        <v>33049</v>
      </c>
      <c r="U905" s="5">
        <f t="shared" si="128"/>
        <v>1990</v>
      </c>
      <c r="V905" s="5" t="s">
        <v>3792</v>
      </c>
      <c r="W905" s="9">
        <f t="shared" si="129"/>
        <v>34</v>
      </c>
      <c r="X905" s="5" t="str">
        <f t="shared" si="132"/>
        <v>[30 - 34 ans]</v>
      </c>
      <c r="Y905" s="5" t="str">
        <f t="shared" si="133"/>
        <v xml:space="preserve"> Mellenials </v>
      </c>
      <c r="Z905" s="9">
        <f t="shared" si="130"/>
        <v>26</v>
      </c>
      <c r="AA905" s="5" t="str">
        <f t="shared" si="134"/>
        <v>RAS</v>
      </c>
      <c r="AB905" s="5" t="s">
        <v>3807</v>
      </c>
      <c r="AC905" s="6" t="s">
        <v>3799</v>
      </c>
      <c r="AE905" s="5" t="s">
        <v>3844</v>
      </c>
      <c r="AF905" s="5" t="s">
        <v>4481</v>
      </c>
      <c r="AG905" s="5" t="s">
        <v>4485</v>
      </c>
      <c r="AH905" s="5" t="s">
        <v>4489</v>
      </c>
      <c r="AI905" s="5" t="s">
        <v>4458</v>
      </c>
      <c r="AJ905" s="5" t="s">
        <v>4323</v>
      </c>
      <c r="AK905" s="5" t="s">
        <v>3996</v>
      </c>
      <c r="AL905" s="5" t="s">
        <v>3858</v>
      </c>
    </row>
    <row r="906" spans="1:38" x14ac:dyDescent="0.3">
      <c r="A906" s="4">
        <v>45716</v>
      </c>
      <c r="B906" s="5" t="s">
        <v>3197</v>
      </c>
      <c r="C906" s="5" t="s">
        <v>3198</v>
      </c>
      <c r="D906" s="5" t="s">
        <v>3199</v>
      </c>
      <c r="E906" s="5" t="s">
        <v>4494</v>
      </c>
      <c r="G906" s="5" t="s">
        <v>39</v>
      </c>
      <c r="H906" s="5" t="s">
        <v>3200</v>
      </c>
      <c r="I906" s="5" t="s">
        <v>2146</v>
      </c>
      <c r="J906" s="5" t="s">
        <v>153</v>
      </c>
      <c r="K906" s="4">
        <v>43549</v>
      </c>
      <c r="L906" s="4">
        <v>43549</v>
      </c>
      <c r="M906" s="9">
        <f t="shared" si="126"/>
        <v>5</v>
      </c>
      <c r="N906" s="4" t="str">
        <f t="shared" si="127"/>
        <v>] 2 ; 5 ]</v>
      </c>
      <c r="O906" s="5" t="s">
        <v>3785</v>
      </c>
      <c r="P906" s="5" t="s">
        <v>3785</v>
      </c>
      <c r="Q906" s="5">
        <v>2</v>
      </c>
      <c r="R906" s="5" t="str">
        <f t="shared" si="131"/>
        <v>Specialisation</v>
      </c>
      <c r="S906" s="5" t="s">
        <v>3790</v>
      </c>
      <c r="T906" s="4">
        <v>34557</v>
      </c>
      <c r="U906" s="5">
        <f t="shared" si="128"/>
        <v>1994</v>
      </c>
      <c r="V906" s="5" t="s">
        <v>3792</v>
      </c>
      <c r="W906" s="9">
        <f t="shared" si="129"/>
        <v>30</v>
      </c>
      <c r="X906" s="5" t="str">
        <f t="shared" si="132"/>
        <v>[30 - 34 ans]</v>
      </c>
      <c r="Y906" s="5" t="str">
        <f t="shared" si="133"/>
        <v xml:space="preserve"> Mellenials </v>
      </c>
      <c r="Z906" s="9">
        <f t="shared" si="130"/>
        <v>30</v>
      </c>
      <c r="AA906" s="5" t="str">
        <f t="shared" si="134"/>
        <v>RAS</v>
      </c>
      <c r="AB906" s="5" t="s">
        <v>3807</v>
      </c>
      <c r="AC906" s="6" t="s">
        <v>3799</v>
      </c>
      <c r="AE906" s="5" t="s">
        <v>3844</v>
      </c>
      <c r="AF906" s="5" t="s">
        <v>4481</v>
      </c>
      <c r="AG906" s="5" t="s">
        <v>4485</v>
      </c>
      <c r="AH906" s="5" t="s">
        <v>4489</v>
      </c>
      <c r="AI906" s="5" t="s">
        <v>4390</v>
      </c>
      <c r="AJ906" s="5" t="s">
        <v>4391</v>
      </c>
      <c r="AK906" s="5" t="s">
        <v>4372</v>
      </c>
      <c r="AL906" s="5" t="s">
        <v>3858</v>
      </c>
    </row>
    <row r="907" spans="1:38" x14ac:dyDescent="0.3">
      <c r="A907" s="4">
        <v>45716</v>
      </c>
      <c r="B907" s="5" t="s">
        <v>3201</v>
      </c>
      <c r="C907" s="5" t="s">
        <v>3202</v>
      </c>
      <c r="D907" s="5" t="s">
        <v>3203</v>
      </c>
      <c r="E907" s="5" t="s">
        <v>4494</v>
      </c>
      <c r="G907" s="5" t="s">
        <v>39</v>
      </c>
      <c r="H907" s="5" t="s">
        <v>3204</v>
      </c>
      <c r="I907" s="5" t="s">
        <v>1218</v>
      </c>
      <c r="J907" s="5" t="s">
        <v>2821</v>
      </c>
      <c r="K907" s="4">
        <v>43570</v>
      </c>
      <c r="L907" s="4">
        <v>43570</v>
      </c>
      <c r="M907" s="9">
        <f t="shared" si="126"/>
        <v>5</v>
      </c>
      <c r="N907" s="4" t="str">
        <f t="shared" si="127"/>
        <v>] 2 ; 5 ]</v>
      </c>
      <c r="O907" s="5" t="s">
        <v>3784</v>
      </c>
      <c r="P907" s="5" t="s">
        <v>3784</v>
      </c>
      <c r="Q907" s="5">
        <v>1</v>
      </c>
      <c r="R907" s="5" t="str">
        <f t="shared" si="131"/>
        <v>Management &amp; Expertise</v>
      </c>
      <c r="S907" s="5" t="s">
        <v>3789</v>
      </c>
      <c r="T907" s="4">
        <v>31093</v>
      </c>
      <c r="U907" s="5">
        <f t="shared" si="128"/>
        <v>1985</v>
      </c>
      <c r="V907" s="5" t="s">
        <v>3793</v>
      </c>
      <c r="W907" s="9">
        <f t="shared" si="129"/>
        <v>40</v>
      </c>
      <c r="X907" s="5" t="str">
        <f t="shared" si="132"/>
        <v>[40 - 44 ans]</v>
      </c>
      <c r="Y907" s="5" t="str">
        <f t="shared" si="133"/>
        <v xml:space="preserve"> Mellenials </v>
      </c>
      <c r="Z907" s="9">
        <f t="shared" si="130"/>
        <v>20</v>
      </c>
      <c r="AA907" s="5" t="str">
        <f t="shared" si="134"/>
        <v>RAS</v>
      </c>
      <c r="AB907" s="5" t="s">
        <v>3807</v>
      </c>
      <c r="AC907" s="6" t="s">
        <v>3799</v>
      </c>
      <c r="AE907" s="5" t="s">
        <v>3845</v>
      </c>
      <c r="AF907" s="5" t="s">
        <v>4481</v>
      </c>
      <c r="AG907" s="5" t="s">
        <v>4485</v>
      </c>
      <c r="AH907" s="5" t="s">
        <v>4489</v>
      </c>
      <c r="AI907" s="5" t="s">
        <v>4026</v>
      </c>
      <c r="AJ907" s="5" t="s">
        <v>4027</v>
      </c>
      <c r="AK907" s="5">
        <v>14100</v>
      </c>
      <c r="AL907" s="5" t="s">
        <v>3854</v>
      </c>
    </row>
    <row r="908" spans="1:38" x14ac:dyDescent="0.3">
      <c r="A908" s="4">
        <v>45716</v>
      </c>
      <c r="B908" s="5" t="s">
        <v>3205</v>
      </c>
      <c r="C908" s="5" t="s">
        <v>3206</v>
      </c>
      <c r="D908" s="5" t="s">
        <v>3207</v>
      </c>
      <c r="E908" s="5" t="s">
        <v>4494</v>
      </c>
      <c r="G908" s="5" t="s">
        <v>83</v>
      </c>
      <c r="H908" s="5" t="s">
        <v>3208</v>
      </c>
      <c r="I908" s="5" t="s">
        <v>2419</v>
      </c>
      <c r="J908" s="5" t="s">
        <v>1482</v>
      </c>
      <c r="K908" s="4">
        <v>43570</v>
      </c>
      <c r="L908" s="4">
        <v>43570</v>
      </c>
      <c r="M908" s="9">
        <f t="shared" si="126"/>
        <v>5</v>
      </c>
      <c r="N908" s="4" t="str">
        <f t="shared" si="127"/>
        <v>] 2 ; 5 ]</v>
      </c>
      <c r="O908" s="5" t="s">
        <v>3785</v>
      </c>
      <c r="P908" s="5" t="s">
        <v>3785</v>
      </c>
      <c r="Q908" s="5">
        <v>2</v>
      </c>
      <c r="R908" s="5" t="str">
        <f t="shared" si="131"/>
        <v>Specialisation</v>
      </c>
      <c r="S908" s="5" t="s">
        <v>3789</v>
      </c>
      <c r="T908" s="4">
        <v>30961</v>
      </c>
      <c r="U908" s="5">
        <f t="shared" si="128"/>
        <v>1984</v>
      </c>
      <c r="V908" s="5" t="s">
        <v>3793</v>
      </c>
      <c r="W908" s="9">
        <f t="shared" si="129"/>
        <v>40</v>
      </c>
      <c r="X908" s="5" t="str">
        <f t="shared" si="132"/>
        <v>[40 - 44 ans]</v>
      </c>
      <c r="Y908" s="5" t="str">
        <f t="shared" si="133"/>
        <v xml:space="preserve"> Mellenials </v>
      </c>
      <c r="Z908" s="9">
        <f t="shared" si="130"/>
        <v>20</v>
      </c>
      <c r="AA908" s="5" t="str">
        <f t="shared" si="134"/>
        <v>RAS</v>
      </c>
      <c r="AB908" s="5" t="s">
        <v>3807</v>
      </c>
      <c r="AC908" s="6" t="s">
        <v>3799</v>
      </c>
      <c r="AE908" s="5" t="s">
        <v>3844</v>
      </c>
      <c r="AF908" s="5" t="s">
        <v>4481</v>
      </c>
      <c r="AG908" s="5" t="s">
        <v>4485</v>
      </c>
      <c r="AH908" s="5" t="s">
        <v>4489</v>
      </c>
      <c r="AI908" s="5" t="s">
        <v>4411</v>
      </c>
      <c r="AJ908" s="5" t="s">
        <v>4412</v>
      </c>
      <c r="AK908" s="5" t="s">
        <v>4430</v>
      </c>
      <c r="AL908" s="5" t="s">
        <v>3858</v>
      </c>
    </row>
    <row r="909" spans="1:38" x14ac:dyDescent="0.3">
      <c r="A909" s="4">
        <v>45716</v>
      </c>
      <c r="B909" s="5" t="s">
        <v>3209</v>
      </c>
      <c r="C909" s="5" t="s">
        <v>3210</v>
      </c>
      <c r="D909" s="5" t="s">
        <v>3211</v>
      </c>
      <c r="E909" s="5" t="s">
        <v>4494</v>
      </c>
      <c r="G909" s="5" t="s">
        <v>222</v>
      </c>
      <c r="H909" s="5" t="s">
        <v>3212</v>
      </c>
      <c r="I909" s="5" t="s">
        <v>3362</v>
      </c>
      <c r="J909" s="5" t="s">
        <v>2086</v>
      </c>
      <c r="K909" s="4">
        <v>43556</v>
      </c>
      <c r="L909" s="4">
        <v>43556</v>
      </c>
      <c r="M909" s="9">
        <f t="shared" si="126"/>
        <v>5</v>
      </c>
      <c r="N909" s="4" t="str">
        <f t="shared" si="127"/>
        <v>] 2 ; 5 ]</v>
      </c>
      <c r="O909" s="5" t="s">
        <v>3785</v>
      </c>
      <c r="P909" s="5" t="s">
        <v>3785</v>
      </c>
      <c r="Q909" s="5">
        <v>2</v>
      </c>
      <c r="R909" s="5" t="str">
        <f t="shared" si="131"/>
        <v>Specialisation</v>
      </c>
      <c r="S909" s="5" t="s">
        <v>3789</v>
      </c>
      <c r="T909" s="4">
        <v>34502</v>
      </c>
      <c r="U909" s="5">
        <f t="shared" si="128"/>
        <v>1994</v>
      </c>
      <c r="V909" s="5" t="s">
        <v>3792</v>
      </c>
      <c r="W909" s="9">
        <f t="shared" si="129"/>
        <v>30</v>
      </c>
      <c r="X909" s="5" t="str">
        <f t="shared" si="132"/>
        <v>[30 - 34 ans]</v>
      </c>
      <c r="Y909" s="5" t="str">
        <f t="shared" si="133"/>
        <v xml:space="preserve"> Mellenials </v>
      </c>
      <c r="Z909" s="9">
        <f t="shared" si="130"/>
        <v>30</v>
      </c>
      <c r="AA909" s="5" t="str">
        <f t="shared" si="134"/>
        <v>RAS</v>
      </c>
      <c r="AB909" s="5" t="s">
        <v>3837</v>
      </c>
      <c r="AC909" s="6" t="s">
        <v>3799</v>
      </c>
      <c r="AE909" s="5" t="s">
        <v>3844</v>
      </c>
      <c r="AF909" s="5" t="s">
        <v>4481</v>
      </c>
      <c r="AG909" s="5" t="s">
        <v>4485</v>
      </c>
      <c r="AH909" s="5" t="s">
        <v>4487</v>
      </c>
      <c r="AI909" s="5" t="s">
        <v>4421</v>
      </c>
      <c r="AJ909" s="5" t="s">
        <v>4422</v>
      </c>
      <c r="AK909" s="5" t="s">
        <v>4423</v>
      </c>
      <c r="AL909" s="5" t="s">
        <v>3858</v>
      </c>
    </row>
    <row r="910" spans="1:38" x14ac:dyDescent="0.3">
      <c r="A910" s="4">
        <v>45716</v>
      </c>
      <c r="B910" s="5" t="s">
        <v>3213</v>
      </c>
      <c r="C910" s="5" t="s">
        <v>3214</v>
      </c>
      <c r="D910" s="5" t="s">
        <v>3215</v>
      </c>
      <c r="E910" s="5" t="s">
        <v>4494</v>
      </c>
      <c r="G910" s="5" t="s">
        <v>39</v>
      </c>
      <c r="H910" s="5" t="s">
        <v>2117</v>
      </c>
      <c r="I910" s="5" t="s">
        <v>1264</v>
      </c>
      <c r="J910" s="5" t="s">
        <v>149</v>
      </c>
      <c r="K910" s="4">
        <v>43600</v>
      </c>
      <c r="L910" s="4">
        <v>43600</v>
      </c>
      <c r="M910" s="9">
        <f t="shared" si="126"/>
        <v>5</v>
      </c>
      <c r="N910" s="4" t="str">
        <f t="shared" si="127"/>
        <v>] 2 ; 5 ]</v>
      </c>
      <c r="O910" s="5" t="s">
        <v>3785</v>
      </c>
      <c r="P910" s="5" t="s">
        <v>3785</v>
      </c>
      <c r="Q910" s="5">
        <v>2</v>
      </c>
      <c r="R910" s="5" t="str">
        <f t="shared" si="131"/>
        <v>Specialisation</v>
      </c>
      <c r="S910" s="5" t="s">
        <v>3789</v>
      </c>
      <c r="T910" s="4">
        <v>32316</v>
      </c>
      <c r="U910" s="5">
        <f t="shared" si="128"/>
        <v>1988</v>
      </c>
      <c r="V910" s="5" t="s">
        <v>3793</v>
      </c>
      <c r="W910" s="9">
        <f t="shared" si="129"/>
        <v>36</v>
      </c>
      <c r="X910" s="5" t="str">
        <f t="shared" si="132"/>
        <v>[35 - 39 ans ]</v>
      </c>
      <c r="Y910" s="5" t="str">
        <f t="shared" si="133"/>
        <v xml:space="preserve"> Mellenials </v>
      </c>
      <c r="Z910" s="9">
        <f t="shared" si="130"/>
        <v>24</v>
      </c>
      <c r="AA910" s="5" t="str">
        <f t="shared" si="134"/>
        <v>RAS</v>
      </c>
      <c r="AB910" s="5" t="s">
        <v>3807</v>
      </c>
      <c r="AC910" s="6" t="s">
        <v>3799</v>
      </c>
      <c r="AE910" s="5" t="s">
        <v>3844</v>
      </c>
      <c r="AF910" s="5" t="s">
        <v>4481</v>
      </c>
      <c r="AG910" s="5" t="s">
        <v>4485</v>
      </c>
      <c r="AH910" s="5" t="s">
        <v>4489</v>
      </c>
      <c r="AI910" s="5" t="s">
        <v>4365</v>
      </c>
      <c r="AJ910" s="5" t="s">
        <v>4366</v>
      </c>
      <c r="AK910" s="5" t="s">
        <v>4280</v>
      </c>
      <c r="AL910" s="5" t="s">
        <v>3858</v>
      </c>
    </row>
    <row r="911" spans="1:38" x14ac:dyDescent="0.3">
      <c r="A911" s="4">
        <v>45716</v>
      </c>
      <c r="B911" s="5" t="s">
        <v>3216</v>
      </c>
      <c r="C911" s="5" t="s">
        <v>3217</v>
      </c>
      <c r="D911" s="5" t="s">
        <v>3218</v>
      </c>
      <c r="E911" s="5" t="s">
        <v>4494</v>
      </c>
      <c r="G911" s="5" t="s">
        <v>83</v>
      </c>
      <c r="H911" s="5" t="s">
        <v>1438</v>
      </c>
      <c r="I911" s="5" t="s">
        <v>970</v>
      </c>
      <c r="J911" s="5" t="s">
        <v>1222</v>
      </c>
      <c r="K911" s="4">
        <v>43617</v>
      </c>
      <c r="L911" s="4">
        <v>43617</v>
      </c>
      <c r="M911" s="9">
        <f t="shared" si="126"/>
        <v>5</v>
      </c>
      <c r="N911" s="4" t="str">
        <f t="shared" si="127"/>
        <v>] 2 ; 5 ]</v>
      </c>
      <c r="O911" s="5" t="s">
        <v>3783</v>
      </c>
      <c r="P911" s="5" t="s">
        <v>3783</v>
      </c>
      <c r="Q911" s="5">
        <v>2</v>
      </c>
      <c r="R911" s="5" t="str">
        <f t="shared" si="131"/>
        <v>Specialisation</v>
      </c>
      <c r="S911" s="5" t="s">
        <v>3789</v>
      </c>
      <c r="T911" s="4">
        <v>32938</v>
      </c>
      <c r="U911" s="5">
        <f t="shared" si="128"/>
        <v>1990</v>
      </c>
      <c r="V911" s="5" t="s">
        <v>3792</v>
      </c>
      <c r="W911" s="9">
        <f t="shared" si="129"/>
        <v>34</v>
      </c>
      <c r="X911" s="5" t="str">
        <f t="shared" si="132"/>
        <v>[30 - 34 ans]</v>
      </c>
      <c r="Y911" s="5" t="str">
        <f t="shared" si="133"/>
        <v xml:space="preserve"> Mellenials </v>
      </c>
      <c r="Z911" s="9">
        <f t="shared" si="130"/>
        <v>26</v>
      </c>
      <c r="AA911" s="5" t="str">
        <f t="shared" si="134"/>
        <v>RAS</v>
      </c>
      <c r="AB911" s="5" t="s">
        <v>3807</v>
      </c>
      <c r="AC911" s="6" t="s">
        <v>3799</v>
      </c>
      <c r="AE911" s="5" t="s">
        <v>3844</v>
      </c>
      <c r="AF911" s="5" t="s">
        <v>4482</v>
      </c>
      <c r="AG911" s="5" t="s">
        <v>4485</v>
      </c>
      <c r="AH911" s="5" t="s">
        <v>4489</v>
      </c>
      <c r="AI911" s="5" t="s">
        <v>4225</v>
      </c>
      <c r="AJ911" s="5" t="s">
        <v>4397</v>
      </c>
      <c r="AK911" s="5" t="s">
        <v>4226</v>
      </c>
      <c r="AL911" s="5" t="s">
        <v>3858</v>
      </c>
    </row>
    <row r="912" spans="1:38" x14ac:dyDescent="0.3">
      <c r="A912" s="4">
        <v>45716</v>
      </c>
      <c r="B912" s="5" t="s">
        <v>3219</v>
      </c>
      <c r="C912" s="5" t="s">
        <v>3220</v>
      </c>
      <c r="D912" s="5" t="s">
        <v>3221</v>
      </c>
      <c r="E912" s="5" t="s">
        <v>4494</v>
      </c>
      <c r="G912" s="5" t="s">
        <v>83</v>
      </c>
      <c r="H912" s="5" t="s">
        <v>3222</v>
      </c>
      <c r="I912" s="5" t="s">
        <v>2636</v>
      </c>
      <c r="J912" s="5" t="s">
        <v>1482</v>
      </c>
      <c r="K912" s="4">
        <v>43630</v>
      </c>
      <c r="L912" s="4">
        <v>43630</v>
      </c>
      <c r="M912" s="9">
        <f t="shared" si="126"/>
        <v>5</v>
      </c>
      <c r="N912" s="4" t="str">
        <f t="shared" si="127"/>
        <v>] 2 ; 5 ]</v>
      </c>
      <c r="O912" s="5" t="s">
        <v>3785</v>
      </c>
      <c r="P912" s="5" t="s">
        <v>3785</v>
      </c>
      <c r="Q912" s="5">
        <v>2</v>
      </c>
      <c r="R912" s="5" t="str">
        <f t="shared" si="131"/>
        <v>Specialisation</v>
      </c>
      <c r="S912" s="5" t="s">
        <v>3789</v>
      </c>
      <c r="T912" s="4">
        <v>29483</v>
      </c>
      <c r="U912" s="5">
        <f t="shared" si="128"/>
        <v>1980</v>
      </c>
      <c r="V912" s="5" t="s">
        <v>3793</v>
      </c>
      <c r="W912" s="9">
        <f t="shared" si="129"/>
        <v>44</v>
      </c>
      <c r="X912" s="5" t="str">
        <f t="shared" si="132"/>
        <v>[40 - 44 ans]</v>
      </c>
      <c r="Y912" s="5" t="str">
        <f t="shared" si="133"/>
        <v xml:space="preserve"> Generation X </v>
      </c>
      <c r="Z912" s="9">
        <f t="shared" si="130"/>
        <v>16</v>
      </c>
      <c r="AA912" s="5" t="str">
        <f t="shared" si="134"/>
        <v>RAS</v>
      </c>
      <c r="AB912" s="5" t="s">
        <v>3807</v>
      </c>
      <c r="AC912" s="6" t="s">
        <v>3799</v>
      </c>
      <c r="AE912" s="5" t="s">
        <v>3844</v>
      </c>
      <c r="AF912" s="5" t="s">
        <v>4481</v>
      </c>
      <c r="AG912" s="5" t="s">
        <v>4485</v>
      </c>
      <c r="AH912" s="5" t="s">
        <v>4489</v>
      </c>
      <c r="AI912" s="5" t="s">
        <v>4428</v>
      </c>
      <c r="AJ912" s="5" t="s">
        <v>4429</v>
      </c>
      <c r="AK912" s="5" t="s">
        <v>4430</v>
      </c>
      <c r="AL912" s="5" t="s">
        <v>3858</v>
      </c>
    </row>
    <row r="913" spans="1:38" x14ac:dyDescent="0.3">
      <c r="A913" s="4">
        <v>45716</v>
      </c>
      <c r="B913" s="5" t="s">
        <v>3223</v>
      </c>
      <c r="C913" s="5" t="s">
        <v>3224</v>
      </c>
      <c r="D913" s="5" t="s">
        <v>3225</v>
      </c>
      <c r="E913" s="5" t="s">
        <v>4494</v>
      </c>
      <c r="G913" s="5" t="s">
        <v>78</v>
      </c>
      <c r="H913" s="5" t="s">
        <v>3226</v>
      </c>
      <c r="I913" s="5" t="s">
        <v>3762</v>
      </c>
      <c r="J913" s="5" t="s">
        <v>1357</v>
      </c>
      <c r="K913" s="4">
        <v>43617</v>
      </c>
      <c r="L913" s="4">
        <v>40150</v>
      </c>
      <c r="M913" s="9">
        <f t="shared" si="126"/>
        <v>15</v>
      </c>
      <c r="N913" s="4" t="str">
        <f t="shared" si="127"/>
        <v>] 10 ; 15 ]</v>
      </c>
      <c r="O913" s="5" t="s">
        <v>3785</v>
      </c>
      <c r="P913" s="5" t="s">
        <v>3785</v>
      </c>
      <c r="Q913" s="5">
        <v>2</v>
      </c>
      <c r="R913" s="5" t="str">
        <f t="shared" si="131"/>
        <v>Specialisation</v>
      </c>
      <c r="S913" s="5" t="s">
        <v>3789</v>
      </c>
      <c r="T913" s="4">
        <v>30067</v>
      </c>
      <c r="U913" s="5">
        <f t="shared" si="128"/>
        <v>1982</v>
      </c>
      <c r="V913" s="5" t="s">
        <v>3793</v>
      </c>
      <c r="W913" s="9">
        <f t="shared" si="129"/>
        <v>42</v>
      </c>
      <c r="X913" s="5" t="str">
        <f t="shared" si="132"/>
        <v>[40 - 44 ans]</v>
      </c>
      <c r="Y913" s="5" t="str">
        <f t="shared" si="133"/>
        <v xml:space="preserve"> Mellenials </v>
      </c>
      <c r="Z913" s="9">
        <f t="shared" si="130"/>
        <v>18</v>
      </c>
      <c r="AA913" s="5" t="str">
        <f t="shared" si="134"/>
        <v>RAS</v>
      </c>
      <c r="AB913" s="5" t="s">
        <v>3808</v>
      </c>
      <c r="AC913" s="6" t="s">
        <v>3799</v>
      </c>
      <c r="AE913" s="5" t="s">
        <v>3845</v>
      </c>
      <c r="AF913" s="5" t="s">
        <v>4481</v>
      </c>
      <c r="AG913" s="5" t="s">
        <v>4485</v>
      </c>
      <c r="AH913" s="5" t="s">
        <v>4488</v>
      </c>
      <c r="AI913" s="5" t="s">
        <v>4257</v>
      </c>
      <c r="AJ913" s="5" t="s">
        <v>4258</v>
      </c>
      <c r="AK913" s="5" t="s">
        <v>4090</v>
      </c>
      <c r="AL913" s="5" t="s">
        <v>3854</v>
      </c>
    </row>
    <row r="914" spans="1:38" x14ac:dyDescent="0.3">
      <c r="A914" s="4">
        <v>45716</v>
      </c>
      <c r="B914" s="5" t="s">
        <v>3227</v>
      </c>
      <c r="C914" s="5" t="s">
        <v>3228</v>
      </c>
      <c r="D914" s="5" t="s">
        <v>3229</v>
      </c>
      <c r="E914" s="5" t="s">
        <v>4494</v>
      </c>
      <c r="G914" s="5" t="s">
        <v>83</v>
      </c>
      <c r="H914" s="5" t="s">
        <v>3230</v>
      </c>
      <c r="I914" s="5" t="s">
        <v>346</v>
      </c>
      <c r="J914" s="5" t="s">
        <v>82</v>
      </c>
      <c r="K914" s="4">
        <v>43678</v>
      </c>
      <c r="L914" s="4">
        <v>43678</v>
      </c>
      <c r="M914" s="9">
        <f t="shared" si="126"/>
        <v>5</v>
      </c>
      <c r="N914" s="4" t="str">
        <f t="shared" si="127"/>
        <v>] 2 ; 5 ]</v>
      </c>
      <c r="O914" s="5" t="s">
        <v>3782</v>
      </c>
      <c r="P914" s="5" t="s">
        <v>3782</v>
      </c>
      <c r="Q914" s="5">
        <v>1</v>
      </c>
      <c r="R914" s="5" t="str">
        <f t="shared" si="131"/>
        <v>Management &amp; Expertise</v>
      </c>
      <c r="S914" s="5" t="s">
        <v>3790</v>
      </c>
      <c r="T914" s="4">
        <v>31084</v>
      </c>
      <c r="U914" s="5">
        <f t="shared" si="128"/>
        <v>1985</v>
      </c>
      <c r="V914" s="5" t="s">
        <v>3793</v>
      </c>
      <c r="W914" s="9">
        <f t="shared" si="129"/>
        <v>40</v>
      </c>
      <c r="X914" s="5" t="str">
        <f t="shared" si="132"/>
        <v>[40 - 44 ans]</v>
      </c>
      <c r="Y914" s="5" t="str">
        <f t="shared" si="133"/>
        <v xml:space="preserve"> Mellenials </v>
      </c>
      <c r="Z914" s="9">
        <f t="shared" si="130"/>
        <v>20</v>
      </c>
      <c r="AA914" s="5" t="str">
        <f t="shared" si="134"/>
        <v>RAS</v>
      </c>
      <c r="AB914" s="5" t="s">
        <v>3807</v>
      </c>
      <c r="AC914" s="6" t="s">
        <v>3799</v>
      </c>
      <c r="AE914" s="5" t="s">
        <v>3844</v>
      </c>
      <c r="AF914" s="5" t="s">
        <v>4481</v>
      </c>
      <c r="AG914" s="5" t="s">
        <v>4485</v>
      </c>
      <c r="AH914" s="5" t="s">
        <v>4489</v>
      </c>
      <c r="AI914" s="5" t="s">
        <v>4426</v>
      </c>
      <c r="AJ914" s="5" t="s">
        <v>4427</v>
      </c>
      <c r="AK914" s="5">
        <v>13154</v>
      </c>
      <c r="AL914" s="5" t="s">
        <v>3858</v>
      </c>
    </row>
    <row r="915" spans="1:38" x14ac:dyDescent="0.3">
      <c r="A915" s="4">
        <v>45716</v>
      </c>
      <c r="B915" s="5" t="s">
        <v>3231</v>
      </c>
      <c r="C915" s="5" t="s">
        <v>3232</v>
      </c>
      <c r="D915" s="5" t="s">
        <v>3233</v>
      </c>
      <c r="E915" s="5" t="s">
        <v>4494</v>
      </c>
      <c r="G915" s="5" t="s">
        <v>39</v>
      </c>
      <c r="H915" s="5" t="s">
        <v>3234</v>
      </c>
      <c r="I915" s="5" t="s">
        <v>397</v>
      </c>
      <c r="J915" s="5" t="s">
        <v>1899</v>
      </c>
      <c r="K915" s="4">
        <v>43678</v>
      </c>
      <c r="L915" s="4">
        <v>43678</v>
      </c>
      <c r="M915" s="9">
        <f t="shared" si="126"/>
        <v>5</v>
      </c>
      <c r="N915" s="4" t="str">
        <f t="shared" si="127"/>
        <v>] 2 ; 5 ]</v>
      </c>
      <c r="O915" s="5" t="s">
        <v>3782</v>
      </c>
      <c r="P915" s="5" t="s">
        <v>3782</v>
      </c>
      <c r="Q915" s="5">
        <v>1</v>
      </c>
      <c r="R915" s="5" t="str">
        <f t="shared" si="131"/>
        <v>Management &amp; Expertise</v>
      </c>
      <c r="S915" s="5" t="s">
        <v>3789</v>
      </c>
      <c r="T915" s="4">
        <v>30465</v>
      </c>
      <c r="U915" s="5">
        <f t="shared" si="128"/>
        <v>1983</v>
      </c>
      <c r="V915" s="5" t="s">
        <v>3793</v>
      </c>
      <c r="W915" s="9">
        <f t="shared" si="129"/>
        <v>41</v>
      </c>
      <c r="X915" s="5" t="str">
        <f t="shared" si="132"/>
        <v>[40 - 44 ans]</v>
      </c>
      <c r="Y915" s="5" t="str">
        <f t="shared" si="133"/>
        <v xml:space="preserve"> Mellenials </v>
      </c>
      <c r="Z915" s="9">
        <f t="shared" si="130"/>
        <v>19</v>
      </c>
      <c r="AA915" s="5" t="str">
        <f t="shared" si="134"/>
        <v>RAS</v>
      </c>
      <c r="AB915" s="5" t="s">
        <v>3807</v>
      </c>
      <c r="AC915" s="6" t="s">
        <v>3799</v>
      </c>
      <c r="AE915" s="5" t="s">
        <v>3844</v>
      </c>
      <c r="AF915" s="5" t="s">
        <v>4481</v>
      </c>
      <c r="AG915" s="5" t="s">
        <v>4485</v>
      </c>
      <c r="AH915" s="5" t="s">
        <v>4489</v>
      </c>
      <c r="AI915" s="5" t="s">
        <v>4224</v>
      </c>
      <c r="AJ915" s="5" t="s">
        <v>4451</v>
      </c>
      <c r="AK915" s="5" t="s">
        <v>4030</v>
      </c>
      <c r="AL915" s="5" t="s">
        <v>3858</v>
      </c>
    </row>
    <row r="916" spans="1:38" x14ac:dyDescent="0.3">
      <c r="A916" s="4">
        <v>45716</v>
      </c>
      <c r="B916" s="5" t="s">
        <v>3235</v>
      </c>
      <c r="C916" s="5" t="s">
        <v>3236</v>
      </c>
      <c r="D916" s="5" t="s">
        <v>3237</v>
      </c>
      <c r="E916" s="5" t="s">
        <v>4494</v>
      </c>
      <c r="G916" s="5" t="s">
        <v>39</v>
      </c>
      <c r="H916" s="5" t="s">
        <v>3238</v>
      </c>
      <c r="I916" s="5" t="s">
        <v>2146</v>
      </c>
      <c r="J916" s="5" t="s">
        <v>153</v>
      </c>
      <c r="K916" s="4">
        <v>43709</v>
      </c>
      <c r="L916" s="4">
        <v>43709</v>
      </c>
      <c r="M916" s="9">
        <f t="shared" si="126"/>
        <v>5</v>
      </c>
      <c r="N916" s="4" t="str">
        <f t="shared" si="127"/>
        <v>] 2 ; 5 ]</v>
      </c>
      <c r="O916" s="5" t="s">
        <v>3782</v>
      </c>
      <c r="P916" s="5" t="s">
        <v>3782</v>
      </c>
      <c r="Q916" s="5">
        <v>1</v>
      </c>
      <c r="R916" s="5" t="str">
        <f t="shared" si="131"/>
        <v>Management &amp; Expertise</v>
      </c>
      <c r="S916" s="5" t="s">
        <v>3790</v>
      </c>
      <c r="T916" s="4">
        <v>33901</v>
      </c>
      <c r="U916" s="5">
        <f t="shared" si="128"/>
        <v>1992</v>
      </c>
      <c r="V916" s="5" t="s">
        <v>3793</v>
      </c>
      <c r="W916" s="9">
        <f t="shared" si="129"/>
        <v>32</v>
      </c>
      <c r="X916" s="5" t="str">
        <f t="shared" si="132"/>
        <v>[30 - 34 ans]</v>
      </c>
      <c r="Y916" s="5" t="str">
        <f t="shared" si="133"/>
        <v xml:space="preserve"> Mellenials </v>
      </c>
      <c r="Z916" s="9">
        <f t="shared" si="130"/>
        <v>28</v>
      </c>
      <c r="AA916" s="5" t="str">
        <f t="shared" si="134"/>
        <v>RAS</v>
      </c>
      <c r="AB916" s="5" t="s">
        <v>3807</v>
      </c>
      <c r="AC916" s="6" t="s">
        <v>3799</v>
      </c>
      <c r="AE916" s="5" t="s">
        <v>3844</v>
      </c>
      <c r="AF916" s="5" t="s">
        <v>4481</v>
      </c>
      <c r="AG916" s="5" t="s">
        <v>4485</v>
      </c>
      <c r="AH916" s="5" t="s">
        <v>4489</v>
      </c>
      <c r="AI916" s="5" t="s">
        <v>4390</v>
      </c>
      <c r="AJ916" s="5" t="s">
        <v>4391</v>
      </c>
      <c r="AK916" s="5" t="s">
        <v>4372</v>
      </c>
      <c r="AL916" s="5" t="s">
        <v>3858</v>
      </c>
    </row>
    <row r="917" spans="1:38" x14ac:dyDescent="0.3">
      <c r="A917" s="4">
        <v>45716</v>
      </c>
      <c r="B917" s="5" t="s">
        <v>3239</v>
      </c>
      <c r="C917" s="5" t="s">
        <v>3240</v>
      </c>
      <c r="D917" s="5" t="s">
        <v>3241</v>
      </c>
      <c r="E917" s="5" t="s">
        <v>4494</v>
      </c>
      <c r="G917" s="5" t="s">
        <v>39</v>
      </c>
      <c r="H917" s="5" t="s">
        <v>2721</v>
      </c>
      <c r="I917" s="5" t="s">
        <v>393</v>
      </c>
      <c r="J917" s="5" t="s">
        <v>153</v>
      </c>
      <c r="K917" s="4">
        <v>43709</v>
      </c>
      <c r="L917" s="4">
        <v>43709</v>
      </c>
      <c r="M917" s="9">
        <f t="shared" si="126"/>
        <v>5</v>
      </c>
      <c r="N917" s="4" t="str">
        <f t="shared" si="127"/>
        <v>] 2 ; 5 ]</v>
      </c>
      <c r="O917" s="5" t="s">
        <v>3785</v>
      </c>
      <c r="P917" s="5" t="s">
        <v>3785</v>
      </c>
      <c r="Q917" s="5">
        <v>2</v>
      </c>
      <c r="R917" s="5" t="str">
        <f t="shared" si="131"/>
        <v>Specialisation</v>
      </c>
      <c r="S917" s="5" t="s">
        <v>3790</v>
      </c>
      <c r="T917" s="4">
        <v>33813</v>
      </c>
      <c r="U917" s="5">
        <f t="shared" si="128"/>
        <v>1992</v>
      </c>
      <c r="V917" s="5" t="s">
        <v>3792</v>
      </c>
      <c r="W917" s="9">
        <f t="shared" si="129"/>
        <v>32</v>
      </c>
      <c r="X917" s="5" t="str">
        <f t="shared" si="132"/>
        <v>[30 - 34 ans]</v>
      </c>
      <c r="Y917" s="5" t="str">
        <f t="shared" si="133"/>
        <v xml:space="preserve"> Mellenials </v>
      </c>
      <c r="Z917" s="9">
        <f t="shared" si="130"/>
        <v>28</v>
      </c>
      <c r="AA917" s="5" t="str">
        <f t="shared" si="134"/>
        <v>RAS</v>
      </c>
      <c r="AB917" s="5" t="s">
        <v>3807</v>
      </c>
      <c r="AC917" s="6" t="s">
        <v>3799</v>
      </c>
      <c r="AE917" s="5" t="s">
        <v>3844</v>
      </c>
      <c r="AF917" s="5" t="s">
        <v>4481</v>
      </c>
      <c r="AG917" s="5" t="s">
        <v>4485</v>
      </c>
      <c r="AH917" s="5" t="s">
        <v>4489</v>
      </c>
      <c r="AI917" s="5" t="s">
        <v>4044</v>
      </c>
      <c r="AJ917" s="5" t="s">
        <v>4045</v>
      </c>
      <c r="AK917" s="5" t="s">
        <v>4046</v>
      </c>
      <c r="AL917" s="5" t="s">
        <v>3858</v>
      </c>
    </row>
    <row r="918" spans="1:38" x14ac:dyDescent="0.3">
      <c r="A918" s="4">
        <v>45716</v>
      </c>
      <c r="B918" s="5" t="s">
        <v>3242</v>
      </c>
      <c r="C918" s="5" t="s">
        <v>3243</v>
      </c>
      <c r="D918" s="5" t="s">
        <v>3244</v>
      </c>
      <c r="E918" s="5" t="s">
        <v>4494</v>
      </c>
      <c r="G918" s="5" t="s">
        <v>29</v>
      </c>
      <c r="H918" s="5" t="s">
        <v>3245</v>
      </c>
      <c r="I918" s="5" t="s">
        <v>157</v>
      </c>
      <c r="J918" s="5" t="s">
        <v>2355</v>
      </c>
      <c r="K918" s="4">
        <v>43739</v>
      </c>
      <c r="L918" s="4">
        <v>43739</v>
      </c>
      <c r="M918" s="9">
        <f t="shared" si="126"/>
        <v>5</v>
      </c>
      <c r="N918" s="4" t="str">
        <f t="shared" si="127"/>
        <v>] 2 ; 5 ]</v>
      </c>
      <c r="O918" s="5" t="s">
        <v>3782</v>
      </c>
      <c r="P918" s="5" t="s">
        <v>3782</v>
      </c>
      <c r="Q918" s="5">
        <v>1</v>
      </c>
      <c r="R918" s="5" t="str">
        <f t="shared" si="131"/>
        <v>Management &amp; Expertise</v>
      </c>
      <c r="S918" s="5" t="s">
        <v>3790</v>
      </c>
      <c r="T918" s="4">
        <v>33337</v>
      </c>
      <c r="U918" s="5">
        <f t="shared" si="128"/>
        <v>1991</v>
      </c>
      <c r="V918" s="5" t="s">
        <v>3793</v>
      </c>
      <c r="W918" s="9">
        <f t="shared" si="129"/>
        <v>33</v>
      </c>
      <c r="X918" s="5" t="str">
        <f t="shared" si="132"/>
        <v>[30 - 34 ans]</v>
      </c>
      <c r="Y918" s="5" t="str">
        <f t="shared" si="133"/>
        <v xml:space="preserve"> Mellenials </v>
      </c>
      <c r="Z918" s="9">
        <f t="shared" si="130"/>
        <v>27</v>
      </c>
      <c r="AA918" s="5" t="str">
        <f t="shared" si="134"/>
        <v>RAS</v>
      </c>
      <c r="AB918" s="5" t="s">
        <v>3806</v>
      </c>
      <c r="AC918" s="6" t="s">
        <v>3799</v>
      </c>
      <c r="AE918" s="5" t="s">
        <v>3844</v>
      </c>
      <c r="AF918" s="5" t="s">
        <v>4481</v>
      </c>
      <c r="AG918" s="5" t="s">
        <v>4485</v>
      </c>
      <c r="AH918" s="5" t="s">
        <v>4487</v>
      </c>
      <c r="AI918" s="5" t="s">
        <v>3935</v>
      </c>
      <c r="AJ918" s="5" t="s">
        <v>3936</v>
      </c>
      <c r="AK918" s="5" t="s">
        <v>3937</v>
      </c>
      <c r="AL918" s="5" t="s">
        <v>3858</v>
      </c>
    </row>
    <row r="919" spans="1:38" x14ac:dyDescent="0.3">
      <c r="A919" s="4">
        <v>45716</v>
      </c>
      <c r="B919" s="5" t="s">
        <v>3246</v>
      </c>
      <c r="C919" s="5" t="s">
        <v>3247</v>
      </c>
      <c r="D919" s="5" t="s">
        <v>3248</v>
      </c>
      <c r="E919" s="5" t="s">
        <v>4494</v>
      </c>
      <c r="G919" s="5" t="s">
        <v>39</v>
      </c>
      <c r="H919" s="5" t="s">
        <v>3249</v>
      </c>
      <c r="I919" s="5" t="s">
        <v>1698</v>
      </c>
      <c r="J919" s="5" t="s">
        <v>1256</v>
      </c>
      <c r="K919" s="4">
        <v>43739</v>
      </c>
      <c r="L919" s="4">
        <v>43739</v>
      </c>
      <c r="M919" s="9">
        <f t="shared" si="126"/>
        <v>5</v>
      </c>
      <c r="N919" s="4" t="str">
        <f t="shared" si="127"/>
        <v>] 2 ; 5 ]</v>
      </c>
      <c r="O919" s="5" t="s">
        <v>3785</v>
      </c>
      <c r="P919" s="5" t="s">
        <v>3785</v>
      </c>
      <c r="Q919" s="5">
        <v>1</v>
      </c>
      <c r="R919" s="5" t="str">
        <f t="shared" si="131"/>
        <v>Specialisation</v>
      </c>
      <c r="S919" s="5" t="s">
        <v>3789</v>
      </c>
      <c r="T919" s="4">
        <v>33155</v>
      </c>
      <c r="U919" s="5">
        <f t="shared" si="128"/>
        <v>1990</v>
      </c>
      <c r="V919" s="5" t="s">
        <v>3792</v>
      </c>
      <c r="W919" s="9">
        <f t="shared" si="129"/>
        <v>34</v>
      </c>
      <c r="X919" s="5" t="str">
        <f t="shared" si="132"/>
        <v>[30 - 34 ans]</v>
      </c>
      <c r="Y919" s="5" t="str">
        <f t="shared" si="133"/>
        <v xml:space="preserve"> Mellenials </v>
      </c>
      <c r="Z919" s="9">
        <f t="shared" si="130"/>
        <v>26</v>
      </c>
      <c r="AA919" s="5" t="str">
        <f t="shared" si="134"/>
        <v>RAS</v>
      </c>
      <c r="AB919" s="5" t="s">
        <v>3807</v>
      </c>
      <c r="AC919" s="6" t="s">
        <v>3799</v>
      </c>
      <c r="AE919" s="5" t="s">
        <v>3844</v>
      </c>
      <c r="AF919" s="5" t="s">
        <v>4481</v>
      </c>
      <c r="AG919" s="5" t="s">
        <v>4485</v>
      </c>
      <c r="AH919" s="5" t="s">
        <v>4489</v>
      </c>
      <c r="AI919" s="5" t="s">
        <v>4231</v>
      </c>
      <c r="AJ919" s="5" t="s">
        <v>4349</v>
      </c>
      <c r="AK919" s="5" t="s">
        <v>4232</v>
      </c>
      <c r="AL919" s="5" t="s">
        <v>3858</v>
      </c>
    </row>
    <row r="920" spans="1:38" x14ac:dyDescent="0.3">
      <c r="A920" s="4">
        <v>45716</v>
      </c>
      <c r="B920" s="5" t="s">
        <v>3250</v>
      </c>
      <c r="C920" s="5" t="s">
        <v>3251</v>
      </c>
      <c r="D920" s="5" t="s">
        <v>3252</v>
      </c>
      <c r="E920" s="5" t="s">
        <v>4494</v>
      </c>
      <c r="G920" s="5" t="s">
        <v>39</v>
      </c>
      <c r="H920" s="5" t="s">
        <v>4508</v>
      </c>
      <c r="I920" s="5" t="s">
        <v>3203</v>
      </c>
      <c r="J920" s="5" t="s">
        <v>1218</v>
      </c>
      <c r="K920" s="4">
        <v>43739</v>
      </c>
      <c r="L920" s="4">
        <v>43739</v>
      </c>
      <c r="M920" s="9">
        <f t="shared" si="126"/>
        <v>5</v>
      </c>
      <c r="N920" s="4" t="str">
        <f t="shared" si="127"/>
        <v>] 2 ; 5 ]</v>
      </c>
      <c r="O920" s="5" t="s">
        <v>3785</v>
      </c>
      <c r="P920" s="5" t="s">
        <v>3785</v>
      </c>
      <c r="Q920" s="5">
        <v>2</v>
      </c>
      <c r="R920" s="5" t="str">
        <f t="shared" si="131"/>
        <v>Specialisation</v>
      </c>
      <c r="S920" s="5" t="s">
        <v>3790</v>
      </c>
      <c r="T920" s="4">
        <v>32562</v>
      </c>
      <c r="U920" s="5">
        <f t="shared" si="128"/>
        <v>1989</v>
      </c>
      <c r="V920" s="5" t="s">
        <v>3792</v>
      </c>
      <c r="W920" s="9">
        <f t="shared" si="129"/>
        <v>36</v>
      </c>
      <c r="X920" s="5" t="str">
        <f t="shared" si="132"/>
        <v>[35 - 39 ans ]</v>
      </c>
      <c r="Y920" s="5" t="str">
        <f t="shared" si="133"/>
        <v xml:space="preserve"> Mellenials </v>
      </c>
      <c r="Z920" s="9">
        <f t="shared" si="130"/>
        <v>24</v>
      </c>
      <c r="AA920" s="5" t="str">
        <f t="shared" si="134"/>
        <v>RAS</v>
      </c>
      <c r="AB920" s="5" t="s">
        <v>3807</v>
      </c>
      <c r="AC920" s="6" t="s">
        <v>3799</v>
      </c>
      <c r="AE920" s="5" t="s">
        <v>3844</v>
      </c>
      <c r="AF920" s="5" t="s">
        <v>4481</v>
      </c>
      <c r="AG920" s="5" t="s">
        <v>4485</v>
      </c>
      <c r="AH920" s="5" t="s">
        <v>4489</v>
      </c>
      <c r="AI920" s="5" t="s">
        <v>4026</v>
      </c>
      <c r="AJ920" s="5" t="s">
        <v>4027</v>
      </c>
      <c r="AK920" s="5">
        <v>14100</v>
      </c>
      <c r="AL920" s="5" t="s">
        <v>3858</v>
      </c>
    </row>
    <row r="921" spans="1:38" x14ac:dyDescent="0.3">
      <c r="A921" s="4">
        <v>45716</v>
      </c>
      <c r="B921" s="5" t="s">
        <v>3253</v>
      </c>
      <c r="C921" s="5" t="s">
        <v>3254</v>
      </c>
      <c r="D921" s="5" t="s">
        <v>3255</v>
      </c>
      <c r="E921" s="5" t="s">
        <v>4494</v>
      </c>
      <c r="G921" s="5" t="s">
        <v>88</v>
      </c>
      <c r="H921" s="5" t="s">
        <v>456</v>
      </c>
      <c r="I921" s="5" t="s">
        <v>652</v>
      </c>
      <c r="J921" s="5" t="s">
        <v>883</v>
      </c>
      <c r="K921" s="4">
        <v>43739</v>
      </c>
      <c r="L921" s="4">
        <v>43739</v>
      </c>
      <c r="M921" s="9">
        <f t="shared" si="126"/>
        <v>5</v>
      </c>
      <c r="N921" s="4" t="str">
        <f t="shared" si="127"/>
        <v>] 2 ; 5 ]</v>
      </c>
      <c r="O921" s="5" t="s">
        <v>3780</v>
      </c>
      <c r="P921" s="5" t="s">
        <v>3780</v>
      </c>
      <c r="Q921" s="5">
        <v>3</v>
      </c>
      <c r="R921" s="5" t="str">
        <f t="shared" si="131"/>
        <v>Qualification</v>
      </c>
      <c r="S921" s="5" t="s">
        <v>3790</v>
      </c>
      <c r="T921" s="4">
        <v>29497</v>
      </c>
      <c r="U921" s="5">
        <f t="shared" si="128"/>
        <v>1980</v>
      </c>
      <c r="V921" s="5" t="s">
        <v>3792</v>
      </c>
      <c r="W921" s="9">
        <f t="shared" si="129"/>
        <v>44</v>
      </c>
      <c r="X921" s="5" t="str">
        <f t="shared" si="132"/>
        <v>[40 - 44 ans]</v>
      </c>
      <c r="Y921" s="5" t="str">
        <f t="shared" si="133"/>
        <v xml:space="preserve"> Generation X </v>
      </c>
      <c r="Z921" s="9">
        <f t="shared" si="130"/>
        <v>16</v>
      </c>
      <c r="AA921" s="5" t="str">
        <f t="shared" si="134"/>
        <v>RAS</v>
      </c>
      <c r="AB921" s="5" t="s">
        <v>3822</v>
      </c>
      <c r="AC921" s="6" t="s">
        <v>3802</v>
      </c>
      <c r="AE921" s="5" t="s">
        <v>3844</v>
      </c>
      <c r="AF921" s="5" t="s">
        <v>4482</v>
      </c>
      <c r="AG921" s="5" t="s">
        <v>4485</v>
      </c>
      <c r="AH921" s="5" t="s">
        <v>4488</v>
      </c>
      <c r="AI921" s="5" t="s">
        <v>4166</v>
      </c>
      <c r="AJ921" s="5" t="s">
        <v>4167</v>
      </c>
      <c r="AK921" s="5" t="s">
        <v>4168</v>
      </c>
      <c r="AL921" s="5" t="s">
        <v>3858</v>
      </c>
    </row>
    <row r="922" spans="1:38" x14ac:dyDescent="0.3">
      <c r="A922" s="4">
        <v>45716</v>
      </c>
      <c r="B922" s="5" t="s">
        <v>3256</v>
      </c>
      <c r="C922" s="5" t="s">
        <v>3257</v>
      </c>
      <c r="D922" s="5" t="s">
        <v>3258</v>
      </c>
      <c r="E922" s="5" t="s">
        <v>4494</v>
      </c>
      <c r="G922" s="5" t="s">
        <v>83</v>
      </c>
      <c r="H922" s="5" t="s">
        <v>3259</v>
      </c>
      <c r="I922" s="5" t="s">
        <v>274</v>
      </c>
      <c r="J922" s="5" t="s">
        <v>1799</v>
      </c>
      <c r="K922" s="4">
        <v>43739</v>
      </c>
      <c r="L922" s="4">
        <v>40112</v>
      </c>
      <c r="M922" s="9">
        <f t="shared" si="126"/>
        <v>15</v>
      </c>
      <c r="N922" s="4" t="str">
        <f t="shared" si="127"/>
        <v>] 10 ; 15 ]</v>
      </c>
      <c r="O922" s="5" t="s">
        <v>3785</v>
      </c>
      <c r="P922" s="5" t="s">
        <v>3785</v>
      </c>
      <c r="Q922" s="5">
        <v>2</v>
      </c>
      <c r="R922" s="5" t="str">
        <f t="shared" si="131"/>
        <v>Specialisation</v>
      </c>
      <c r="S922" s="5" t="s">
        <v>3789</v>
      </c>
      <c r="T922" s="4">
        <v>29748</v>
      </c>
      <c r="U922" s="5">
        <f t="shared" si="128"/>
        <v>1981</v>
      </c>
      <c r="V922" s="5" t="s">
        <v>3793</v>
      </c>
      <c r="W922" s="9">
        <f t="shared" si="129"/>
        <v>43</v>
      </c>
      <c r="X922" s="5" t="str">
        <f t="shared" si="132"/>
        <v>[40 - 44 ans]</v>
      </c>
      <c r="Y922" s="5" t="str">
        <f t="shared" si="133"/>
        <v xml:space="preserve"> Mellenials </v>
      </c>
      <c r="Z922" s="9">
        <f t="shared" si="130"/>
        <v>17</v>
      </c>
      <c r="AA922" s="5" t="str">
        <f t="shared" si="134"/>
        <v>RAS</v>
      </c>
      <c r="AB922" s="5" t="s">
        <v>3806</v>
      </c>
      <c r="AC922" s="6" t="s">
        <v>3799</v>
      </c>
      <c r="AE922" s="5" t="s">
        <v>3844</v>
      </c>
      <c r="AF922" s="5" t="s">
        <v>4481</v>
      </c>
      <c r="AG922" s="5" t="s">
        <v>4485</v>
      </c>
      <c r="AH922" s="5" t="s">
        <v>4489</v>
      </c>
      <c r="AI922" s="5" t="s">
        <v>3991</v>
      </c>
      <c r="AJ922" s="5" t="s">
        <v>3992</v>
      </c>
      <c r="AK922" s="5" t="s">
        <v>3993</v>
      </c>
      <c r="AL922" s="5" t="s">
        <v>3858</v>
      </c>
    </row>
    <row r="923" spans="1:38" x14ac:dyDescent="0.3">
      <c r="A923" s="4">
        <v>45716</v>
      </c>
      <c r="B923" s="5" t="s">
        <v>3260</v>
      </c>
      <c r="C923" s="5" t="s">
        <v>3261</v>
      </c>
      <c r="D923" s="5" t="s">
        <v>3262</v>
      </c>
      <c r="E923" s="5" t="s">
        <v>4494</v>
      </c>
      <c r="G923" s="5" t="s">
        <v>39</v>
      </c>
      <c r="H923" s="5" t="s">
        <v>3263</v>
      </c>
      <c r="I923" s="5" t="s">
        <v>149</v>
      </c>
      <c r="J923" s="5" t="s">
        <v>2821</v>
      </c>
      <c r="K923" s="4">
        <v>43753</v>
      </c>
      <c r="L923" s="4">
        <v>43753</v>
      </c>
      <c r="M923" s="9">
        <f t="shared" si="126"/>
        <v>5</v>
      </c>
      <c r="N923" s="4" t="str">
        <f t="shared" si="127"/>
        <v>] 2 ; 5 ]</v>
      </c>
      <c r="O923" s="5" t="s">
        <v>3782</v>
      </c>
      <c r="P923" s="5" t="s">
        <v>3782</v>
      </c>
      <c r="Q923" s="5">
        <v>1</v>
      </c>
      <c r="R923" s="5" t="str">
        <f t="shared" si="131"/>
        <v>Management &amp; Expertise</v>
      </c>
      <c r="S923" s="5" t="s">
        <v>3790</v>
      </c>
      <c r="T923" s="4">
        <v>32451</v>
      </c>
      <c r="U923" s="5">
        <f t="shared" si="128"/>
        <v>1988</v>
      </c>
      <c r="V923" s="5" t="s">
        <v>3793</v>
      </c>
      <c r="W923" s="9">
        <f t="shared" si="129"/>
        <v>36</v>
      </c>
      <c r="X923" s="5" t="str">
        <f t="shared" si="132"/>
        <v>[35 - 39 ans ]</v>
      </c>
      <c r="Y923" s="5" t="str">
        <f t="shared" si="133"/>
        <v xml:space="preserve"> Mellenials </v>
      </c>
      <c r="Z923" s="9">
        <f t="shared" si="130"/>
        <v>24</v>
      </c>
      <c r="AA923" s="5" t="str">
        <f t="shared" si="134"/>
        <v>RAS</v>
      </c>
      <c r="AB923" s="5" t="s">
        <v>3807</v>
      </c>
      <c r="AC923" s="6" t="s">
        <v>3799</v>
      </c>
      <c r="AE923" s="5" t="s">
        <v>3845</v>
      </c>
      <c r="AF923" s="5" t="s">
        <v>4481</v>
      </c>
      <c r="AG923" s="5" t="s">
        <v>4485</v>
      </c>
      <c r="AH923" s="5" t="s">
        <v>4489</v>
      </c>
      <c r="AI923" s="5" t="s">
        <v>3871</v>
      </c>
      <c r="AJ923" s="5" t="s">
        <v>3872</v>
      </c>
      <c r="AK923" s="5" t="s">
        <v>3873</v>
      </c>
      <c r="AL923" s="5" t="s">
        <v>4202</v>
      </c>
    </row>
    <row r="924" spans="1:38" x14ac:dyDescent="0.3">
      <c r="A924" s="4">
        <v>45716</v>
      </c>
      <c r="B924" s="5" t="s">
        <v>3264</v>
      </c>
      <c r="C924" s="5" t="s">
        <v>3265</v>
      </c>
      <c r="D924" s="5" t="s">
        <v>3266</v>
      </c>
      <c r="E924" s="5" t="s">
        <v>4494</v>
      </c>
      <c r="G924" s="5" t="s">
        <v>39</v>
      </c>
      <c r="H924" s="5" t="s">
        <v>3267</v>
      </c>
      <c r="I924" s="5" t="s">
        <v>1702</v>
      </c>
      <c r="J924" s="5" t="s">
        <v>120</v>
      </c>
      <c r="K924" s="4">
        <v>43814</v>
      </c>
      <c r="L924" s="4">
        <v>43814</v>
      </c>
      <c r="M924" s="9">
        <f t="shared" si="126"/>
        <v>5</v>
      </c>
      <c r="N924" s="4" t="str">
        <f t="shared" si="127"/>
        <v>] 2 ; 5 ]</v>
      </c>
      <c r="O924" s="5" t="s">
        <v>3785</v>
      </c>
      <c r="P924" s="5" t="s">
        <v>3785</v>
      </c>
      <c r="Q924" s="5">
        <v>2</v>
      </c>
      <c r="R924" s="5" t="str">
        <f t="shared" si="131"/>
        <v>Specialisation</v>
      </c>
      <c r="S924" s="5" t="s">
        <v>3790</v>
      </c>
      <c r="T924" s="4">
        <v>33277</v>
      </c>
      <c r="U924" s="5">
        <f t="shared" si="128"/>
        <v>1991</v>
      </c>
      <c r="V924" s="5" t="s">
        <v>3792</v>
      </c>
      <c r="W924" s="9">
        <f t="shared" si="129"/>
        <v>34</v>
      </c>
      <c r="X924" s="5" t="str">
        <f t="shared" si="132"/>
        <v>[30 - 34 ans]</v>
      </c>
      <c r="Y924" s="5" t="str">
        <f t="shared" si="133"/>
        <v xml:space="preserve"> Mellenials </v>
      </c>
      <c r="Z924" s="9">
        <f t="shared" si="130"/>
        <v>26</v>
      </c>
      <c r="AA924" s="5" t="str">
        <f t="shared" si="134"/>
        <v>RAS</v>
      </c>
      <c r="AB924" s="5" t="s">
        <v>3807</v>
      </c>
      <c r="AC924" s="6" t="s">
        <v>3799</v>
      </c>
      <c r="AE924" s="5" t="s">
        <v>3844</v>
      </c>
      <c r="AF924" s="5" t="s">
        <v>4481</v>
      </c>
      <c r="AG924" s="5" t="s">
        <v>4485</v>
      </c>
      <c r="AH924" s="5" t="s">
        <v>4489</v>
      </c>
      <c r="AI924" s="5" t="s">
        <v>4203</v>
      </c>
      <c r="AJ924" s="5" t="s">
        <v>4249</v>
      </c>
      <c r="AK924" s="5" t="s">
        <v>3917</v>
      </c>
      <c r="AL924" s="5" t="s">
        <v>3858</v>
      </c>
    </row>
    <row r="925" spans="1:38" x14ac:dyDescent="0.3">
      <c r="A925" s="4">
        <v>45716</v>
      </c>
      <c r="B925" s="5" t="s">
        <v>3268</v>
      </c>
      <c r="C925" s="5" t="s">
        <v>3269</v>
      </c>
      <c r="D925" s="5" t="s">
        <v>3270</v>
      </c>
      <c r="E925" s="5" t="s">
        <v>4494</v>
      </c>
      <c r="G925" s="5" t="s">
        <v>39</v>
      </c>
      <c r="H925" s="5" t="s">
        <v>3271</v>
      </c>
      <c r="I925" s="5" t="s">
        <v>799</v>
      </c>
      <c r="J925" s="5" t="s">
        <v>1372</v>
      </c>
      <c r="K925" s="4">
        <v>43814</v>
      </c>
      <c r="L925" s="4">
        <v>43814</v>
      </c>
      <c r="M925" s="9">
        <f t="shared" si="126"/>
        <v>5</v>
      </c>
      <c r="N925" s="4" t="str">
        <f t="shared" si="127"/>
        <v>] 2 ; 5 ]</v>
      </c>
      <c r="O925" s="5" t="s">
        <v>3785</v>
      </c>
      <c r="P925" s="5" t="s">
        <v>3785</v>
      </c>
      <c r="Q925" s="5">
        <v>2</v>
      </c>
      <c r="R925" s="5" t="str">
        <f t="shared" si="131"/>
        <v>Specialisation</v>
      </c>
      <c r="S925" s="5" t="s">
        <v>3789</v>
      </c>
      <c r="T925" s="4">
        <v>34121</v>
      </c>
      <c r="U925" s="5">
        <f t="shared" si="128"/>
        <v>1993</v>
      </c>
      <c r="V925" s="5" t="s">
        <v>3792</v>
      </c>
      <c r="W925" s="9">
        <f t="shared" si="129"/>
        <v>31</v>
      </c>
      <c r="X925" s="5" t="str">
        <f t="shared" si="132"/>
        <v>[30 - 34 ans]</v>
      </c>
      <c r="Y925" s="5" t="str">
        <f t="shared" si="133"/>
        <v xml:space="preserve"> Mellenials </v>
      </c>
      <c r="Z925" s="9">
        <f t="shared" si="130"/>
        <v>29</v>
      </c>
      <c r="AA925" s="5" t="str">
        <f t="shared" si="134"/>
        <v>RAS</v>
      </c>
      <c r="AB925" s="5" t="s">
        <v>3805</v>
      </c>
      <c r="AC925" s="6" t="s">
        <v>3799</v>
      </c>
      <c r="AE925" s="5" t="s">
        <v>3844</v>
      </c>
      <c r="AF925" s="5" t="s">
        <v>4481</v>
      </c>
      <c r="AG925" s="5" t="s">
        <v>4485</v>
      </c>
      <c r="AH925" s="5" t="s">
        <v>4489</v>
      </c>
      <c r="AI925" s="5" t="s">
        <v>4199</v>
      </c>
      <c r="AJ925" s="5" t="s">
        <v>4459</v>
      </c>
      <c r="AK925" s="5" t="s">
        <v>4200</v>
      </c>
      <c r="AL925" s="5" t="s">
        <v>3858</v>
      </c>
    </row>
    <row r="926" spans="1:38" x14ac:dyDescent="0.3">
      <c r="A926" s="4">
        <v>45716</v>
      </c>
      <c r="B926" s="5" t="s">
        <v>3272</v>
      </c>
      <c r="C926" s="5" t="s">
        <v>3273</v>
      </c>
      <c r="D926" s="5" t="s">
        <v>3274</v>
      </c>
      <c r="E926" s="5" t="s">
        <v>4494</v>
      </c>
      <c r="G926" s="5" t="s">
        <v>39</v>
      </c>
      <c r="H926" s="5" t="s">
        <v>3275</v>
      </c>
      <c r="I926" s="5" t="s">
        <v>1256</v>
      </c>
      <c r="J926" s="5" t="s">
        <v>1899</v>
      </c>
      <c r="K926" s="4">
        <v>43927</v>
      </c>
      <c r="L926" s="4">
        <v>43927</v>
      </c>
      <c r="M926" s="9">
        <f t="shared" si="126"/>
        <v>4</v>
      </c>
      <c r="N926" s="4" t="str">
        <f t="shared" si="127"/>
        <v>] 2 ; 5 ]</v>
      </c>
      <c r="O926" s="5" t="s">
        <v>3782</v>
      </c>
      <c r="P926" s="5" t="s">
        <v>3782</v>
      </c>
      <c r="Q926" s="5">
        <v>2</v>
      </c>
      <c r="R926" s="5" t="str">
        <f t="shared" si="131"/>
        <v>Management &amp; Expertise</v>
      </c>
      <c r="S926" s="5" t="s">
        <v>3789</v>
      </c>
      <c r="T926" s="4">
        <v>29389</v>
      </c>
      <c r="U926" s="5">
        <f t="shared" si="128"/>
        <v>1980</v>
      </c>
      <c r="V926" s="5" t="s">
        <v>3793</v>
      </c>
      <c r="W926" s="9">
        <f t="shared" si="129"/>
        <v>44</v>
      </c>
      <c r="X926" s="5" t="str">
        <f t="shared" si="132"/>
        <v>[40 - 44 ans]</v>
      </c>
      <c r="Y926" s="5" t="str">
        <f t="shared" si="133"/>
        <v xml:space="preserve"> Generation X </v>
      </c>
      <c r="Z926" s="9">
        <f t="shared" si="130"/>
        <v>16</v>
      </c>
      <c r="AA926" s="5" t="str">
        <f t="shared" si="134"/>
        <v>RAS</v>
      </c>
      <c r="AB926" s="5" t="s">
        <v>3807</v>
      </c>
      <c r="AC926" s="6" t="s">
        <v>3799</v>
      </c>
      <c r="AE926" s="5" t="s">
        <v>3845</v>
      </c>
      <c r="AF926" s="5" t="s">
        <v>4481</v>
      </c>
      <c r="AG926" s="5" t="s">
        <v>4485</v>
      </c>
      <c r="AH926" s="5" t="s">
        <v>4489</v>
      </c>
      <c r="AI926" s="5" t="s">
        <v>4357</v>
      </c>
      <c r="AJ926" s="5" t="s">
        <v>4358</v>
      </c>
      <c r="AK926" s="5" t="s">
        <v>4280</v>
      </c>
      <c r="AL926" s="5" t="s">
        <v>3854</v>
      </c>
    </row>
    <row r="927" spans="1:38" x14ac:dyDescent="0.3">
      <c r="A927" s="4">
        <v>45716</v>
      </c>
      <c r="B927" s="5" t="s">
        <v>3276</v>
      </c>
      <c r="C927" s="5" t="s">
        <v>3277</v>
      </c>
      <c r="D927" s="5" t="s">
        <v>3278</v>
      </c>
      <c r="E927" s="5" t="s">
        <v>4494</v>
      </c>
      <c r="G927" s="5" t="s">
        <v>83</v>
      </c>
      <c r="H927" s="5" t="s">
        <v>3279</v>
      </c>
      <c r="I927" s="5" t="s">
        <v>1222</v>
      </c>
      <c r="J927" s="5" t="s">
        <v>82</v>
      </c>
      <c r="K927" s="4">
        <v>43936</v>
      </c>
      <c r="L927" s="4">
        <v>43936</v>
      </c>
      <c r="M927" s="9">
        <f t="shared" si="126"/>
        <v>4</v>
      </c>
      <c r="N927" s="4" t="str">
        <f t="shared" si="127"/>
        <v>] 2 ; 5 ]</v>
      </c>
      <c r="O927" s="5" t="s">
        <v>3782</v>
      </c>
      <c r="P927" s="5" t="s">
        <v>3782</v>
      </c>
      <c r="Q927" s="5">
        <v>1</v>
      </c>
      <c r="R927" s="5" t="str">
        <f t="shared" si="131"/>
        <v>Management &amp; Expertise</v>
      </c>
      <c r="S927" s="5" t="s">
        <v>3789</v>
      </c>
      <c r="T927" s="4">
        <v>32202</v>
      </c>
      <c r="U927" s="5">
        <f t="shared" si="128"/>
        <v>1988</v>
      </c>
      <c r="V927" s="5" t="s">
        <v>3792</v>
      </c>
      <c r="W927" s="9">
        <f t="shared" si="129"/>
        <v>36</v>
      </c>
      <c r="X927" s="5" t="str">
        <f t="shared" si="132"/>
        <v>[35 - 39 ans ]</v>
      </c>
      <c r="Y927" s="5" t="str">
        <f t="shared" si="133"/>
        <v xml:space="preserve"> Mellenials </v>
      </c>
      <c r="Z927" s="9">
        <f t="shared" si="130"/>
        <v>24</v>
      </c>
      <c r="AA927" s="5" t="str">
        <f t="shared" si="134"/>
        <v>RAS</v>
      </c>
      <c r="AB927" s="5" t="s">
        <v>3807</v>
      </c>
      <c r="AC927" s="6" t="s">
        <v>3799</v>
      </c>
      <c r="AE927" s="5" t="s">
        <v>3845</v>
      </c>
      <c r="AF927" s="5" t="s">
        <v>4481</v>
      </c>
      <c r="AG927" s="5" t="s">
        <v>4485</v>
      </c>
      <c r="AH927" s="5" t="s">
        <v>4489</v>
      </c>
      <c r="AI927" s="5" t="s">
        <v>4137</v>
      </c>
      <c r="AJ927" s="5" t="s">
        <v>4418</v>
      </c>
      <c r="AK927" s="5" t="s">
        <v>3903</v>
      </c>
      <c r="AL927" s="5" t="s">
        <v>3854</v>
      </c>
    </row>
    <row r="928" spans="1:38" x14ac:dyDescent="0.3">
      <c r="A928" s="4">
        <v>45716</v>
      </c>
      <c r="B928" s="5" t="s">
        <v>3280</v>
      </c>
      <c r="C928" s="5" t="s">
        <v>3281</v>
      </c>
      <c r="D928" s="5" t="s">
        <v>3282</v>
      </c>
      <c r="E928" s="5" t="s">
        <v>4494</v>
      </c>
      <c r="G928" s="5" t="s">
        <v>83</v>
      </c>
      <c r="H928" s="5" t="s">
        <v>386</v>
      </c>
      <c r="I928" s="5" t="s">
        <v>1241</v>
      </c>
      <c r="J928" s="5" t="s">
        <v>1903</v>
      </c>
      <c r="K928" s="4">
        <v>43992</v>
      </c>
      <c r="L928" s="4">
        <v>39615</v>
      </c>
      <c r="M928" s="9">
        <f t="shared" si="126"/>
        <v>16</v>
      </c>
      <c r="N928" s="4" t="str">
        <f t="shared" si="127"/>
        <v>] 15 ; +oo [</v>
      </c>
      <c r="O928" s="5" t="s">
        <v>3780</v>
      </c>
      <c r="P928" s="5" t="s">
        <v>3780</v>
      </c>
      <c r="Q928" s="5">
        <v>2</v>
      </c>
      <c r="R928" s="5" t="str">
        <f t="shared" si="131"/>
        <v>Qualification</v>
      </c>
      <c r="S928" s="5" t="s">
        <v>3789</v>
      </c>
      <c r="T928" s="4">
        <v>31205</v>
      </c>
      <c r="U928" s="5">
        <f t="shared" si="128"/>
        <v>1985</v>
      </c>
      <c r="V928" s="5" t="s">
        <v>3793</v>
      </c>
      <c r="W928" s="9">
        <f t="shared" si="129"/>
        <v>39</v>
      </c>
      <c r="X928" s="5" t="str">
        <f t="shared" si="132"/>
        <v>[35 - 39 ans ]</v>
      </c>
      <c r="Y928" s="5" t="str">
        <f t="shared" si="133"/>
        <v xml:space="preserve"> Mellenials </v>
      </c>
      <c r="Z928" s="9">
        <f t="shared" si="130"/>
        <v>21</v>
      </c>
      <c r="AA928" s="5" t="str">
        <f t="shared" si="134"/>
        <v>RAS</v>
      </c>
      <c r="AB928" s="5" t="s">
        <v>3807</v>
      </c>
      <c r="AC928" s="6" t="s">
        <v>3799</v>
      </c>
      <c r="AE928" s="5" t="s">
        <v>3844</v>
      </c>
      <c r="AF928" s="5" t="s">
        <v>4482</v>
      </c>
      <c r="AG928" s="5" t="s">
        <v>4485</v>
      </c>
      <c r="AH928" s="5" t="s">
        <v>4489</v>
      </c>
      <c r="AI928" s="5" t="s">
        <v>4039</v>
      </c>
      <c r="AJ928" s="5" t="s">
        <v>4040</v>
      </c>
      <c r="AK928" s="5" t="s">
        <v>4041</v>
      </c>
      <c r="AL928" s="5" t="s">
        <v>3858</v>
      </c>
    </row>
    <row r="929" spans="1:38" x14ac:dyDescent="0.3">
      <c r="A929" s="4">
        <v>45716</v>
      </c>
      <c r="B929" s="5" t="s">
        <v>3283</v>
      </c>
      <c r="C929" s="5" t="s">
        <v>3284</v>
      </c>
      <c r="D929" s="5" t="s">
        <v>3285</v>
      </c>
      <c r="E929" s="5" t="s">
        <v>4494</v>
      </c>
      <c r="G929" s="5" t="s">
        <v>83</v>
      </c>
      <c r="H929" s="5" t="s">
        <v>386</v>
      </c>
      <c r="I929" s="5" t="s">
        <v>1241</v>
      </c>
      <c r="J929" s="5" t="s">
        <v>1903</v>
      </c>
      <c r="K929" s="4">
        <v>43992</v>
      </c>
      <c r="L929" s="4">
        <v>40016</v>
      </c>
      <c r="M929" s="9">
        <f t="shared" si="126"/>
        <v>15</v>
      </c>
      <c r="N929" s="4" t="str">
        <f t="shared" si="127"/>
        <v>] 10 ; 15 ]</v>
      </c>
      <c r="O929" s="5" t="s">
        <v>3780</v>
      </c>
      <c r="P929" s="5" t="s">
        <v>3780</v>
      </c>
      <c r="Q929" s="5">
        <v>2</v>
      </c>
      <c r="R929" s="5" t="str">
        <f t="shared" si="131"/>
        <v>Qualification</v>
      </c>
      <c r="S929" s="5" t="s">
        <v>3789</v>
      </c>
      <c r="T929" s="4">
        <v>31207</v>
      </c>
      <c r="U929" s="5">
        <f t="shared" si="128"/>
        <v>1985</v>
      </c>
      <c r="V929" s="5" t="s">
        <v>3793</v>
      </c>
      <c r="W929" s="9">
        <f t="shared" si="129"/>
        <v>39</v>
      </c>
      <c r="X929" s="5" t="str">
        <f t="shared" si="132"/>
        <v>[35 - 39 ans ]</v>
      </c>
      <c r="Y929" s="5" t="str">
        <f t="shared" si="133"/>
        <v xml:space="preserve"> Mellenials </v>
      </c>
      <c r="Z929" s="9">
        <f t="shared" si="130"/>
        <v>21</v>
      </c>
      <c r="AA929" s="5" t="str">
        <f t="shared" si="134"/>
        <v>RAS</v>
      </c>
      <c r="AB929" s="5" t="s">
        <v>3807</v>
      </c>
      <c r="AC929" s="6" t="s">
        <v>3799</v>
      </c>
      <c r="AE929" s="5" t="s">
        <v>3844</v>
      </c>
      <c r="AF929" s="5" t="s">
        <v>4482</v>
      </c>
      <c r="AG929" s="5" t="s">
        <v>4485</v>
      </c>
      <c r="AH929" s="5" t="s">
        <v>4489</v>
      </c>
      <c r="AI929" s="5" t="s">
        <v>4039</v>
      </c>
      <c r="AJ929" s="5" t="s">
        <v>4040</v>
      </c>
      <c r="AK929" s="5" t="s">
        <v>4041</v>
      </c>
      <c r="AL929" s="5" t="s">
        <v>3858</v>
      </c>
    </row>
    <row r="930" spans="1:38" x14ac:dyDescent="0.3">
      <c r="A930" s="4">
        <v>45716</v>
      </c>
      <c r="B930" s="5" t="s">
        <v>3286</v>
      </c>
      <c r="C930" s="5" t="s">
        <v>3287</v>
      </c>
      <c r="D930" s="5" t="s">
        <v>3288</v>
      </c>
      <c r="E930" s="5" t="s">
        <v>4494</v>
      </c>
      <c r="G930" s="5" t="s">
        <v>787</v>
      </c>
      <c r="H930" s="5" t="s">
        <v>2837</v>
      </c>
      <c r="I930" s="5" t="s">
        <v>2936</v>
      </c>
      <c r="J930" s="5" t="s">
        <v>3419</v>
      </c>
      <c r="K930" s="4">
        <v>44027</v>
      </c>
      <c r="L930" s="4">
        <v>44027</v>
      </c>
      <c r="M930" s="9">
        <f t="shared" si="126"/>
        <v>4</v>
      </c>
      <c r="N930" s="4" t="str">
        <f t="shared" si="127"/>
        <v>] 2 ; 5 ]</v>
      </c>
      <c r="O930" s="5" t="s">
        <v>3785</v>
      </c>
      <c r="P930" s="5" t="s">
        <v>3785</v>
      </c>
      <c r="Q930" s="5">
        <v>1</v>
      </c>
      <c r="R930" s="5" t="str">
        <f t="shared" si="131"/>
        <v>Specialisation</v>
      </c>
      <c r="S930" s="5" t="s">
        <v>3790</v>
      </c>
      <c r="T930" s="4">
        <v>35134</v>
      </c>
      <c r="U930" s="5">
        <f t="shared" si="128"/>
        <v>1996</v>
      </c>
      <c r="V930" s="5" t="s">
        <v>3793</v>
      </c>
      <c r="W930" s="9">
        <f t="shared" si="129"/>
        <v>28</v>
      </c>
      <c r="X930" s="5" t="str">
        <f t="shared" si="132"/>
        <v>[20 - 29 ans[</v>
      </c>
      <c r="Y930" s="5" t="str">
        <f t="shared" si="133"/>
        <v xml:space="preserve"> Gen Alpha</v>
      </c>
      <c r="Z930" s="9">
        <f t="shared" si="130"/>
        <v>32</v>
      </c>
      <c r="AA930" s="5" t="str">
        <f t="shared" si="134"/>
        <v>RAS</v>
      </c>
      <c r="AB930" s="5" t="s">
        <v>3806</v>
      </c>
      <c r="AC930" s="6" t="s">
        <v>3799</v>
      </c>
      <c r="AE930" s="5" t="s">
        <v>3844</v>
      </c>
      <c r="AF930" s="5" t="s">
        <v>4481</v>
      </c>
      <c r="AG930" s="5" t="s">
        <v>4485</v>
      </c>
      <c r="AH930" s="5" t="s">
        <v>4487</v>
      </c>
      <c r="AI930" s="5" t="s">
        <v>4439</v>
      </c>
      <c r="AJ930" s="5" t="s">
        <v>4440</v>
      </c>
      <c r="AK930" s="5" t="s">
        <v>4195</v>
      </c>
      <c r="AL930" s="5" t="s">
        <v>3858</v>
      </c>
    </row>
    <row r="931" spans="1:38" x14ac:dyDescent="0.3">
      <c r="A931" s="4">
        <v>45716</v>
      </c>
      <c r="B931" s="5" t="s">
        <v>3289</v>
      </c>
      <c r="C931" s="5" t="s">
        <v>3290</v>
      </c>
      <c r="D931" s="5" t="s">
        <v>3291</v>
      </c>
      <c r="E931" s="5" t="s">
        <v>4494</v>
      </c>
      <c r="G931" s="5" t="s">
        <v>83</v>
      </c>
      <c r="H931" s="5" t="s">
        <v>1438</v>
      </c>
      <c r="I931" s="5" t="s">
        <v>96</v>
      </c>
      <c r="J931" s="5" t="s">
        <v>1222</v>
      </c>
      <c r="K931" s="4">
        <v>44060</v>
      </c>
      <c r="L931" s="4">
        <v>39767</v>
      </c>
      <c r="M931" s="9">
        <f t="shared" si="126"/>
        <v>16</v>
      </c>
      <c r="N931" s="4" t="str">
        <f t="shared" si="127"/>
        <v>] 15 ; +oo [</v>
      </c>
      <c r="O931" s="5" t="s">
        <v>3783</v>
      </c>
      <c r="P931" s="5" t="s">
        <v>3783</v>
      </c>
      <c r="Q931" s="5">
        <v>1</v>
      </c>
      <c r="R931" s="5" t="str">
        <f t="shared" si="131"/>
        <v>Specialisation</v>
      </c>
      <c r="S931" s="5" t="s">
        <v>3789</v>
      </c>
      <c r="T931" s="4">
        <v>31191</v>
      </c>
      <c r="U931" s="5">
        <f t="shared" si="128"/>
        <v>1985</v>
      </c>
      <c r="V931" s="5" t="s">
        <v>3792</v>
      </c>
      <c r="W931" s="9">
        <f t="shared" si="129"/>
        <v>39</v>
      </c>
      <c r="X931" s="5" t="str">
        <f t="shared" si="132"/>
        <v>[35 - 39 ans ]</v>
      </c>
      <c r="Y931" s="5" t="str">
        <f t="shared" si="133"/>
        <v xml:space="preserve"> Mellenials </v>
      </c>
      <c r="Z931" s="9">
        <f t="shared" si="130"/>
        <v>21</v>
      </c>
      <c r="AA931" s="5" t="str">
        <f t="shared" si="134"/>
        <v>RAS</v>
      </c>
      <c r="AB931" s="5" t="s">
        <v>3807</v>
      </c>
      <c r="AC931" s="6" t="s">
        <v>3799</v>
      </c>
      <c r="AE931" s="5" t="s">
        <v>3844</v>
      </c>
      <c r="AF931" s="5" t="s">
        <v>4482</v>
      </c>
      <c r="AG931" s="5" t="s">
        <v>4485</v>
      </c>
      <c r="AH931" s="5" t="s">
        <v>4489</v>
      </c>
      <c r="AI931" s="5" t="s">
        <v>3901</v>
      </c>
      <c r="AJ931" s="5" t="s">
        <v>3902</v>
      </c>
      <c r="AK931" s="5" t="s">
        <v>3903</v>
      </c>
      <c r="AL931" s="5" t="s">
        <v>3858</v>
      </c>
    </row>
    <row r="932" spans="1:38" x14ac:dyDescent="0.3">
      <c r="A932" s="4">
        <v>45716</v>
      </c>
      <c r="B932" s="5" t="s">
        <v>3292</v>
      </c>
      <c r="C932" s="5" t="s">
        <v>3293</v>
      </c>
      <c r="D932" s="5" t="s">
        <v>3294</v>
      </c>
      <c r="E932" s="5" t="s">
        <v>4494</v>
      </c>
      <c r="G932" s="5" t="s">
        <v>78</v>
      </c>
      <c r="H932" s="5" t="s">
        <v>3295</v>
      </c>
      <c r="I932" s="5" t="s">
        <v>169</v>
      </c>
      <c r="J932" s="5" t="s">
        <v>1357</v>
      </c>
      <c r="K932" s="4">
        <v>44075</v>
      </c>
      <c r="L932" s="4">
        <v>40002</v>
      </c>
      <c r="M932" s="9">
        <f t="shared" si="126"/>
        <v>15</v>
      </c>
      <c r="N932" s="4" t="str">
        <f t="shared" si="127"/>
        <v>] 10 ; 15 ]</v>
      </c>
      <c r="O932" s="5" t="s">
        <v>3782</v>
      </c>
      <c r="P932" s="5" t="s">
        <v>3782</v>
      </c>
      <c r="Q932" s="5">
        <v>1</v>
      </c>
      <c r="R932" s="5" t="str">
        <f t="shared" si="131"/>
        <v>Management &amp; Expertise</v>
      </c>
      <c r="S932" s="5" t="s">
        <v>3790</v>
      </c>
      <c r="T932" s="4">
        <v>30112</v>
      </c>
      <c r="U932" s="5">
        <f t="shared" si="128"/>
        <v>1982</v>
      </c>
      <c r="V932" s="5" t="s">
        <v>3793</v>
      </c>
      <c r="W932" s="9">
        <f t="shared" si="129"/>
        <v>42</v>
      </c>
      <c r="X932" s="5" t="str">
        <f t="shared" si="132"/>
        <v>[40 - 44 ans]</v>
      </c>
      <c r="Y932" s="5" t="str">
        <f t="shared" si="133"/>
        <v xml:space="preserve"> Mellenials </v>
      </c>
      <c r="Z932" s="9">
        <f t="shared" si="130"/>
        <v>18</v>
      </c>
      <c r="AA932" s="5" t="str">
        <f t="shared" si="134"/>
        <v>RAS</v>
      </c>
      <c r="AB932" s="5" t="s">
        <v>3808</v>
      </c>
      <c r="AC932" s="6" t="s">
        <v>3799</v>
      </c>
      <c r="AE932" s="5" t="s">
        <v>3845</v>
      </c>
      <c r="AF932" s="5" t="s">
        <v>4481</v>
      </c>
      <c r="AG932" s="5" t="s">
        <v>4485</v>
      </c>
      <c r="AH932" s="5" t="s">
        <v>4488</v>
      </c>
      <c r="AI932" s="5" t="s">
        <v>4460</v>
      </c>
      <c r="AJ932" s="5" t="s">
        <v>4461</v>
      </c>
      <c r="AK932" s="5" t="s">
        <v>4090</v>
      </c>
      <c r="AL932" s="5" t="s">
        <v>3854</v>
      </c>
    </row>
    <row r="933" spans="1:38" x14ac:dyDescent="0.3">
      <c r="A933" s="4">
        <v>45716</v>
      </c>
      <c r="B933" s="5" t="s">
        <v>3296</v>
      </c>
      <c r="C933" s="5" t="s">
        <v>3297</v>
      </c>
      <c r="D933" s="5" t="s">
        <v>3298</v>
      </c>
      <c r="E933" s="5" t="s">
        <v>4494</v>
      </c>
      <c r="G933" s="5" t="s">
        <v>88</v>
      </c>
      <c r="H933" s="5" t="s">
        <v>3299</v>
      </c>
      <c r="I933" s="5" t="s">
        <v>2728</v>
      </c>
      <c r="J933" s="5" t="s">
        <v>2739</v>
      </c>
      <c r="K933" s="4">
        <v>44088</v>
      </c>
      <c r="L933" s="4">
        <v>44088</v>
      </c>
      <c r="M933" s="9">
        <f t="shared" si="126"/>
        <v>4</v>
      </c>
      <c r="N933" s="4" t="str">
        <f t="shared" si="127"/>
        <v>] 2 ; 5 ]</v>
      </c>
      <c r="O933" s="5" t="s">
        <v>3785</v>
      </c>
      <c r="P933" s="5" t="s">
        <v>3785</v>
      </c>
      <c r="Q933" s="5">
        <v>1</v>
      </c>
      <c r="R933" s="5" t="str">
        <f t="shared" si="131"/>
        <v>Specialisation</v>
      </c>
      <c r="S933" s="5" t="s">
        <v>3790</v>
      </c>
      <c r="T933" s="4">
        <v>32732</v>
      </c>
      <c r="U933" s="5">
        <f t="shared" si="128"/>
        <v>1989</v>
      </c>
      <c r="V933" s="5" t="s">
        <v>3793</v>
      </c>
      <c r="W933" s="9">
        <f t="shared" si="129"/>
        <v>35</v>
      </c>
      <c r="X933" s="5" t="str">
        <f t="shared" si="132"/>
        <v>[35 - 39 ans ]</v>
      </c>
      <c r="Y933" s="5" t="str">
        <f t="shared" si="133"/>
        <v xml:space="preserve"> Mellenials </v>
      </c>
      <c r="Z933" s="9">
        <f t="shared" si="130"/>
        <v>25</v>
      </c>
      <c r="AA933" s="5" t="str">
        <f t="shared" si="134"/>
        <v>RAS</v>
      </c>
      <c r="AB933" s="5" t="s">
        <v>3806</v>
      </c>
      <c r="AC933" s="6" t="s">
        <v>3799</v>
      </c>
      <c r="AE933" s="5" t="s">
        <v>3844</v>
      </c>
      <c r="AF933" s="5" t="s">
        <v>4481</v>
      </c>
      <c r="AG933" s="5" t="s">
        <v>4485</v>
      </c>
      <c r="AH933" s="5" t="s">
        <v>4488</v>
      </c>
      <c r="AI933" s="5" t="s">
        <v>4432</v>
      </c>
      <c r="AJ933" s="5" t="s">
        <v>4438</v>
      </c>
      <c r="AK933" s="5">
        <v>11160</v>
      </c>
      <c r="AL933" s="5" t="s">
        <v>3858</v>
      </c>
    </row>
    <row r="934" spans="1:38" x14ac:dyDescent="0.3">
      <c r="A934" s="4">
        <v>45716</v>
      </c>
      <c r="B934" s="5" t="s">
        <v>3300</v>
      </c>
      <c r="C934" s="5" t="s">
        <v>3301</v>
      </c>
      <c r="D934" s="5" t="s">
        <v>3302</v>
      </c>
      <c r="E934" s="5" t="s">
        <v>4494</v>
      </c>
      <c r="G934" s="5" t="s">
        <v>24</v>
      </c>
      <c r="H934" s="5" t="s">
        <v>1138</v>
      </c>
      <c r="I934" s="5" t="s">
        <v>318</v>
      </c>
      <c r="J934" s="5" t="s">
        <v>23</v>
      </c>
      <c r="K934" s="4">
        <v>44095</v>
      </c>
      <c r="L934" s="4">
        <v>44095</v>
      </c>
      <c r="M934" s="9">
        <f t="shared" si="126"/>
        <v>4</v>
      </c>
      <c r="N934" s="4" t="str">
        <f t="shared" si="127"/>
        <v>] 2 ; 5 ]</v>
      </c>
      <c r="O934" s="5" t="s">
        <v>3785</v>
      </c>
      <c r="P934" s="5" t="s">
        <v>3785</v>
      </c>
      <c r="Q934" s="5">
        <v>1</v>
      </c>
      <c r="R934" s="5" t="str">
        <f t="shared" si="131"/>
        <v>Specialisation</v>
      </c>
      <c r="S934" s="5" t="s">
        <v>3789</v>
      </c>
      <c r="T934" s="4">
        <v>34056</v>
      </c>
      <c r="U934" s="5">
        <f t="shared" si="128"/>
        <v>1993</v>
      </c>
      <c r="V934" s="5" t="s">
        <v>3792</v>
      </c>
      <c r="W934" s="9">
        <f t="shared" si="129"/>
        <v>31</v>
      </c>
      <c r="X934" s="5" t="str">
        <f t="shared" si="132"/>
        <v>[30 - 34 ans]</v>
      </c>
      <c r="Y934" s="5" t="str">
        <f t="shared" si="133"/>
        <v xml:space="preserve"> Mellenials </v>
      </c>
      <c r="Z934" s="9">
        <f t="shared" si="130"/>
        <v>29</v>
      </c>
      <c r="AA934" s="5" t="str">
        <f t="shared" si="134"/>
        <v>RAS</v>
      </c>
      <c r="AB934" s="5" t="s">
        <v>3810</v>
      </c>
      <c r="AC934" s="6" t="s">
        <v>3801</v>
      </c>
      <c r="AE934" s="5" t="s">
        <v>3844</v>
      </c>
      <c r="AF934" s="5" t="s">
        <v>4481</v>
      </c>
      <c r="AG934" s="5" t="s">
        <v>4485</v>
      </c>
      <c r="AH934" s="5" t="s">
        <v>4488</v>
      </c>
      <c r="AI934" s="5" t="s">
        <v>4144</v>
      </c>
      <c r="AJ934" s="5" t="s">
        <v>4145</v>
      </c>
      <c r="AK934" s="5" t="s">
        <v>3983</v>
      </c>
      <c r="AL934" s="5" t="s">
        <v>3858</v>
      </c>
    </row>
    <row r="935" spans="1:38" x14ac:dyDescent="0.3">
      <c r="A935" s="4">
        <v>45716</v>
      </c>
      <c r="B935" s="5" t="s">
        <v>3303</v>
      </c>
      <c r="C935" s="5" t="s">
        <v>3304</v>
      </c>
      <c r="D935" s="5" t="s">
        <v>3305</v>
      </c>
      <c r="E935" s="5" t="s">
        <v>4494</v>
      </c>
      <c r="G935" s="5" t="s">
        <v>29</v>
      </c>
      <c r="H935" s="5" t="s">
        <v>1049</v>
      </c>
      <c r="I935" s="5" t="s">
        <v>2344</v>
      </c>
      <c r="J935" s="5" t="s">
        <v>128</v>
      </c>
      <c r="K935" s="4">
        <v>44116</v>
      </c>
      <c r="L935" s="4">
        <v>40112</v>
      </c>
      <c r="M935" s="9">
        <f t="shared" si="126"/>
        <v>15</v>
      </c>
      <c r="N935" s="4" t="str">
        <f t="shared" si="127"/>
        <v>] 10 ; 15 ]</v>
      </c>
      <c r="O935" s="5" t="s">
        <v>3783</v>
      </c>
      <c r="P935" s="5" t="s">
        <v>3783</v>
      </c>
      <c r="Q935" s="5">
        <v>1</v>
      </c>
      <c r="R935" s="5" t="str">
        <f t="shared" si="131"/>
        <v>Specialisation</v>
      </c>
      <c r="S935" s="5" t="s">
        <v>3789</v>
      </c>
      <c r="T935" s="4">
        <v>31056</v>
      </c>
      <c r="U935" s="5">
        <f t="shared" si="128"/>
        <v>1985</v>
      </c>
      <c r="V935" s="5" t="s">
        <v>3793</v>
      </c>
      <c r="W935" s="9">
        <f t="shared" si="129"/>
        <v>40</v>
      </c>
      <c r="X935" s="5" t="str">
        <f t="shared" si="132"/>
        <v>[40 - 44 ans]</v>
      </c>
      <c r="Y935" s="5" t="str">
        <f t="shared" si="133"/>
        <v xml:space="preserve"> Mellenials </v>
      </c>
      <c r="Z935" s="9">
        <f t="shared" si="130"/>
        <v>20</v>
      </c>
      <c r="AA935" s="5" t="str">
        <f t="shared" si="134"/>
        <v>RAS</v>
      </c>
      <c r="AB935" s="5" t="s">
        <v>3806</v>
      </c>
      <c r="AC935" s="6" t="s">
        <v>3799</v>
      </c>
      <c r="AE935" s="5" t="s">
        <v>3844</v>
      </c>
      <c r="AF935" s="5" t="s">
        <v>4482</v>
      </c>
      <c r="AG935" s="5" t="s">
        <v>4485</v>
      </c>
      <c r="AH935" s="5" t="s">
        <v>4487</v>
      </c>
      <c r="AI935" s="5" t="s">
        <v>4333</v>
      </c>
      <c r="AJ935" s="5" t="s">
        <v>4334</v>
      </c>
      <c r="AK935" s="5" t="s">
        <v>4335</v>
      </c>
      <c r="AL935" s="5" t="s">
        <v>3858</v>
      </c>
    </row>
    <row r="936" spans="1:38" x14ac:dyDescent="0.3">
      <c r="A936" s="4">
        <v>45716</v>
      </c>
      <c r="B936" s="5" t="s">
        <v>3306</v>
      </c>
      <c r="C936" s="5" t="s">
        <v>3307</v>
      </c>
      <c r="D936" s="5" t="s">
        <v>3308</v>
      </c>
      <c r="E936" s="5" t="s">
        <v>4494</v>
      </c>
      <c r="G936" s="5" t="s">
        <v>39</v>
      </c>
      <c r="H936" s="5" t="s">
        <v>3309</v>
      </c>
      <c r="I936" s="5" t="s">
        <v>354</v>
      </c>
      <c r="J936" s="5" t="s">
        <v>1899</v>
      </c>
      <c r="K936" s="4">
        <v>44197</v>
      </c>
      <c r="L936" s="4">
        <v>39580</v>
      </c>
      <c r="M936" s="9">
        <f t="shared" si="126"/>
        <v>16</v>
      </c>
      <c r="N936" s="4" t="str">
        <f t="shared" si="127"/>
        <v>] 15 ; +oo [</v>
      </c>
      <c r="O936" s="5" t="s">
        <v>3785</v>
      </c>
      <c r="P936" s="5" t="s">
        <v>3785</v>
      </c>
      <c r="Q936" s="5">
        <v>1</v>
      </c>
      <c r="R936" s="5" t="str">
        <f t="shared" si="131"/>
        <v>Specialisation</v>
      </c>
      <c r="S936" s="5" t="s">
        <v>3789</v>
      </c>
      <c r="T936" s="4">
        <v>30973</v>
      </c>
      <c r="U936" s="5">
        <f t="shared" si="128"/>
        <v>1984</v>
      </c>
      <c r="V936" s="5" t="s">
        <v>3792</v>
      </c>
      <c r="W936" s="9">
        <f t="shared" si="129"/>
        <v>40</v>
      </c>
      <c r="X936" s="5" t="str">
        <f t="shared" si="132"/>
        <v>[40 - 44 ans]</v>
      </c>
      <c r="Y936" s="5" t="str">
        <f t="shared" si="133"/>
        <v xml:space="preserve"> Mellenials </v>
      </c>
      <c r="Z936" s="9">
        <f t="shared" si="130"/>
        <v>20</v>
      </c>
      <c r="AA936" s="5" t="str">
        <f t="shared" si="134"/>
        <v>RAS</v>
      </c>
      <c r="AB936" s="5" t="s">
        <v>3805</v>
      </c>
      <c r="AC936" s="6" t="s">
        <v>3799</v>
      </c>
      <c r="AE936" s="5" t="s">
        <v>3844</v>
      </c>
      <c r="AF936" s="5" t="s">
        <v>4481</v>
      </c>
      <c r="AG936" s="5" t="s">
        <v>4485</v>
      </c>
      <c r="AH936" s="5" t="s">
        <v>4489</v>
      </c>
      <c r="AI936" s="5" t="s">
        <v>4023</v>
      </c>
      <c r="AJ936" s="5" t="s">
        <v>4024</v>
      </c>
      <c r="AK936" s="5" t="s">
        <v>4025</v>
      </c>
      <c r="AL936" s="5" t="s">
        <v>3858</v>
      </c>
    </row>
    <row r="937" spans="1:38" x14ac:dyDescent="0.3">
      <c r="A937" s="4">
        <v>45716</v>
      </c>
      <c r="B937" s="5" t="s">
        <v>3310</v>
      </c>
      <c r="C937" s="5" t="s">
        <v>3311</v>
      </c>
      <c r="D937" s="5" t="s">
        <v>3312</v>
      </c>
      <c r="E937" s="5" t="s">
        <v>4494</v>
      </c>
      <c r="G937" s="5" t="s">
        <v>178</v>
      </c>
      <c r="H937" s="5" t="s">
        <v>3313</v>
      </c>
      <c r="I937" s="5" t="s">
        <v>1393</v>
      </c>
      <c r="J937" s="5" t="s">
        <v>1368</v>
      </c>
      <c r="K937" s="4">
        <v>44228</v>
      </c>
      <c r="L937" s="7">
        <v>44228</v>
      </c>
      <c r="M937" s="9">
        <f t="shared" si="126"/>
        <v>4</v>
      </c>
      <c r="N937" s="4" t="str">
        <f t="shared" si="127"/>
        <v>] 2 ; 5 ]</v>
      </c>
      <c r="O937" s="5" t="s">
        <v>3784</v>
      </c>
      <c r="P937" s="5" t="s">
        <v>3784</v>
      </c>
      <c r="Q937" s="5">
        <v>1</v>
      </c>
      <c r="R937" s="5" t="str">
        <f t="shared" si="131"/>
        <v>Management &amp; Expertise</v>
      </c>
      <c r="S937" s="5" t="s">
        <v>3790</v>
      </c>
      <c r="T937" s="4">
        <v>32431</v>
      </c>
      <c r="U937" s="5">
        <f t="shared" si="128"/>
        <v>1988</v>
      </c>
      <c r="V937" s="5" t="s">
        <v>3793</v>
      </c>
      <c r="W937" s="9">
        <f t="shared" si="129"/>
        <v>36</v>
      </c>
      <c r="X937" s="5" t="str">
        <f t="shared" si="132"/>
        <v>[35 - 39 ans ]</v>
      </c>
      <c r="Y937" s="5" t="str">
        <f t="shared" si="133"/>
        <v xml:space="preserve"> Mellenials </v>
      </c>
      <c r="Z937" s="9">
        <f t="shared" si="130"/>
        <v>24</v>
      </c>
      <c r="AA937" s="5" t="str">
        <f t="shared" si="134"/>
        <v>RAS</v>
      </c>
      <c r="AB937" s="5" t="s">
        <v>3806</v>
      </c>
      <c r="AC937" s="6" t="s">
        <v>3799</v>
      </c>
      <c r="AE937" s="5" t="s">
        <v>3845</v>
      </c>
      <c r="AF937" s="5" t="s">
        <v>4481</v>
      </c>
      <c r="AG937" s="5" t="s">
        <v>4485</v>
      </c>
      <c r="AH937" s="5" t="s">
        <v>4488</v>
      </c>
      <c r="AI937" s="5" t="s">
        <v>4255</v>
      </c>
      <c r="AJ937" s="5" t="s">
        <v>4256</v>
      </c>
      <c r="AK937" s="5" t="s">
        <v>3980</v>
      </c>
      <c r="AL937" s="5" t="s">
        <v>3854</v>
      </c>
    </row>
    <row r="938" spans="1:38" x14ac:dyDescent="0.3">
      <c r="A938" s="4">
        <v>45716</v>
      </c>
      <c r="B938" s="5" t="s">
        <v>3314</v>
      </c>
      <c r="C938" s="5" t="s">
        <v>3315</v>
      </c>
      <c r="D938" s="5" t="s">
        <v>3316</v>
      </c>
      <c r="E938" s="5" t="s">
        <v>4494</v>
      </c>
      <c r="G938" s="5" t="s">
        <v>137</v>
      </c>
      <c r="H938" s="5" t="s">
        <v>3317</v>
      </c>
      <c r="I938" s="5" t="s">
        <v>1486</v>
      </c>
      <c r="J938" s="5" t="s">
        <v>1346</v>
      </c>
      <c r="K938" s="4">
        <v>44228</v>
      </c>
      <c r="L938" s="7">
        <v>44228</v>
      </c>
      <c r="M938" s="9">
        <f t="shared" si="126"/>
        <v>4</v>
      </c>
      <c r="N938" s="4" t="str">
        <f t="shared" si="127"/>
        <v>] 2 ; 5 ]</v>
      </c>
      <c r="O938" s="5" t="s">
        <v>3786</v>
      </c>
      <c r="P938" s="5" t="s">
        <v>3786</v>
      </c>
      <c r="Q938" s="5">
        <v>2</v>
      </c>
      <c r="R938" s="5" t="str">
        <f t="shared" si="131"/>
        <v>Specialisation</v>
      </c>
      <c r="S938" s="5" t="s">
        <v>3789</v>
      </c>
      <c r="T938" s="4">
        <v>33342</v>
      </c>
      <c r="U938" s="5">
        <f t="shared" si="128"/>
        <v>1991</v>
      </c>
      <c r="V938" s="5" t="s">
        <v>3792</v>
      </c>
      <c r="W938" s="9">
        <f t="shared" si="129"/>
        <v>33</v>
      </c>
      <c r="X938" s="5" t="str">
        <f t="shared" si="132"/>
        <v>[30 - 34 ans]</v>
      </c>
      <c r="Y938" s="5" t="str">
        <f t="shared" si="133"/>
        <v xml:space="preserve"> Mellenials </v>
      </c>
      <c r="Z938" s="9">
        <f t="shared" si="130"/>
        <v>27</v>
      </c>
      <c r="AA938" s="5" t="str">
        <f t="shared" si="134"/>
        <v>RAS</v>
      </c>
      <c r="AB938" s="5" t="s">
        <v>3806</v>
      </c>
      <c r="AC938" s="6" t="s">
        <v>3799</v>
      </c>
      <c r="AE938" s="5" t="s">
        <v>3844</v>
      </c>
      <c r="AF938" s="5" t="s">
        <v>4482</v>
      </c>
      <c r="AG938" s="5" t="s">
        <v>4485</v>
      </c>
      <c r="AH938" s="5" t="s">
        <v>4487</v>
      </c>
      <c r="AI938" s="5" t="s">
        <v>4205</v>
      </c>
      <c r="AJ938" s="5" t="s">
        <v>4462</v>
      </c>
      <c r="AK938" s="5" t="s">
        <v>3925</v>
      </c>
      <c r="AL938" s="5" t="s">
        <v>3858</v>
      </c>
    </row>
    <row r="939" spans="1:38" x14ac:dyDescent="0.3">
      <c r="A939" s="4">
        <v>45716</v>
      </c>
      <c r="B939" s="5" t="s">
        <v>3318</v>
      </c>
      <c r="C939" s="5" t="s">
        <v>3319</v>
      </c>
      <c r="D939" s="5" t="s">
        <v>3320</v>
      </c>
      <c r="E939" s="5" t="s">
        <v>4494</v>
      </c>
      <c r="G939" s="5" t="s">
        <v>83</v>
      </c>
      <c r="H939" s="5" t="s">
        <v>3321</v>
      </c>
      <c r="I939" s="5" t="s">
        <v>346</v>
      </c>
      <c r="J939" s="5" t="s">
        <v>82</v>
      </c>
      <c r="K939" s="4">
        <v>44440</v>
      </c>
      <c r="L939" s="4">
        <v>44440</v>
      </c>
      <c r="M939" s="9">
        <f t="shared" si="126"/>
        <v>3</v>
      </c>
      <c r="N939" s="4" t="str">
        <f t="shared" si="127"/>
        <v>] 2 ; 5 ]</v>
      </c>
      <c r="O939" s="5" t="s">
        <v>3782</v>
      </c>
      <c r="P939" s="5" t="s">
        <v>3782</v>
      </c>
      <c r="Q939" s="5">
        <v>1</v>
      </c>
      <c r="R939" s="5" t="str">
        <f t="shared" si="131"/>
        <v>Management &amp; Expertise</v>
      </c>
      <c r="S939" s="5" t="s">
        <v>3790</v>
      </c>
      <c r="T939" s="4">
        <v>31892</v>
      </c>
      <c r="U939" s="5">
        <f t="shared" si="128"/>
        <v>1987</v>
      </c>
      <c r="V939" s="5" t="s">
        <v>3792</v>
      </c>
      <c r="W939" s="9">
        <f t="shared" si="129"/>
        <v>37</v>
      </c>
      <c r="X939" s="5" t="str">
        <f t="shared" si="132"/>
        <v>[35 - 39 ans ]</v>
      </c>
      <c r="Y939" s="5" t="str">
        <f t="shared" si="133"/>
        <v xml:space="preserve"> Mellenials </v>
      </c>
      <c r="Z939" s="9">
        <f t="shared" si="130"/>
        <v>23</v>
      </c>
      <c r="AA939" s="5" t="str">
        <f t="shared" si="134"/>
        <v>RAS</v>
      </c>
      <c r="AB939" s="5" t="s">
        <v>3807</v>
      </c>
      <c r="AC939" s="6" t="s">
        <v>3799</v>
      </c>
      <c r="AE939" s="5" t="s">
        <v>3845</v>
      </c>
      <c r="AF939" s="5" t="s">
        <v>4481</v>
      </c>
      <c r="AG939" s="5" t="s">
        <v>4485</v>
      </c>
      <c r="AH939" s="5" t="s">
        <v>4489</v>
      </c>
      <c r="AI939" s="5" t="s">
        <v>4463</v>
      </c>
      <c r="AJ939" s="5" t="s">
        <v>4464</v>
      </c>
      <c r="AK939" s="5" t="s">
        <v>3993</v>
      </c>
      <c r="AL939" s="5" t="s">
        <v>3854</v>
      </c>
    </row>
    <row r="940" spans="1:38" x14ac:dyDescent="0.3">
      <c r="A940" s="4">
        <v>45716</v>
      </c>
      <c r="B940" s="5" t="s">
        <v>3322</v>
      </c>
      <c r="C940" s="5" t="s">
        <v>3323</v>
      </c>
      <c r="D940" s="5" t="s">
        <v>3324</v>
      </c>
      <c r="E940" s="5" t="s">
        <v>4494</v>
      </c>
      <c r="G940" s="5" t="s">
        <v>83</v>
      </c>
      <c r="H940" s="5" t="s">
        <v>3325</v>
      </c>
      <c r="I940" s="5" t="s">
        <v>346</v>
      </c>
      <c r="J940" s="5" t="s">
        <v>82</v>
      </c>
      <c r="K940" s="4">
        <v>44501</v>
      </c>
      <c r="L940" s="4">
        <v>44501</v>
      </c>
      <c r="M940" s="9">
        <f t="shared" si="126"/>
        <v>3</v>
      </c>
      <c r="N940" s="4" t="str">
        <f t="shared" si="127"/>
        <v>] 2 ; 5 ]</v>
      </c>
      <c r="O940" s="5" t="s">
        <v>3785</v>
      </c>
      <c r="P940" s="5" t="s">
        <v>3785</v>
      </c>
      <c r="Q940" s="5">
        <v>2</v>
      </c>
      <c r="R940" s="5" t="str">
        <f t="shared" si="131"/>
        <v>Specialisation</v>
      </c>
      <c r="S940" s="5" t="s">
        <v>3789</v>
      </c>
      <c r="T940" s="4">
        <v>29828</v>
      </c>
      <c r="U940" s="5">
        <f t="shared" si="128"/>
        <v>1981</v>
      </c>
      <c r="V940" s="5" t="s">
        <v>3793</v>
      </c>
      <c r="W940" s="9">
        <f t="shared" si="129"/>
        <v>43</v>
      </c>
      <c r="X940" s="5" t="str">
        <f t="shared" si="132"/>
        <v>[40 - 44 ans]</v>
      </c>
      <c r="Y940" s="5" t="str">
        <f t="shared" si="133"/>
        <v xml:space="preserve"> Mellenials </v>
      </c>
      <c r="Z940" s="9">
        <f t="shared" si="130"/>
        <v>17</v>
      </c>
      <c r="AA940" s="5" t="str">
        <f t="shared" si="134"/>
        <v>RAS</v>
      </c>
      <c r="AB940" s="5" t="s">
        <v>3807</v>
      </c>
      <c r="AC940" s="6" t="s">
        <v>3799</v>
      </c>
      <c r="AE940" s="5" t="s">
        <v>3844</v>
      </c>
      <c r="AF940" s="5" t="s">
        <v>4481</v>
      </c>
      <c r="AG940" s="5" t="s">
        <v>4485</v>
      </c>
      <c r="AH940" s="5" t="s">
        <v>4489</v>
      </c>
      <c r="AI940" s="5" t="s">
        <v>4021</v>
      </c>
      <c r="AJ940" s="5" t="s">
        <v>4022</v>
      </c>
      <c r="AK940" s="5">
        <v>13154</v>
      </c>
      <c r="AL940" s="5" t="s">
        <v>3858</v>
      </c>
    </row>
    <row r="941" spans="1:38" x14ac:dyDescent="0.3">
      <c r="A941" s="4">
        <v>45716</v>
      </c>
      <c r="B941" s="5" t="s">
        <v>3326</v>
      </c>
      <c r="C941" s="5" t="s">
        <v>3327</v>
      </c>
      <c r="D941" s="5" t="s">
        <v>3328</v>
      </c>
      <c r="E941" s="5" t="s">
        <v>4494</v>
      </c>
      <c r="G941" s="5" t="s">
        <v>83</v>
      </c>
      <c r="H941" s="5" t="s">
        <v>2953</v>
      </c>
      <c r="I941" s="5" t="s">
        <v>3278</v>
      </c>
      <c r="J941" s="5" t="s">
        <v>1222</v>
      </c>
      <c r="K941" s="4">
        <v>44496</v>
      </c>
      <c r="L941" s="4">
        <v>44496</v>
      </c>
      <c r="M941" s="9">
        <f t="shared" si="126"/>
        <v>3</v>
      </c>
      <c r="N941" s="4" t="str">
        <f t="shared" si="127"/>
        <v>] 2 ; 5 ]</v>
      </c>
      <c r="O941" s="5" t="s">
        <v>3785</v>
      </c>
      <c r="P941" s="5" t="s">
        <v>3785</v>
      </c>
      <c r="Q941" s="5">
        <v>2</v>
      </c>
      <c r="R941" s="5" t="str">
        <f t="shared" si="131"/>
        <v>Specialisation</v>
      </c>
      <c r="S941" s="5" t="s">
        <v>3789</v>
      </c>
      <c r="T941" s="4">
        <v>33089</v>
      </c>
      <c r="U941" s="5">
        <f t="shared" si="128"/>
        <v>1990</v>
      </c>
      <c r="V941" s="5" t="s">
        <v>3793</v>
      </c>
      <c r="W941" s="9">
        <f t="shared" si="129"/>
        <v>34</v>
      </c>
      <c r="X941" s="5" t="str">
        <f t="shared" si="132"/>
        <v>[30 - 34 ans]</v>
      </c>
      <c r="Y941" s="5" t="str">
        <f t="shared" si="133"/>
        <v xml:space="preserve"> Mellenials </v>
      </c>
      <c r="Z941" s="9">
        <f t="shared" si="130"/>
        <v>26</v>
      </c>
      <c r="AA941" s="5" t="str">
        <f t="shared" si="134"/>
        <v>RAS</v>
      </c>
      <c r="AB941" s="5" t="s">
        <v>3807</v>
      </c>
      <c r="AC941" s="6" t="s">
        <v>3799</v>
      </c>
      <c r="AE941" s="5" t="s">
        <v>3844</v>
      </c>
      <c r="AF941" s="5" t="s">
        <v>4481</v>
      </c>
      <c r="AG941" s="5" t="s">
        <v>4485</v>
      </c>
      <c r="AH941" s="5" t="s">
        <v>4489</v>
      </c>
      <c r="AI941" s="5" t="s">
        <v>4137</v>
      </c>
      <c r="AJ941" s="5" t="s">
        <v>4418</v>
      </c>
      <c r="AK941" s="5" t="s">
        <v>3903</v>
      </c>
      <c r="AL941" s="5" t="s">
        <v>3858</v>
      </c>
    </row>
    <row r="942" spans="1:38" x14ac:dyDescent="0.3">
      <c r="A942" s="4">
        <v>45716</v>
      </c>
      <c r="B942" s="5" t="s">
        <v>3329</v>
      </c>
      <c r="C942" s="5" t="s">
        <v>3330</v>
      </c>
      <c r="D942" s="5" t="s">
        <v>3331</v>
      </c>
      <c r="E942" s="5" t="s">
        <v>4494</v>
      </c>
      <c r="G942" s="5" t="s">
        <v>39</v>
      </c>
      <c r="H942" s="5" t="s">
        <v>3332</v>
      </c>
      <c r="I942" s="5" t="s">
        <v>2743</v>
      </c>
      <c r="J942" s="5" t="s">
        <v>149</v>
      </c>
      <c r="K942" s="4">
        <v>44501</v>
      </c>
      <c r="L942" s="4">
        <v>44501</v>
      </c>
      <c r="M942" s="9">
        <f t="shared" si="126"/>
        <v>3</v>
      </c>
      <c r="N942" s="4" t="str">
        <f t="shared" si="127"/>
        <v>] 2 ; 5 ]</v>
      </c>
      <c r="O942" s="5" t="s">
        <v>3785</v>
      </c>
      <c r="P942" s="5" t="s">
        <v>3785</v>
      </c>
      <c r="Q942" s="5">
        <v>1</v>
      </c>
      <c r="R942" s="5" t="str">
        <f t="shared" si="131"/>
        <v>Specialisation</v>
      </c>
      <c r="S942" s="5" t="s">
        <v>3790</v>
      </c>
      <c r="T942" s="4">
        <v>34907</v>
      </c>
      <c r="U942" s="5">
        <f t="shared" si="128"/>
        <v>1995</v>
      </c>
      <c r="V942" s="5" t="s">
        <v>3792</v>
      </c>
      <c r="W942" s="9">
        <f t="shared" si="129"/>
        <v>29</v>
      </c>
      <c r="X942" s="5" t="str">
        <f t="shared" si="132"/>
        <v>[20 - 29 ans[</v>
      </c>
      <c r="Y942" s="5" t="str">
        <f t="shared" si="133"/>
        <v xml:space="preserve"> Mellenials </v>
      </c>
      <c r="Z942" s="9">
        <f t="shared" si="130"/>
        <v>31</v>
      </c>
      <c r="AA942" s="5" t="str">
        <f t="shared" si="134"/>
        <v>RAS</v>
      </c>
      <c r="AB942" s="5" t="s">
        <v>3807</v>
      </c>
      <c r="AC942" s="6" t="s">
        <v>3799</v>
      </c>
      <c r="AE942" s="5" t="s">
        <v>3844</v>
      </c>
      <c r="AF942" s="5" t="s">
        <v>4481</v>
      </c>
      <c r="AG942" s="5" t="s">
        <v>4485</v>
      </c>
      <c r="AH942" s="5" t="s">
        <v>4489</v>
      </c>
      <c r="AI942" s="5" t="s">
        <v>3971</v>
      </c>
      <c r="AJ942" s="5" t="s">
        <v>3972</v>
      </c>
      <c r="AK942" s="5" t="s">
        <v>3873</v>
      </c>
      <c r="AL942" s="5" t="s">
        <v>3858</v>
      </c>
    </row>
    <row r="943" spans="1:38" x14ac:dyDescent="0.3">
      <c r="A943" s="4">
        <v>45716</v>
      </c>
      <c r="B943" s="5" t="s">
        <v>3333</v>
      </c>
      <c r="C943" s="5" t="s">
        <v>3334</v>
      </c>
      <c r="D943" s="5" t="s">
        <v>3335</v>
      </c>
      <c r="E943" s="5" t="s">
        <v>4494</v>
      </c>
      <c r="G943" s="5" t="s">
        <v>222</v>
      </c>
      <c r="H943" s="5" t="s">
        <v>3336</v>
      </c>
      <c r="I943" s="5" t="s">
        <v>3362</v>
      </c>
      <c r="J943" s="5" t="s">
        <v>2086</v>
      </c>
      <c r="K943" s="4">
        <v>44502</v>
      </c>
      <c r="L943" s="4">
        <v>44502</v>
      </c>
      <c r="M943" s="9">
        <f t="shared" si="126"/>
        <v>3</v>
      </c>
      <c r="N943" s="4" t="str">
        <f t="shared" si="127"/>
        <v>] 2 ; 5 ]</v>
      </c>
      <c r="O943" s="5" t="s">
        <v>3785</v>
      </c>
      <c r="P943" s="5" t="s">
        <v>3785</v>
      </c>
      <c r="Q943" s="5">
        <v>2</v>
      </c>
      <c r="R943" s="5" t="str">
        <f t="shared" si="131"/>
        <v>Specialisation</v>
      </c>
      <c r="S943" s="5" t="s">
        <v>3789</v>
      </c>
      <c r="T943" s="4">
        <v>32499</v>
      </c>
      <c r="U943" s="5">
        <f t="shared" si="128"/>
        <v>1988</v>
      </c>
      <c r="V943" s="5" t="s">
        <v>3792</v>
      </c>
      <c r="W943" s="9">
        <f t="shared" si="129"/>
        <v>36</v>
      </c>
      <c r="X943" s="5" t="str">
        <f t="shared" si="132"/>
        <v>[35 - 39 ans ]</v>
      </c>
      <c r="Y943" s="5" t="str">
        <f t="shared" si="133"/>
        <v xml:space="preserve"> Mellenials </v>
      </c>
      <c r="Z943" s="9">
        <f t="shared" si="130"/>
        <v>24</v>
      </c>
      <c r="AA943" s="5" t="str">
        <f t="shared" si="134"/>
        <v>RAS</v>
      </c>
      <c r="AB943" s="5" t="s">
        <v>3837</v>
      </c>
      <c r="AC943" s="6" t="s">
        <v>3799</v>
      </c>
      <c r="AE943" s="5" t="s">
        <v>3844</v>
      </c>
      <c r="AF943" s="5" t="s">
        <v>4481</v>
      </c>
      <c r="AG943" s="5" t="s">
        <v>4485</v>
      </c>
      <c r="AH943" s="5" t="s">
        <v>4487</v>
      </c>
      <c r="AI943" s="5" t="s">
        <v>4421</v>
      </c>
      <c r="AJ943" s="5" t="s">
        <v>4422</v>
      </c>
      <c r="AK943" s="5" t="s">
        <v>4423</v>
      </c>
      <c r="AL943" s="5" t="s">
        <v>3858</v>
      </c>
    </row>
    <row r="944" spans="1:38" x14ac:dyDescent="0.3">
      <c r="A944" s="4">
        <v>45716</v>
      </c>
      <c r="B944" s="5" t="s">
        <v>3337</v>
      </c>
      <c r="C944" s="5" t="s">
        <v>3338</v>
      </c>
      <c r="D944" s="5" t="s">
        <v>3339</v>
      </c>
      <c r="E944" s="5" t="s">
        <v>4494</v>
      </c>
      <c r="G944" s="5" t="s">
        <v>178</v>
      </c>
      <c r="H944" s="5" t="s">
        <v>3340</v>
      </c>
      <c r="I944" s="5" t="s">
        <v>251</v>
      </c>
      <c r="J944" s="5" t="s">
        <v>1393</v>
      </c>
      <c r="K944" s="4">
        <v>44501</v>
      </c>
      <c r="L944" s="4">
        <v>44501</v>
      </c>
      <c r="M944" s="9">
        <f t="shared" si="126"/>
        <v>3</v>
      </c>
      <c r="N944" s="4" t="str">
        <f t="shared" si="127"/>
        <v>] 2 ; 5 ]</v>
      </c>
      <c r="O944" s="5" t="s">
        <v>3783</v>
      </c>
      <c r="P944" s="5" t="s">
        <v>3783</v>
      </c>
      <c r="Q944" s="5">
        <v>1</v>
      </c>
      <c r="R944" s="5" t="str">
        <f t="shared" si="131"/>
        <v>Specialisation</v>
      </c>
      <c r="S944" s="5" t="s">
        <v>3790</v>
      </c>
      <c r="T944" s="4">
        <v>34519</v>
      </c>
      <c r="U944" s="5">
        <f t="shared" si="128"/>
        <v>1994</v>
      </c>
      <c r="V944" s="5" t="s">
        <v>3792</v>
      </c>
      <c r="W944" s="9">
        <f t="shared" si="129"/>
        <v>30</v>
      </c>
      <c r="X944" s="5" t="str">
        <f t="shared" si="132"/>
        <v>[30 - 34 ans]</v>
      </c>
      <c r="Y944" s="5" t="str">
        <f t="shared" si="133"/>
        <v xml:space="preserve"> Mellenials </v>
      </c>
      <c r="Z944" s="9">
        <f t="shared" si="130"/>
        <v>30</v>
      </c>
      <c r="AA944" s="5" t="str">
        <f t="shared" si="134"/>
        <v>RAS</v>
      </c>
      <c r="AB944" s="5" t="s">
        <v>3806</v>
      </c>
      <c r="AC944" s="6" t="s">
        <v>3799</v>
      </c>
      <c r="AE944" s="5" t="s">
        <v>3844</v>
      </c>
      <c r="AF944" s="5" t="s">
        <v>4482</v>
      </c>
      <c r="AG944" s="5" t="s">
        <v>4485</v>
      </c>
      <c r="AH944" s="5" t="s">
        <v>4488</v>
      </c>
      <c r="AI944" s="5" t="s">
        <v>3978</v>
      </c>
      <c r="AJ944" s="5" t="s">
        <v>3979</v>
      </c>
      <c r="AK944" s="5" t="s">
        <v>3980</v>
      </c>
      <c r="AL944" s="5" t="s">
        <v>3858</v>
      </c>
    </row>
    <row r="945" spans="1:38" x14ac:dyDescent="0.3">
      <c r="A945" s="4">
        <v>45716</v>
      </c>
      <c r="B945" s="5" t="s">
        <v>3341</v>
      </c>
      <c r="C945" s="5" t="s">
        <v>3342</v>
      </c>
      <c r="D945" s="5" t="s">
        <v>3343</v>
      </c>
      <c r="E945" s="5" t="s">
        <v>4494</v>
      </c>
      <c r="G945" s="5" t="s">
        <v>57</v>
      </c>
      <c r="H945" s="5" t="s">
        <v>3344</v>
      </c>
      <c r="I945" s="5" t="s">
        <v>810</v>
      </c>
      <c r="J945" s="5" t="s">
        <v>56</v>
      </c>
      <c r="K945" s="4">
        <v>44536</v>
      </c>
      <c r="L945" s="4">
        <v>44536</v>
      </c>
      <c r="M945" s="9">
        <f t="shared" si="126"/>
        <v>3</v>
      </c>
      <c r="N945" s="4" t="str">
        <f t="shared" si="127"/>
        <v>] 2 ; 5 ]</v>
      </c>
      <c r="O945" s="5" t="s">
        <v>3783</v>
      </c>
      <c r="P945" s="5" t="s">
        <v>3783</v>
      </c>
      <c r="Q945" s="5">
        <v>1</v>
      </c>
      <c r="R945" s="5" t="str">
        <f t="shared" si="131"/>
        <v>Specialisation</v>
      </c>
      <c r="S945" s="5" t="s">
        <v>3790</v>
      </c>
      <c r="T945" s="4">
        <v>34844</v>
      </c>
      <c r="U945" s="5">
        <f t="shared" si="128"/>
        <v>1995</v>
      </c>
      <c r="V945" s="5" t="s">
        <v>3792</v>
      </c>
      <c r="W945" s="9">
        <f t="shared" si="129"/>
        <v>29</v>
      </c>
      <c r="X945" s="5" t="str">
        <f t="shared" si="132"/>
        <v>[20 - 29 ans[</v>
      </c>
      <c r="Y945" s="5" t="str">
        <f t="shared" si="133"/>
        <v xml:space="preserve"> Mellenials </v>
      </c>
      <c r="Z945" s="9">
        <f t="shared" si="130"/>
        <v>31</v>
      </c>
      <c r="AA945" s="5" t="str">
        <f t="shared" si="134"/>
        <v>RAS</v>
      </c>
      <c r="AB945" s="5" t="s">
        <v>3806</v>
      </c>
      <c r="AC945" s="6" t="s">
        <v>3799</v>
      </c>
      <c r="AE945" s="5" t="s">
        <v>3844</v>
      </c>
      <c r="AF945" s="5" t="s">
        <v>4482</v>
      </c>
      <c r="AG945" s="5" t="s">
        <v>4485</v>
      </c>
      <c r="AH945" s="5" t="s">
        <v>4487</v>
      </c>
      <c r="AI945" s="5" t="s">
        <v>4067</v>
      </c>
      <c r="AJ945" s="5" t="s">
        <v>4115</v>
      </c>
      <c r="AK945" s="5" t="s">
        <v>4116</v>
      </c>
      <c r="AL945" s="5" t="s">
        <v>3858</v>
      </c>
    </row>
    <row r="946" spans="1:38" x14ac:dyDescent="0.3">
      <c r="A946" s="4">
        <v>45716</v>
      </c>
      <c r="B946" s="5" t="s">
        <v>3345</v>
      </c>
      <c r="C946" s="5" t="s">
        <v>3346</v>
      </c>
      <c r="D946" s="5" t="s">
        <v>3347</v>
      </c>
      <c r="E946" s="5" t="s">
        <v>4494</v>
      </c>
      <c r="G946" s="5" t="s">
        <v>39</v>
      </c>
      <c r="H946" s="5" t="s">
        <v>1594</v>
      </c>
      <c r="I946" s="5" t="s">
        <v>1268</v>
      </c>
      <c r="J946" s="5" t="s">
        <v>52</v>
      </c>
      <c r="K946" s="4">
        <v>44536</v>
      </c>
      <c r="L946" s="4">
        <v>44536</v>
      </c>
      <c r="M946" s="9">
        <f t="shared" si="126"/>
        <v>3</v>
      </c>
      <c r="N946" s="4" t="str">
        <f t="shared" si="127"/>
        <v>] 2 ; 5 ]</v>
      </c>
      <c r="O946" s="5" t="s">
        <v>3786</v>
      </c>
      <c r="P946" s="5" t="s">
        <v>3786</v>
      </c>
      <c r="Q946" s="5">
        <v>1</v>
      </c>
      <c r="R946" s="5" t="str">
        <f t="shared" si="131"/>
        <v>Specialisation</v>
      </c>
      <c r="S946" s="5" t="s">
        <v>3789</v>
      </c>
      <c r="T946" s="4">
        <v>30425</v>
      </c>
      <c r="U946" s="5">
        <f t="shared" si="128"/>
        <v>1983</v>
      </c>
      <c r="V946" s="5" t="s">
        <v>3793</v>
      </c>
      <c r="W946" s="9">
        <f t="shared" si="129"/>
        <v>41</v>
      </c>
      <c r="X946" s="5" t="str">
        <f t="shared" si="132"/>
        <v>[40 - 44 ans]</v>
      </c>
      <c r="Y946" s="5" t="str">
        <f t="shared" si="133"/>
        <v xml:space="preserve"> Mellenials </v>
      </c>
      <c r="Z946" s="9">
        <f t="shared" si="130"/>
        <v>19</v>
      </c>
      <c r="AA946" s="5" t="str">
        <f t="shared" si="134"/>
        <v>RAS</v>
      </c>
      <c r="AB946" s="5" t="s">
        <v>3807</v>
      </c>
      <c r="AC946" s="6" t="s">
        <v>3799</v>
      </c>
      <c r="AE946" s="5" t="s">
        <v>3844</v>
      </c>
      <c r="AF946" s="5" t="s">
        <v>4482</v>
      </c>
      <c r="AG946" s="5" t="s">
        <v>4485</v>
      </c>
      <c r="AH946" s="5" t="s">
        <v>4489</v>
      </c>
      <c r="AI946" s="5" t="s">
        <v>4013</v>
      </c>
      <c r="AJ946" s="5" t="s">
        <v>4014</v>
      </c>
      <c r="AK946" s="5" t="s">
        <v>4015</v>
      </c>
      <c r="AL946" s="5" t="s">
        <v>3858</v>
      </c>
    </row>
    <row r="947" spans="1:38" x14ac:dyDescent="0.3">
      <c r="A947" s="4">
        <v>45716</v>
      </c>
      <c r="B947" s="5" t="s">
        <v>3348</v>
      </c>
      <c r="C947" s="5" t="s">
        <v>3349</v>
      </c>
      <c r="D947" s="5" t="s">
        <v>3350</v>
      </c>
      <c r="E947" s="5" t="s">
        <v>4494</v>
      </c>
      <c r="G947" s="5" t="s">
        <v>88</v>
      </c>
      <c r="H947" s="5" t="s">
        <v>456</v>
      </c>
      <c r="I947" s="5" t="s">
        <v>1397</v>
      </c>
      <c r="J947" s="5" t="s">
        <v>883</v>
      </c>
      <c r="K947" s="4">
        <v>44564</v>
      </c>
      <c r="L947" s="4">
        <v>44564</v>
      </c>
      <c r="M947" s="9">
        <f t="shared" si="126"/>
        <v>3</v>
      </c>
      <c r="N947" s="4" t="str">
        <f t="shared" si="127"/>
        <v>] 2 ; 5 ]</v>
      </c>
      <c r="O947" s="5" t="s">
        <v>3780</v>
      </c>
      <c r="P947" s="5" t="s">
        <v>3780</v>
      </c>
      <c r="Q947" s="5">
        <v>3</v>
      </c>
      <c r="R947" s="5" t="str">
        <f t="shared" si="131"/>
        <v>Qualification</v>
      </c>
      <c r="S947" s="5" t="s">
        <v>3790</v>
      </c>
      <c r="T947" s="4">
        <v>32286</v>
      </c>
      <c r="U947" s="5">
        <f t="shared" si="128"/>
        <v>1988</v>
      </c>
      <c r="V947" s="5" t="s">
        <v>3793</v>
      </c>
      <c r="W947" s="9">
        <f t="shared" si="129"/>
        <v>36</v>
      </c>
      <c r="X947" s="5" t="str">
        <f t="shared" si="132"/>
        <v>[35 - 39 ans ]</v>
      </c>
      <c r="Y947" s="5" t="str">
        <f t="shared" si="133"/>
        <v xml:space="preserve"> Mellenials </v>
      </c>
      <c r="Z947" s="9">
        <f t="shared" si="130"/>
        <v>24</v>
      </c>
      <c r="AA947" s="5" t="str">
        <f t="shared" si="134"/>
        <v>RAS</v>
      </c>
      <c r="AB947" s="5" t="s">
        <v>3833</v>
      </c>
      <c r="AC947" s="6" t="s">
        <v>3801</v>
      </c>
      <c r="AE947" s="5" t="s">
        <v>3844</v>
      </c>
      <c r="AF947" s="5" t="s">
        <v>4482</v>
      </c>
      <c r="AG947" s="5" t="s">
        <v>4485</v>
      </c>
      <c r="AH947" s="5" t="s">
        <v>4488</v>
      </c>
      <c r="AI947" s="5" t="s">
        <v>4301</v>
      </c>
      <c r="AJ947" s="5" t="s">
        <v>4302</v>
      </c>
      <c r="AK947" s="5" t="s">
        <v>4303</v>
      </c>
      <c r="AL947" s="5" t="s">
        <v>3858</v>
      </c>
    </row>
    <row r="948" spans="1:38" x14ac:dyDescent="0.3">
      <c r="A948" s="4">
        <v>45716</v>
      </c>
      <c r="B948" s="5" t="s">
        <v>3351</v>
      </c>
      <c r="C948" s="5" t="s">
        <v>3352</v>
      </c>
      <c r="D948" s="5" t="s">
        <v>3353</v>
      </c>
      <c r="E948" s="5" t="s">
        <v>4494</v>
      </c>
      <c r="G948" s="5" t="s">
        <v>88</v>
      </c>
      <c r="H948" s="5" t="s">
        <v>456</v>
      </c>
      <c r="I948" s="5" t="s">
        <v>2113</v>
      </c>
      <c r="J948" s="5" t="s">
        <v>883</v>
      </c>
      <c r="K948" s="4">
        <v>44564</v>
      </c>
      <c r="L948" s="4">
        <v>44564</v>
      </c>
      <c r="M948" s="9">
        <f t="shared" si="126"/>
        <v>3</v>
      </c>
      <c r="N948" s="4" t="str">
        <f t="shared" si="127"/>
        <v>] 2 ; 5 ]</v>
      </c>
      <c r="O948" s="5" t="s">
        <v>3780</v>
      </c>
      <c r="P948" s="5" t="s">
        <v>3780</v>
      </c>
      <c r="Q948" s="5">
        <v>2</v>
      </c>
      <c r="R948" s="5" t="str">
        <f t="shared" si="131"/>
        <v>Qualification</v>
      </c>
      <c r="S948" s="5" t="s">
        <v>3790</v>
      </c>
      <c r="T948" s="4">
        <v>33860</v>
      </c>
      <c r="U948" s="5">
        <f t="shared" si="128"/>
        <v>1992</v>
      </c>
      <c r="V948" s="5" t="s">
        <v>3792</v>
      </c>
      <c r="W948" s="9">
        <f t="shared" si="129"/>
        <v>32</v>
      </c>
      <c r="X948" s="5" t="str">
        <f t="shared" si="132"/>
        <v>[30 - 34 ans]</v>
      </c>
      <c r="Y948" s="5" t="str">
        <f t="shared" si="133"/>
        <v xml:space="preserve"> Mellenials </v>
      </c>
      <c r="Z948" s="9">
        <f t="shared" si="130"/>
        <v>28</v>
      </c>
      <c r="AA948" s="5" t="str">
        <f t="shared" si="134"/>
        <v>RAS</v>
      </c>
      <c r="AB948" s="5" t="s">
        <v>3820</v>
      </c>
      <c r="AC948" s="6" t="s">
        <v>3800</v>
      </c>
      <c r="AE948" s="5" t="s">
        <v>3844</v>
      </c>
      <c r="AF948" s="5" t="s">
        <v>4482</v>
      </c>
      <c r="AG948" s="5" t="s">
        <v>4485</v>
      </c>
      <c r="AH948" s="5" t="s">
        <v>4488</v>
      </c>
      <c r="AI948" s="5" t="s">
        <v>4158</v>
      </c>
      <c r="AJ948" s="5" t="s">
        <v>4159</v>
      </c>
      <c r="AK948" s="5" t="s">
        <v>4160</v>
      </c>
      <c r="AL948" s="5" t="s">
        <v>3858</v>
      </c>
    </row>
    <row r="949" spans="1:38" x14ac:dyDescent="0.3">
      <c r="A949" s="4">
        <v>45716</v>
      </c>
      <c r="B949" s="5" t="s">
        <v>3354</v>
      </c>
      <c r="C949" s="5" t="s">
        <v>3355</v>
      </c>
      <c r="D949" s="5" t="s">
        <v>3356</v>
      </c>
      <c r="E949" s="5" t="s">
        <v>4494</v>
      </c>
      <c r="G949" s="5" t="s">
        <v>88</v>
      </c>
      <c r="H949" s="5" t="s">
        <v>456</v>
      </c>
      <c r="I949" s="5" t="s">
        <v>3772</v>
      </c>
      <c r="J949" s="5" t="s">
        <v>883</v>
      </c>
      <c r="K949" s="4">
        <v>44564</v>
      </c>
      <c r="L949" s="4">
        <v>44564</v>
      </c>
      <c r="M949" s="9">
        <f t="shared" si="126"/>
        <v>3</v>
      </c>
      <c r="N949" s="4" t="str">
        <f t="shared" si="127"/>
        <v>] 2 ; 5 ]</v>
      </c>
      <c r="O949" s="5" t="s">
        <v>3780</v>
      </c>
      <c r="P949" s="5" t="s">
        <v>3780</v>
      </c>
      <c r="Q949" s="5">
        <v>2</v>
      </c>
      <c r="R949" s="5" t="str">
        <f t="shared" si="131"/>
        <v>Qualification</v>
      </c>
      <c r="S949" s="5" t="s">
        <v>3790</v>
      </c>
      <c r="T949" s="4">
        <v>34614</v>
      </c>
      <c r="U949" s="5">
        <f t="shared" si="128"/>
        <v>1994</v>
      </c>
      <c r="V949" s="5" t="s">
        <v>3793</v>
      </c>
      <c r="W949" s="9">
        <f t="shared" si="129"/>
        <v>30</v>
      </c>
      <c r="X949" s="5" t="str">
        <f t="shared" si="132"/>
        <v>[30 - 34 ans]</v>
      </c>
      <c r="Y949" s="5" t="str">
        <f t="shared" si="133"/>
        <v xml:space="preserve"> Mellenials </v>
      </c>
      <c r="Z949" s="9">
        <f t="shared" si="130"/>
        <v>30</v>
      </c>
      <c r="AA949" s="5" t="str">
        <f t="shared" si="134"/>
        <v>RAS</v>
      </c>
      <c r="AB949" s="5" t="s">
        <v>3823</v>
      </c>
      <c r="AC949" s="6" t="s">
        <v>3800</v>
      </c>
      <c r="AE949" s="5" t="s">
        <v>3844</v>
      </c>
      <c r="AF949" s="5" t="s">
        <v>4482</v>
      </c>
      <c r="AG949" s="5" t="s">
        <v>4485</v>
      </c>
      <c r="AH949" s="5" t="s">
        <v>4488</v>
      </c>
      <c r="AI949" s="5" t="s">
        <v>4169</v>
      </c>
      <c r="AJ949" s="5" t="s">
        <v>4170</v>
      </c>
      <c r="AK949" s="5" t="s">
        <v>4171</v>
      </c>
      <c r="AL949" s="5" t="s">
        <v>3858</v>
      </c>
    </row>
    <row r="950" spans="1:38" x14ac:dyDescent="0.3">
      <c r="A950" s="4">
        <v>45716</v>
      </c>
      <c r="B950" s="5" t="s">
        <v>3357</v>
      </c>
      <c r="C950" s="5" t="s">
        <v>3358</v>
      </c>
      <c r="D950" s="5" t="s">
        <v>3359</v>
      </c>
      <c r="E950" s="5" t="s">
        <v>4494</v>
      </c>
      <c r="G950" s="5" t="s">
        <v>88</v>
      </c>
      <c r="H950" s="5" t="s">
        <v>456</v>
      </c>
      <c r="I950" s="5" t="s">
        <v>2020</v>
      </c>
      <c r="J950" s="5" t="s">
        <v>883</v>
      </c>
      <c r="K950" s="4">
        <v>44564</v>
      </c>
      <c r="L950" s="4">
        <v>44564</v>
      </c>
      <c r="M950" s="9">
        <f t="shared" si="126"/>
        <v>3</v>
      </c>
      <c r="N950" s="4" t="str">
        <f t="shared" si="127"/>
        <v>] 2 ; 5 ]</v>
      </c>
      <c r="O950" s="5" t="s">
        <v>3780</v>
      </c>
      <c r="P950" s="5" t="s">
        <v>3780</v>
      </c>
      <c r="Q950" s="5">
        <v>2</v>
      </c>
      <c r="R950" s="5" t="str">
        <f t="shared" si="131"/>
        <v>Qualification</v>
      </c>
      <c r="S950" s="5" t="s">
        <v>3790</v>
      </c>
      <c r="T950" s="4">
        <v>32819</v>
      </c>
      <c r="U950" s="5">
        <f t="shared" si="128"/>
        <v>1989</v>
      </c>
      <c r="V950" s="5" t="s">
        <v>3792</v>
      </c>
      <c r="W950" s="9">
        <f t="shared" si="129"/>
        <v>35</v>
      </c>
      <c r="X950" s="5" t="str">
        <f t="shared" si="132"/>
        <v>[35 - 39 ans ]</v>
      </c>
      <c r="Y950" s="5" t="str">
        <f t="shared" si="133"/>
        <v xml:space="preserve"> Mellenials </v>
      </c>
      <c r="Z950" s="9">
        <f t="shared" si="130"/>
        <v>25</v>
      </c>
      <c r="AA950" s="5" t="str">
        <f t="shared" si="134"/>
        <v>RAS</v>
      </c>
      <c r="AB950" s="5" t="s">
        <v>3811</v>
      </c>
      <c r="AC950" s="6" t="s">
        <v>3801</v>
      </c>
      <c r="AE950" s="5" t="s">
        <v>3844</v>
      </c>
      <c r="AF950" s="5" t="s">
        <v>4482</v>
      </c>
      <c r="AG950" s="5" t="s">
        <v>4485</v>
      </c>
      <c r="AH950" s="5" t="s">
        <v>4488</v>
      </c>
      <c r="AI950" s="5" t="s">
        <v>4072</v>
      </c>
      <c r="AJ950" s="5" t="s">
        <v>4073</v>
      </c>
      <c r="AK950" s="5" t="s">
        <v>4074</v>
      </c>
      <c r="AL950" s="5" t="s">
        <v>3858</v>
      </c>
    </row>
    <row r="951" spans="1:38" x14ac:dyDescent="0.3">
      <c r="A951" s="4">
        <v>45716</v>
      </c>
      <c r="B951" s="5" t="s">
        <v>3360</v>
      </c>
      <c r="C951" s="5" t="s">
        <v>3361</v>
      </c>
      <c r="D951" s="5" t="s">
        <v>3362</v>
      </c>
      <c r="E951" s="5" t="s">
        <v>4494</v>
      </c>
      <c r="G951" s="5" t="s">
        <v>222</v>
      </c>
      <c r="H951" s="5" t="s">
        <v>3363</v>
      </c>
      <c r="I951" s="5" t="s">
        <v>2086</v>
      </c>
      <c r="J951" s="5" t="s">
        <v>2841</v>
      </c>
      <c r="K951" s="4">
        <v>44578</v>
      </c>
      <c r="L951" s="4">
        <v>44578</v>
      </c>
      <c r="M951" s="9">
        <f t="shared" si="126"/>
        <v>3</v>
      </c>
      <c r="N951" s="4" t="str">
        <f t="shared" si="127"/>
        <v>] 2 ; 5 ]</v>
      </c>
      <c r="O951" s="5" t="s">
        <v>3782</v>
      </c>
      <c r="P951" s="5" t="s">
        <v>3782</v>
      </c>
      <c r="Q951" s="5">
        <v>1</v>
      </c>
      <c r="R951" s="5" t="str">
        <f t="shared" si="131"/>
        <v>Management &amp; Expertise</v>
      </c>
      <c r="S951" s="5" t="s">
        <v>3789</v>
      </c>
      <c r="T951" s="4">
        <v>35350</v>
      </c>
      <c r="U951" s="5">
        <f t="shared" si="128"/>
        <v>1996</v>
      </c>
      <c r="V951" s="5" t="s">
        <v>3792</v>
      </c>
      <c r="W951" s="9">
        <f t="shared" si="129"/>
        <v>28</v>
      </c>
      <c r="X951" s="5" t="str">
        <f t="shared" si="132"/>
        <v>[20 - 29 ans[</v>
      </c>
      <c r="Y951" s="5" t="str">
        <f t="shared" si="133"/>
        <v xml:space="preserve"> Gen Alpha</v>
      </c>
      <c r="Z951" s="9">
        <f t="shared" si="130"/>
        <v>32</v>
      </c>
      <c r="AA951" s="5" t="str">
        <f t="shared" si="134"/>
        <v>RAS</v>
      </c>
      <c r="AB951" s="5" t="s">
        <v>3837</v>
      </c>
      <c r="AC951" s="6" t="s">
        <v>3799</v>
      </c>
      <c r="AE951" s="5" t="s">
        <v>3845</v>
      </c>
      <c r="AF951" s="5" t="s">
        <v>4481</v>
      </c>
      <c r="AG951" s="5" t="s">
        <v>4485</v>
      </c>
      <c r="AH951" s="5" t="s">
        <v>4487</v>
      </c>
      <c r="AI951" s="5" t="s">
        <v>4421</v>
      </c>
      <c r="AJ951" s="5" t="s">
        <v>4422</v>
      </c>
      <c r="AK951" s="5" t="s">
        <v>4423</v>
      </c>
      <c r="AL951" s="5" t="s">
        <v>3858</v>
      </c>
    </row>
    <row r="952" spans="1:38" x14ac:dyDescent="0.3">
      <c r="A952" s="4">
        <v>45716</v>
      </c>
      <c r="B952" s="5" t="s">
        <v>3364</v>
      </c>
      <c r="C952" s="5" t="s">
        <v>3365</v>
      </c>
      <c r="D952" s="5" t="s">
        <v>3366</v>
      </c>
      <c r="E952" s="5" t="s">
        <v>4494</v>
      </c>
      <c r="G952" s="5" t="s">
        <v>29</v>
      </c>
      <c r="H952" s="5" t="s">
        <v>3367</v>
      </c>
      <c r="I952" s="5" t="s">
        <v>157</v>
      </c>
      <c r="J952" s="5" t="s">
        <v>2355</v>
      </c>
      <c r="K952" s="4">
        <v>44588</v>
      </c>
      <c r="L952" s="4">
        <v>44588</v>
      </c>
      <c r="M952" s="9">
        <f t="shared" si="126"/>
        <v>3</v>
      </c>
      <c r="N952" s="4" t="str">
        <f t="shared" si="127"/>
        <v>] 2 ; 5 ]</v>
      </c>
      <c r="O952" s="5" t="s">
        <v>3782</v>
      </c>
      <c r="P952" s="5" t="s">
        <v>3782</v>
      </c>
      <c r="Q952" s="5">
        <v>2</v>
      </c>
      <c r="R952" s="5" t="str">
        <f t="shared" si="131"/>
        <v>Management &amp; Expertise</v>
      </c>
      <c r="S952" s="5" t="s">
        <v>3789</v>
      </c>
      <c r="T952" s="4">
        <v>29742</v>
      </c>
      <c r="U952" s="5">
        <f t="shared" si="128"/>
        <v>1981</v>
      </c>
      <c r="V952" s="5" t="s">
        <v>3793</v>
      </c>
      <c r="W952" s="9">
        <f t="shared" si="129"/>
        <v>43</v>
      </c>
      <c r="X952" s="5" t="str">
        <f t="shared" si="132"/>
        <v>[40 - 44 ans]</v>
      </c>
      <c r="Y952" s="5" t="str">
        <f t="shared" si="133"/>
        <v xml:space="preserve"> Mellenials </v>
      </c>
      <c r="Z952" s="9">
        <f t="shared" si="130"/>
        <v>17</v>
      </c>
      <c r="AA952" s="5" t="str">
        <f t="shared" si="134"/>
        <v>RAS</v>
      </c>
      <c r="AB952" s="5" t="s">
        <v>3806</v>
      </c>
      <c r="AC952" s="6" t="s">
        <v>3799</v>
      </c>
      <c r="AE952" s="5" t="s">
        <v>3845</v>
      </c>
      <c r="AF952" s="5" t="s">
        <v>4481</v>
      </c>
      <c r="AG952" s="5" t="s">
        <v>4485</v>
      </c>
      <c r="AH952" s="5" t="s">
        <v>4487</v>
      </c>
      <c r="AI952" s="5" t="s">
        <v>4006</v>
      </c>
      <c r="AJ952" s="5" t="s">
        <v>4007</v>
      </c>
      <c r="AK952" s="5" t="s">
        <v>3937</v>
      </c>
      <c r="AL952" s="5" t="s">
        <v>3854</v>
      </c>
    </row>
    <row r="953" spans="1:38" x14ac:dyDescent="0.3">
      <c r="A953" s="4">
        <v>45716</v>
      </c>
      <c r="B953" s="5" t="s">
        <v>3368</v>
      </c>
      <c r="C953" s="5" t="s">
        <v>3369</v>
      </c>
      <c r="D953" s="5" t="s">
        <v>3370</v>
      </c>
      <c r="E953" s="5" t="s">
        <v>4494</v>
      </c>
      <c r="G953" s="5" t="s">
        <v>39</v>
      </c>
      <c r="H953" s="5" t="s">
        <v>3332</v>
      </c>
      <c r="I953" s="5" t="s">
        <v>2743</v>
      </c>
      <c r="J953" s="5" t="s">
        <v>149</v>
      </c>
      <c r="K953" s="4">
        <v>44593</v>
      </c>
      <c r="L953" s="4">
        <v>44593</v>
      </c>
      <c r="M953" s="9">
        <f t="shared" si="126"/>
        <v>3</v>
      </c>
      <c r="N953" s="4" t="str">
        <f t="shared" si="127"/>
        <v>] 2 ; 5 ]</v>
      </c>
      <c r="O953" s="5" t="s">
        <v>3785</v>
      </c>
      <c r="P953" s="5" t="s">
        <v>3785</v>
      </c>
      <c r="Q953" s="5">
        <v>1</v>
      </c>
      <c r="R953" s="5" t="str">
        <f t="shared" si="131"/>
        <v>Specialisation</v>
      </c>
      <c r="S953" s="5" t="s">
        <v>3790</v>
      </c>
      <c r="T953" s="4">
        <v>32238</v>
      </c>
      <c r="U953" s="5">
        <f t="shared" si="128"/>
        <v>1988</v>
      </c>
      <c r="V953" s="5" t="s">
        <v>3792</v>
      </c>
      <c r="W953" s="9">
        <f t="shared" si="129"/>
        <v>36</v>
      </c>
      <c r="X953" s="5" t="str">
        <f t="shared" si="132"/>
        <v>[35 - 39 ans ]</v>
      </c>
      <c r="Y953" s="5" t="str">
        <f t="shared" si="133"/>
        <v xml:space="preserve"> Mellenials </v>
      </c>
      <c r="Z953" s="9">
        <f t="shared" si="130"/>
        <v>24</v>
      </c>
      <c r="AA953" s="5" t="str">
        <f t="shared" si="134"/>
        <v>RAS</v>
      </c>
      <c r="AB953" s="5" t="s">
        <v>3807</v>
      </c>
      <c r="AC953" s="6" t="s">
        <v>3799</v>
      </c>
      <c r="AE953" s="5" t="s">
        <v>3844</v>
      </c>
      <c r="AF953" s="5" t="s">
        <v>4481</v>
      </c>
      <c r="AG953" s="5" t="s">
        <v>4485</v>
      </c>
      <c r="AH953" s="5" t="s">
        <v>4489</v>
      </c>
      <c r="AI953" s="5" t="s">
        <v>3971</v>
      </c>
      <c r="AJ953" s="5" t="s">
        <v>3972</v>
      </c>
      <c r="AK953" s="5" t="s">
        <v>3873</v>
      </c>
      <c r="AL953" s="5" t="s">
        <v>3858</v>
      </c>
    </row>
    <row r="954" spans="1:38" x14ac:dyDescent="0.3">
      <c r="A954" s="4">
        <v>45716</v>
      </c>
      <c r="B954" s="5" t="s">
        <v>3371</v>
      </c>
      <c r="C954" s="5" t="s">
        <v>3372</v>
      </c>
      <c r="D954" s="5" t="s">
        <v>3373</v>
      </c>
      <c r="E954" s="5" t="s">
        <v>4494</v>
      </c>
      <c r="G954" s="5" t="s">
        <v>83</v>
      </c>
      <c r="H954" s="5" t="s">
        <v>3374</v>
      </c>
      <c r="I954" s="5" t="s">
        <v>1241</v>
      </c>
      <c r="J954" s="5" t="s">
        <v>1903</v>
      </c>
      <c r="K954" s="4">
        <v>44606</v>
      </c>
      <c r="L954" s="4">
        <v>44606</v>
      </c>
      <c r="M954" s="9">
        <f t="shared" si="126"/>
        <v>3</v>
      </c>
      <c r="N954" s="4" t="str">
        <f t="shared" si="127"/>
        <v>] 2 ; 5 ]</v>
      </c>
      <c r="O954" s="5" t="s">
        <v>3780</v>
      </c>
      <c r="P954" s="5" t="s">
        <v>3780</v>
      </c>
      <c r="Q954" s="5">
        <v>1</v>
      </c>
      <c r="R954" s="5" t="str">
        <f t="shared" si="131"/>
        <v>Qualification</v>
      </c>
      <c r="S954" s="5" t="s">
        <v>3790</v>
      </c>
      <c r="T954" s="4">
        <v>32790</v>
      </c>
      <c r="U954" s="5">
        <f t="shared" si="128"/>
        <v>1989</v>
      </c>
      <c r="V954" s="5" t="s">
        <v>3793</v>
      </c>
      <c r="W954" s="9">
        <f t="shared" si="129"/>
        <v>35</v>
      </c>
      <c r="X954" s="5" t="str">
        <f t="shared" si="132"/>
        <v>[35 - 39 ans ]</v>
      </c>
      <c r="Y954" s="5" t="str">
        <f t="shared" si="133"/>
        <v xml:space="preserve"> Mellenials </v>
      </c>
      <c r="Z954" s="9">
        <f t="shared" si="130"/>
        <v>25</v>
      </c>
      <c r="AA954" s="5" t="str">
        <f t="shared" si="134"/>
        <v>RAS</v>
      </c>
      <c r="AB954" s="5" t="s">
        <v>3807</v>
      </c>
      <c r="AC954" s="6" t="s">
        <v>3799</v>
      </c>
      <c r="AE954" s="5" t="s">
        <v>3844</v>
      </c>
      <c r="AF954" s="5" t="s">
        <v>4482</v>
      </c>
      <c r="AG954" s="5" t="s">
        <v>4485</v>
      </c>
      <c r="AH954" s="5" t="s">
        <v>4489</v>
      </c>
      <c r="AI954" s="5" t="s">
        <v>4039</v>
      </c>
      <c r="AJ954" s="5" t="s">
        <v>4040</v>
      </c>
      <c r="AK954" s="5" t="s">
        <v>4041</v>
      </c>
      <c r="AL954" s="5" t="s">
        <v>3858</v>
      </c>
    </row>
    <row r="955" spans="1:38" x14ac:dyDescent="0.3">
      <c r="A955" s="4">
        <v>45716</v>
      </c>
      <c r="B955" s="5" t="s">
        <v>3375</v>
      </c>
      <c r="C955" s="5" t="s">
        <v>3376</v>
      </c>
      <c r="D955" s="5" t="s">
        <v>3377</v>
      </c>
      <c r="E955" s="5" t="s">
        <v>4494</v>
      </c>
      <c r="G955" s="5" t="s">
        <v>1762</v>
      </c>
      <c r="H955" s="5" t="s">
        <v>3378</v>
      </c>
      <c r="I955" s="5" t="s">
        <v>3183</v>
      </c>
      <c r="J955" s="5" t="s">
        <v>2205</v>
      </c>
      <c r="K955" s="4">
        <v>44621</v>
      </c>
      <c r="L955" s="4">
        <v>44621</v>
      </c>
      <c r="M955" s="9">
        <f t="shared" si="126"/>
        <v>2</v>
      </c>
      <c r="N955" s="4" t="str">
        <f t="shared" si="127"/>
        <v xml:space="preserve"> ] 0 ; 2 ]</v>
      </c>
      <c r="O955" s="5" t="s">
        <v>3783</v>
      </c>
      <c r="P955" s="5" t="s">
        <v>3783</v>
      </c>
      <c r="Q955" s="5">
        <v>1</v>
      </c>
      <c r="R955" s="5" t="str">
        <f t="shared" si="131"/>
        <v>Specialisation</v>
      </c>
      <c r="S955" s="5" t="s">
        <v>3789</v>
      </c>
      <c r="T955" s="4">
        <v>34951</v>
      </c>
      <c r="U955" s="5">
        <f t="shared" si="128"/>
        <v>1995</v>
      </c>
      <c r="V955" s="5" t="s">
        <v>3792</v>
      </c>
      <c r="W955" s="9">
        <f t="shared" si="129"/>
        <v>29</v>
      </c>
      <c r="X955" s="5" t="str">
        <f t="shared" si="132"/>
        <v>[20 - 29 ans[</v>
      </c>
      <c r="Y955" s="5" t="str">
        <f t="shared" si="133"/>
        <v xml:space="preserve"> Mellenials </v>
      </c>
      <c r="Z955" s="9">
        <f t="shared" si="130"/>
        <v>31</v>
      </c>
      <c r="AA955" s="5" t="str">
        <f t="shared" si="134"/>
        <v>RAS</v>
      </c>
      <c r="AB955" s="5" t="s">
        <v>3806</v>
      </c>
      <c r="AC955" s="6" t="s">
        <v>3799</v>
      </c>
      <c r="AE955" s="5" t="s">
        <v>3844</v>
      </c>
      <c r="AF955" s="5" t="s">
        <v>4482</v>
      </c>
      <c r="AG955" s="5" t="s">
        <v>4485</v>
      </c>
      <c r="AH955" s="5" t="s">
        <v>4488</v>
      </c>
      <c r="AI955" s="5" t="s">
        <v>4456</v>
      </c>
      <c r="AJ955" s="5" t="s">
        <v>4457</v>
      </c>
      <c r="AK955" s="5" t="s">
        <v>4392</v>
      </c>
      <c r="AL955" s="5" t="s">
        <v>3858</v>
      </c>
    </row>
    <row r="956" spans="1:38" x14ac:dyDescent="0.3">
      <c r="A956" s="4">
        <v>45716</v>
      </c>
      <c r="B956" s="5" t="s">
        <v>3379</v>
      </c>
      <c r="C956" s="5" t="s">
        <v>3380</v>
      </c>
      <c r="D956" s="5" t="s">
        <v>3381</v>
      </c>
      <c r="E956" s="5" t="s">
        <v>4494</v>
      </c>
      <c r="F956" s="5" t="s">
        <v>4495</v>
      </c>
      <c r="G956" s="5" t="s">
        <v>222</v>
      </c>
      <c r="H956" s="5" t="s">
        <v>3382</v>
      </c>
      <c r="I956" s="5" t="s">
        <v>3362</v>
      </c>
      <c r="J956" s="5" t="s">
        <v>2086</v>
      </c>
      <c r="K956" s="4">
        <v>44621</v>
      </c>
      <c r="L956" s="4">
        <v>44621</v>
      </c>
      <c r="M956" s="9">
        <f t="shared" si="126"/>
        <v>2</v>
      </c>
      <c r="N956" s="4" t="str">
        <f t="shared" si="127"/>
        <v xml:space="preserve"> ] 0 ; 2 ]</v>
      </c>
      <c r="O956" s="5" t="s">
        <v>3785</v>
      </c>
      <c r="P956" s="5" t="s">
        <v>3785</v>
      </c>
      <c r="Q956" s="5">
        <v>1</v>
      </c>
      <c r="R956" s="5" t="str">
        <f t="shared" si="131"/>
        <v>Specialisation</v>
      </c>
      <c r="S956" s="5" t="s">
        <v>3789</v>
      </c>
      <c r="T956" s="4">
        <v>35236</v>
      </c>
      <c r="U956" s="5">
        <f t="shared" si="128"/>
        <v>1996</v>
      </c>
      <c r="V956" s="5" t="s">
        <v>3792</v>
      </c>
      <c r="W956" s="9">
        <f t="shared" si="129"/>
        <v>28</v>
      </c>
      <c r="X956" s="5" t="str">
        <f t="shared" si="132"/>
        <v>[20 - 29 ans[</v>
      </c>
      <c r="Y956" s="5" t="str">
        <f t="shared" si="133"/>
        <v xml:space="preserve"> Gen Alpha</v>
      </c>
      <c r="Z956" s="9">
        <f t="shared" si="130"/>
        <v>32</v>
      </c>
      <c r="AA956" s="5" t="str">
        <f t="shared" si="134"/>
        <v>RAS</v>
      </c>
      <c r="AB956" s="5" t="s">
        <v>3837</v>
      </c>
      <c r="AC956" s="6" t="s">
        <v>3799</v>
      </c>
      <c r="AE956" s="5" t="s">
        <v>3844</v>
      </c>
      <c r="AF956" s="5" t="s">
        <v>4481</v>
      </c>
      <c r="AG956" s="5" t="s">
        <v>4485</v>
      </c>
      <c r="AH956" s="5" t="s">
        <v>4487</v>
      </c>
      <c r="AI956" s="5" t="s">
        <v>4465</v>
      </c>
      <c r="AJ956" s="5" t="s">
        <v>3363</v>
      </c>
      <c r="AK956" s="5" t="s">
        <v>4423</v>
      </c>
      <c r="AL956" s="5" t="s">
        <v>3858</v>
      </c>
    </row>
    <row r="957" spans="1:38" x14ac:dyDescent="0.3">
      <c r="A957" s="4">
        <v>45716</v>
      </c>
      <c r="B957" s="5" t="s">
        <v>3383</v>
      </c>
      <c r="C957" s="5" t="s">
        <v>3384</v>
      </c>
      <c r="D957" s="5" t="s">
        <v>3385</v>
      </c>
      <c r="E957" s="5" t="s">
        <v>4494</v>
      </c>
      <c r="G957" s="5" t="s">
        <v>44</v>
      </c>
      <c r="H957" s="5" t="s">
        <v>3386</v>
      </c>
      <c r="I957" s="5" t="s">
        <v>173</v>
      </c>
      <c r="J957" s="5" t="s">
        <v>92</v>
      </c>
      <c r="K957" s="4">
        <v>44621</v>
      </c>
      <c r="L957" s="4">
        <v>44621</v>
      </c>
      <c r="M957" s="9">
        <f t="shared" si="126"/>
        <v>2</v>
      </c>
      <c r="N957" s="4" t="str">
        <f t="shared" si="127"/>
        <v xml:space="preserve"> ] 0 ; 2 ]</v>
      </c>
      <c r="O957" s="5" t="s">
        <v>3783</v>
      </c>
      <c r="P957" s="5" t="s">
        <v>3783</v>
      </c>
      <c r="Q957" s="5">
        <v>1</v>
      </c>
      <c r="R957" s="5" t="str">
        <f t="shared" si="131"/>
        <v>Specialisation</v>
      </c>
      <c r="S957" s="5" t="s">
        <v>3790</v>
      </c>
      <c r="T957" s="4">
        <v>34469</v>
      </c>
      <c r="U957" s="5">
        <f t="shared" si="128"/>
        <v>1994</v>
      </c>
      <c r="V957" s="5" t="s">
        <v>3792</v>
      </c>
      <c r="W957" s="9">
        <f t="shared" si="129"/>
        <v>30</v>
      </c>
      <c r="X957" s="5" t="str">
        <f t="shared" si="132"/>
        <v>[30 - 34 ans]</v>
      </c>
      <c r="Y957" s="5" t="str">
        <f t="shared" si="133"/>
        <v xml:space="preserve"> Mellenials </v>
      </c>
      <c r="Z957" s="9">
        <f t="shared" si="130"/>
        <v>30</v>
      </c>
      <c r="AA957" s="5" t="str">
        <f t="shared" si="134"/>
        <v>RAS</v>
      </c>
      <c r="AB957" s="5" t="s">
        <v>3806</v>
      </c>
      <c r="AC957" s="6" t="s">
        <v>3799</v>
      </c>
      <c r="AE957" s="5" t="s">
        <v>3844</v>
      </c>
      <c r="AF957" s="5" t="s">
        <v>4482</v>
      </c>
      <c r="AG957" s="5" t="s">
        <v>4485</v>
      </c>
      <c r="AH957" s="5" t="s">
        <v>4487</v>
      </c>
      <c r="AI957" s="5" t="s">
        <v>3947</v>
      </c>
      <c r="AJ957" s="5" t="s">
        <v>3948</v>
      </c>
      <c r="AK957" s="5" t="s">
        <v>3900</v>
      </c>
      <c r="AL957" s="5" t="s">
        <v>3858</v>
      </c>
    </row>
    <row r="958" spans="1:38" x14ac:dyDescent="0.3">
      <c r="A958" s="4">
        <v>45716</v>
      </c>
      <c r="B958" s="5" t="s">
        <v>3387</v>
      </c>
      <c r="C958" s="5" t="s">
        <v>3388</v>
      </c>
      <c r="D958" s="5" t="s">
        <v>3389</v>
      </c>
      <c r="E958" s="5" t="s">
        <v>4494</v>
      </c>
      <c r="G958" s="5" t="s">
        <v>39</v>
      </c>
      <c r="H958" s="5" t="s">
        <v>3390</v>
      </c>
      <c r="I958" s="5" t="s">
        <v>2146</v>
      </c>
      <c r="J958" s="5" t="s">
        <v>153</v>
      </c>
      <c r="K958" s="4">
        <v>44652</v>
      </c>
      <c r="L958" s="4">
        <v>44652</v>
      </c>
      <c r="M958" s="9">
        <f t="shared" si="126"/>
        <v>2</v>
      </c>
      <c r="N958" s="4" t="str">
        <f t="shared" si="127"/>
        <v xml:space="preserve"> ] 0 ; 2 ]</v>
      </c>
      <c r="O958" s="5" t="s">
        <v>3782</v>
      </c>
      <c r="P958" s="5" t="s">
        <v>3782</v>
      </c>
      <c r="Q958" s="5">
        <v>1</v>
      </c>
      <c r="R958" s="5" t="str">
        <f t="shared" si="131"/>
        <v>Management &amp; Expertise</v>
      </c>
      <c r="S958" s="5" t="s">
        <v>3789</v>
      </c>
      <c r="T958" s="4">
        <v>31745</v>
      </c>
      <c r="U958" s="5">
        <f t="shared" si="128"/>
        <v>1986</v>
      </c>
      <c r="V958" s="5" t="s">
        <v>3793</v>
      </c>
      <c r="W958" s="9">
        <f t="shared" si="129"/>
        <v>38</v>
      </c>
      <c r="X958" s="5" t="str">
        <f t="shared" si="132"/>
        <v>[35 - 39 ans ]</v>
      </c>
      <c r="Y958" s="5" t="str">
        <f t="shared" si="133"/>
        <v xml:space="preserve"> Mellenials </v>
      </c>
      <c r="Z958" s="9">
        <f t="shared" si="130"/>
        <v>22</v>
      </c>
      <c r="AA958" s="5" t="str">
        <f t="shared" si="134"/>
        <v>RAS</v>
      </c>
      <c r="AB958" s="5" t="s">
        <v>3807</v>
      </c>
      <c r="AC958" s="6" t="s">
        <v>3799</v>
      </c>
      <c r="AE958" s="5" t="s">
        <v>3844</v>
      </c>
      <c r="AF958" s="5" t="s">
        <v>4481</v>
      </c>
      <c r="AG958" s="5" t="s">
        <v>4485</v>
      </c>
      <c r="AH958" s="5" t="s">
        <v>4489</v>
      </c>
      <c r="AI958" s="5" t="s">
        <v>4390</v>
      </c>
      <c r="AJ958" s="5" t="s">
        <v>4391</v>
      </c>
      <c r="AK958" s="5" t="s">
        <v>4372</v>
      </c>
      <c r="AL958" s="5" t="s">
        <v>3858</v>
      </c>
    </row>
    <row r="959" spans="1:38" x14ac:dyDescent="0.3">
      <c r="A959" s="4">
        <v>45716</v>
      </c>
      <c r="B959" s="5" t="s">
        <v>3391</v>
      </c>
      <c r="C959" s="5" t="s">
        <v>3392</v>
      </c>
      <c r="D959" s="5" t="s">
        <v>3393</v>
      </c>
      <c r="E959" s="5" t="s">
        <v>4494</v>
      </c>
      <c r="G959" s="5" t="s">
        <v>39</v>
      </c>
      <c r="H959" s="5" t="s">
        <v>3394</v>
      </c>
      <c r="I959" s="5" t="s">
        <v>2525</v>
      </c>
      <c r="J959" s="5" t="s">
        <v>120</v>
      </c>
      <c r="K959" s="4">
        <v>44669</v>
      </c>
      <c r="L959" s="4">
        <v>44669</v>
      </c>
      <c r="M959" s="9">
        <f t="shared" si="126"/>
        <v>2</v>
      </c>
      <c r="N959" s="4" t="str">
        <f t="shared" si="127"/>
        <v xml:space="preserve"> ] 0 ; 2 ]</v>
      </c>
      <c r="O959" s="5" t="s">
        <v>3785</v>
      </c>
      <c r="P959" s="5" t="s">
        <v>3785</v>
      </c>
      <c r="Q959" s="5">
        <v>1</v>
      </c>
      <c r="R959" s="5" t="str">
        <f t="shared" si="131"/>
        <v>Specialisation</v>
      </c>
      <c r="S959" s="5" t="s">
        <v>3790</v>
      </c>
      <c r="T959" s="4">
        <v>35482</v>
      </c>
      <c r="U959" s="5">
        <f t="shared" si="128"/>
        <v>1997</v>
      </c>
      <c r="V959" s="5" t="s">
        <v>3792</v>
      </c>
      <c r="W959" s="9">
        <f t="shared" si="129"/>
        <v>28</v>
      </c>
      <c r="X959" s="5" t="str">
        <f t="shared" si="132"/>
        <v>[20 - 29 ans[</v>
      </c>
      <c r="Y959" s="5" t="str">
        <f t="shared" si="133"/>
        <v xml:space="preserve"> Gen Z </v>
      </c>
      <c r="Z959" s="9">
        <f t="shared" si="130"/>
        <v>32</v>
      </c>
      <c r="AA959" s="5" t="str">
        <f t="shared" si="134"/>
        <v>RAS</v>
      </c>
      <c r="AB959" s="5" t="s">
        <v>3807</v>
      </c>
      <c r="AC959" s="6" t="s">
        <v>3799</v>
      </c>
      <c r="AE959" s="5" t="s">
        <v>3844</v>
      </c>
      <c r="AF959" s="5" t="s">
        <v>4481</v>
      </c>
      <c r="AG959" s="5" t="s">
        <v>4485</v>
      </c>
      <c r="AH959" s="5" t="s">
        <v>4489</v>
      </c>
      <c r="AI959" s="5" t="s">
        <v>4419</v>
      </c>
      <c r="AJ959" s="5" t="s">
        <v>4420</v>
      </c>
      <c r="AK959" s="5" t="s">
        <v>4372</v>
      </c>
      <c r="AL959" s="5" t="s">
        <v>3858</v>
      </c>
    </row>
    <row r="960" spans="1:38" x14ac:dyDescent="0.3">
      <c r="A960" s="4">
        <v>45716</v>
      </c>
      <c r="B960" s="5" t="s">
        <v>3395</v>
      </c>
      <c r="C960" s="5" t="s">
        <v>3396</v>
      </c>
      <c r="D960" s="5" t="s">
        <v>3397</v>
      </c>
      <c r="E960" s="5" t="s">
        <v>4494</v>
      </c>
      <c r="G960" s="5" t="s">
        <v>178</v>
      </c>
      <c r="H960" s="5" t="s">
        <v>3398</v>
      </c>
      <c r="I960" s="5" t="s">
        <v>435</v>
      </c>
      <c r="J960" s="5" t="s">
        <v>1368</v>
      </c>
      <c r="K960" s="4">
        <v>44686</v>
      </c>
      <c r="L960" s="4">
        <v>44686</v>
      </c>
      <c r="M960" s="9">
        <f t="shared" si="126"/>
        <v>2</v>
      </c>
      <c r="N960" s="4" t="str">
        <f t="shared" si="127"/>
        <v xml:space="preserve"> ] 0 ; 2 ]</v>
      </c>
      <c r="O960" s="5" t="s">
        <v>3784</v>
      </c>
      <c r="P960" s="5" t="s">
        <v>3784</v>
      </c>
      <c r="Q960" s="5">
        <v>1</v>
      </c>
      <c r="R960" s="5" t="str">
        <f t="shared" si="131"/>
        <v>Management &amp; Expertise</v>
      </c>
      <c r="S960" s="5" t="s">
        <v>3789</v>
      </c>
      <c r="T960" s="4">
        <v>31956</v>
      </c>
      <c r="U960" s="5">
        <f t="shared" si="128"/>
        <v>1987</v>
      </c>
      <c r="V960" s="5" t="s">
        <v>3792</v>
      </c>
      <c r="W960" s="9">
        <f t="shared" si="129"/>
        <v>37</v>
      </c>
      <c r="X960" s="5" t="str">
        <f t="shared" si="132"/>
        <v>[35 - 39 ans ]</v>
      </c>
      <c r="Y960" s="5" t="str">
        <f t="shared" si="133"/>
        <v xml:space="preserve"> Mellenials </v>
      </c>
      <c r="Z960" s="9">
        <f t="shared" si="130"/>
        <v>23</v>
      </c>
      <c r="AA960" s="5" t="str">
        <f t="shared" si="134"/>
        <v>RAS</v>
      </c>
      <c r="AB960" s="5" t="s">
        <v>3806</v>
      </c>
      <c r="AC960" s="6" t="s">
        <v>3799</v>
      </c>
      <c r="AE960" s="5" t="s">
        <v>3845</v>
      </c>
      <c r="AF960" s="5" t="s">
        <v>4481</v>
      </c>
      <c r="AG960" s="5" t="s">
        <v>4485</v>
      </c>
      <c r="AH960" s="5" t="s">
        <v>4488</v>
      </c>
      <c r="AI960" s="5" t="s">
        <v>4034</v>
      </c>
      <c r="AJ960" s="5" t="s">
        <v>4035</v>
      </c>
      <c r="AK960" s="5" t="s">
        <v>3962</v>
      </c>
      <c r="AL960" s="5" t="s">
        <v>3854</v>
      </c>
    </row>
    <row r="961" spans="1:38" x14ac:dyDescent="0.3">
      <c r="A961" s="4">
        <v>45716</v>
      </c>
      <c r="B961" s="5" t="s">
        <v>3399</v>
      </c>
      <c r="C961" s="5" t="s">
        <v>3400</v>
      </c>
      <c r="D961" s="5" t="s">
        <v>3401</v>
      </c>
      <c r="E961" s="5" t="s">
        <v>4494</v>
      </c>
      <c r="G961" s="5" t="s">
        <v>39</v>
      </c>
      <c r="H961" s="5" t="s">
        <v>967</v>
      </c>
      <c r="I961" s="5" t="s">
        <v>397</v>
      </c>
      <c r="J961" s="5" t="s">
        <v>1899</v>
      </c>
      <c r="K961" s="4">
        <v>44683</v>
      </c>
      <c r="L961" s="4">
        <v>44683</v>
      </c>
      <c r="M961" s="9">
        <f t="shared" ref="M961:M1024" si="135">DATEDIF(L961,A961,"y")</f>
        <v>2</v>
      </c>
      <c r="N961" s="4" t="str">
        <f t="shared" ref="N961:N1024" si="136">IF(M961&lt;=2," ] 0 ; 2 ]",IF(AND(M961&gt;2,M961&lt;=5),"] 2 ; 5 ]",IF(AND(M961&gt;5,M961&lt;=8),"] 5 ; 8 ]",IF(AND(M961&gt;8,M961&lt;=10),"] 8 ; 10 ]",IF(AND(M961&gt;10,M961&lt;=15),"] 10 ; 15 ]","] 15 ; +oo [")))))</f>
        <v xml:space="preserve"> ] 0 ; 2 ]</v>
      </c>
      <c r="O961" s="5" t="s">
        <v>3785</v>
      </c>
      <c r="P961" s="5" t="s">
        <v>3785</v>
      </c>
      <c r="Q961" s="5">
        <v>1</v>
      </c>
      <c r="R961" s="5" t="str">
        <f t="shared" si="131"/>
        <v>Specialisation</v>
      </c>
      <c r="S961" s="5" t="s">
        <v>3789</v>
      </c>
      <c r="T961" s="4">
        <v>31765</v>
      </c>
      <c r="U961" s="5">
        <f t="shared" ref="U961:U1024" si="137">YEAR(T961)</f>
        <v>1986</v>
      </c>
      <c r="V961" s="5" t="s">
        <v>3793</v>
      </c>
      <c r="W961" s="9">
        <f t="shared" ref="W961:W1024" si="138">DATEDIF(T961,A961,"y")</f>
        <v>38</v>
      </c>
      <c r="X961" s="5" t="str">
        <f t="shared" si="132"/>
        <v>[35 - 39 ans ]</v>
      </c>
      <c r="Y961" s="5" t="str">
        <f t="shared" si="133"/>
        <v xml:space="preserve"> Mellenials </v>
      </c>
      <c r="Z961" s="9">
        <f t="shared" ref="Z961:Z1024" si="139">60-W961</f>
        <v>22</v>
      </c>
      <c r="AA961" s="5" t="str">
        <f t="shared" si="134"/>
        <v>RAS</v>
      </c>
      <c r="AB961" s="5" t="s">
        <v>3807</v>
      </c>
      <c r="AC961" s="6" t="s">
        <v>3799</v>
      </c>
      <c r="AE961" s="5" t="s">
        <v>3844</v>
      </c>
      <c r="AF961" s="5" t="s">
        <v>4481</v>
      </c>
      <c r="AG961" s="5" t="s">
        <v>4485</v>
      </c>
      <c r="AH961" s="5" t="s">
        <v>4489</v>
      </c>
      <c r="AI961" s="5" t="s">
        <v>4224</v>
      </c>
      <c r="AJ961" s="5" t="s">
        <v>4451</v>
      </c>
      <c r="AK961" s="5" t="s">
        <v>4030</v>
      </c>
      <c r="AL961" s="5" t="s">
        <v>3858</v>
      </c>
    </row>
    <row r="962" spans="1:38" x14ac:dyDescent="0.3">
      <c r="A962" s="4">
        <v>45716</v>
      </c>
      <c r="B962" s="5" t="s">
        <v>3402</v>
      </c>
      <c r="C962" s="5" t="s">
        <v>3403</v>
      </c>
      <c r="D962" s="5" t="s">
        <v>3404</v>
      </c>
      <c r="E962" s="5" t="s">
        <v>4494</v>
      </c>
      <c r="G962" s="5" t="s">
        <v>24</v>
      </c>
      <c r="H962" s="5" t="s">
        <v>1138</v>
      </c>
      <c r="I962" s="5" t="s">
        <v>1317</v>
      </c>
      <c r="J962" s="5" t="s">
        <v>23</v>
      </c>
      <c r="K962" s="4">
        <v>44713</v>
      </c>
      <c r="L962" s="4">
        <v>44713</v>
      </c>
      <c r="M962" s="9">
        <f t="shared" si="135"/>
        <v>2</v>
      </c>
      <c r="N962" s="4" t="str">
        <f t="shared" si="136"/>
        <v xml:space="preserve"> ] 0 ; 2 ]</v>
      </c>
      <c r="O962" s="5" t="s">
        <v>3785</v>
      </c>
      <c r="P962" s="5" t="s">
        <v>3785</v>
      </c>
      <c r="Q962" s="5">
        <v>2</v>
      </c>
      <c r="R962" s="5" t="str">
        <f t="shared" ref="R962:R1025" si="140">IF(OR(O962="A",O962="B",O962="C",O962="D"),"Qualification",IF(OR(O962="E",O962="F",O962="G"),"Specialisation","Management &amp; Expertise"))</f>
        <v>Specialisation</v>
      </c>
      <c r="S962" s="5" t="s">
        <v>3789</v>
      </c>
      <c r="T962" s="4">
        <v>30320</v>
      </c>
      <c r="U962" s="5">
        <f t="shared" si="137"/>
        <v>1983</v>
      </c>
      <c r="V962" s="5" t="s">
        <v>3793</v>
      </c>
      <c r="W962" s="9">
        <f t="shared" si="138"/>
        <v>42</v>
      </c>
      <c r="X962" s="5" t="str">
        <f t="shared" ref="X962:X1025" si="141">IF(W962&lt;30,"[20 - 29 ans[",IF(AND(W962&gt;=30,W962&lt;35),"[30 - 34 ans]",IF(AND(W962&gt;=35,W962&lt;40),"[35 - 39 ans ]",IF(AND(W962&gt;=40,W962&lt;45),"[40 - 44 ans]",IF(AND(W962&gt;=45,W962&lt;50),"[45 - 49 ans]","[50 ans, +oo [")))))</f>
        <v>[40 - 44 ans]</v>
      </c>
      <c r="Y962" s="5" t="str">
        <f t="shared" ref="Y962:Y1025" si="142">IF(AND(U962&gt;1946,U962&lt;=1965)," Baby - Boomers ",IF(AND(U962&gt;1965,U962&lt;=1980)," Generation X ",IF(AND(U962&gt;1980,U962&lt;1996)," Mellenials ",IF(AND(U962&gt;1996,U962&lt;2012)," Gen Z "," Gen Alpha"))))</f>
        <v xml:space="preserve"> Mellenials </v>
      </c>
      <c r="Z962" s="9">
        <f t="shared" si="139"/>
        <v>18</v>
      </c>
      <c r="AA962" s="5" t="str">
        <f t="shared" ref="AA962:AA1025" si="143">IF(Z962&lt;=5,"Départ à la Retraite 5ans","RAS")</f>
        <v>RAS</v>
      </c>
      <c r="AB962" s="5" t="s">
        <v>3805</v>
      </c>
      <c r="AC962" s="6" t="s">
        <v>3799</v>
      </c>
      <c r="AE962" s="5" t="s">
        <v>3844</v>
      </c>
      <c r="AF962" s="5" t="s">
        <v>4481</v>
      </c>
      <c r="AG962" s="5" t="s">
        <v>4485</v>
      </c>
      <c r="AH962" s="5" t="s">
        <v>4488</v>
      </c>
      <c r="AI962" s="5" t="s">
        <v>4133</v>
      </c>
      <c r="AJ962" s="5" t="s">
        <v>4134</v>
      </c>
      <c r="AK962" s="5" t="s">
        <v>3983</v>
      </c>
      <c r="AL962" s="5" t="s">
        <v>3858</v>
      </c>
    </row>
    <row r="963" spans="1:38" x14ac:dyDescent="0.3">
      <c r="A963" s="4">
        <v>45716</v>
      </c>
      <c r="B963" s="5" t="s">
        <v>3405</v>
      </c>
      <c r="C963" s="5" t="s">
        <v>3406</v>
      </c>
      <c r="D963" s="5" t="s">
        <v>3407</v>
      </c>
      <c r="E963" s="5" t="s">
        <v>4494</v>
      </c>
      <c r="G963" s="5" t="s">
        <v>83</v>
      </c>
      <c r="H963" s="5" t="s">
        <v>3408</v>
      </c>
      <c r="I963" s="5" t="s">
        <v>3278</v>
      </c>
      <c r="J963" s="5" t="s">
        <v>1222</v>
      </c>
      <c r="K963" s="4">
        <v>44725</v>
      </c>
      <c r="L963" s="4">
        <v>44725</v>
      </c>
      <c r="M963" s="9">
        <f t="shared" si="135"/>
        <v>2</v>
      </c>
      <c r="N963" s="4" t="str">
        <f t="shared" si="136"/>
        <v xml:space="preserve"> ] 0 ; 2 ]</v>
      </c>
      <c r="O963" s="5" t="s">
        <v>3785</v>
      </c>
      <c r="P963" s="5" t="s">
        <v>3785</v>
      </c>
      <c r="Q963" s="5">
        <v>1</v>
      </c>
      <c r="R963" s="5" t="str">
        <f t="shared" si="140"/>
        <v>Specialisation</v>
      </c>
      <c r="S963" s="5" t="s">
        <v>3789</v>
      </c>
      <c r="T963" s="4">
        <v>34657</v>
      </c>
      <c r="U963" s="5">
        <f t="shared" si="137"/>
        <v>1994</v>
      </c>
      <c r="V963" s="5" t="s">
        <v>3792</v>
      </c>
      <c r="W963" s="9">
        <f t="shared" si="138"/>
        <v>30</v>
      </c>
      <c r="X963" s="5" t="str">
        <f t="shared" si="141"/>
        <v>[30 - 34 ans]</v>
      </c>
      <c r="Y963" s="5" t="str">
        <f t="shared" si="142"/>
        <v xml:space="preserve"> Mellenials </v>
      </c>
      <c r="Z963" s="9">
        <f t="shared" si="139"/>
        <v>30</v>
      </c>
      <c r="AA963" s="5" t="str">
        <f t="shared" si="143"/>
        <v>RAS</v>
      </c>
      <c r="AB963" s="5" t="s">
        <v>3807</v>
      </c>
      <c r="AC963" s="6" t="s">
        <v>3799</v>
      </c>
      <c r="AE963" s="5" t="s">
        <v>3844</v>
      </c>
      <c r="AF963" s="5" t="s">
        <v>4481</v>
      </c>
      <c r="AG963" s="5" t="s">
        <v>4485</v>
      </c>
      <c r="AH963" s="5" t="s">
        <v>4489</v>
      </c>
      <c r="AI963" s="5" t="s">
        <v>4137</v>
      </c>
      <c r="AJ963" s="5" t="s">
        <v>4418</v>
      </c>
      <c r="AK963" s="5" t="s">
        <v>3903</v>
      </c>
      <c r="AL963" s="5" t="s">
        <v>3858</v>
      </c>
    </row>
    <row r="964" spans="1:38" x14ac:dyDescent="0.3">
      <c r="A964" s="4">
        <v>45716</v>
      </c>
      <c r="B964" s="5" t="s">
        <v>3409</v>
      </c>
      <c r="C964" s="5" t="s">
        <v>3410</v>
      </c>
      <c r="D964" s="5" t="s">
        <v>3411</v>
      </c>
      <c r="E964" s="5" t="s">
        <v>4494</v>
      </c>
      <c r="G964" s="5" t="s">
        <v>39</v>
      </c>
      <c r="H964" s="5" t="s">
        <v>3412</v>
      </c>
      <c r="I964" s="5" t="s">
        <v>1372</v>
      </c>
      <c r="J964" s="5" t="s">
        <v>1372</v>
      </c>
      <c r="K964" s="4">
        <v>44743</v>
      </c>
      <c r="L964" s="4">
        <v>44743</v>
      </c>
      <c r="M964" s="9">
        <f t="shared" si="135"/>
        <v>2</v>
      </c>
      <c r="N964" s="4" t="str">
        <f t="shared" si="136"/>
        <v xml:space="preserve"> ] 0 ; 2 ]</v>
      </c>
      <c r="O964" s="5" t="s">
        <v>3785</v>
      </c>
      <c r="P964" s="5" t="s">
        <v>3785</v>
      </c>
      <c r="Q964" s="5">
        <v>2</v>
      </c>
      <c r="R964" s="5" t="str">
        <f t="shared" si="140"/>
        <v>Specialisation</v>
      </c>
      <c r="S964" s="5" t="s">
        <v>3789</v>
      </c>
      <c r="T964" s="4">
        <v>30143</v>
      </c>
      <c r="U964" s="5">
        <f t="shared" si="137"/>
        <v>1982</v>
      </c>
      <c r="V964" s="5" t="s">
        <v>3793</v>
      </c>
      <c r="W964" s="9">
        <f t="shared" si="138"/>
        <v>42</v>
      </c>
      <c r="X964" s="5" t="str">
        <f t="shared" si="141"/>
        <v>[40 - 44 ans]</v>
      </c>
      <c r="Y964" s="5" t="str">
        <f t="shared" si="142"/>
        <v xml:space="preserve"> Mellenials </v>
      </c>
      <c r="Z964" s="9">
        <f t="shared" si="139"/>
        <v>18</v>
      </c>
      <c r="AA964" s="5" t="str">
        <f t="shared" si="143"/>
        <v>RAS</v>
      </c>
      <c r="AB964" s="5" t="s">
        <v>3805</v>
      </c>
      <c r="AC964" s="6" t="s">
        <v>3799</v>
      </c>
      <c r="AE964" s="5" t="s">
        <v>3844</v>
      </c>
      <c r="AF964" s="5" t="s">
        <v>4481</v>
      </c>
      <c r="AG964" s="5" t="s">
        <v>4485</v>
      </c>
      <c r="AH964" s="5" t="s">
        <v>4489</v>
      </c>
      <c r="AI964" s="5" t="s">
        <v>4016</v>
      </c>
      <c r="AJ964" s="5" t="s">
        <v>4017</v>
      </c>
      <c r="AK964" s="5" t="s">
        <v>4018</v>
      </c>
      <c r="AL964" s="5" t="s">
        <v>3858</v>
      </c>
    </row>
    <row r="965" spans="1:38" x14ac:dyDescent="0.3">
      <c r="A965" s="4">
        <v>45716</v>
      </c>
      <c r="B965" s="5" t="s">
        <v>3413</v>
      </c>
      <c r="C965" s="5" t="s">
        <v>3414</v>
      </c>
      <c r="D965" s="5" t="s">
        <v>3415</v>
      </c>
      <c r="E965" s="5" t="s">
        <v>4494</v>
      </c>
      <c r="G965" s="5" t="s">
        <v>39</v>
      </c>
      <c r="H965" s="5" t="s">
        <v>3416</v>
      </c>
      <c r="I965" s="5" t="s">
        <v>3262</v>
      </c>
      <c r="J965" s="5" t="s">
        <v>149</v>
      </c>
      <c r="K965" s="4">
        <v>44753</v>
      </c>
      <c r="L965" s="4">
        <v>44753</v>
      </c>
      <c r="M965" s="9">
        <f t="shared" si="135"/>
        <v>2</v>
      </c>
      <c r="N965" s="4" t="str">
        <f t="shared" si="136"/>
        <v xml:space="preserve"> ] 0 ; 2 ]</v>
      </c>
      <c r="O965" s="5" t="s">
        <v>3785</v>
      </c>
      <c r="P965" s="5" t="s">
        <v>3785</v>
      </c>
      <c r="Q965" s="5">
        <v>1</v>
      </c>
      <c r="R965" s="5" t="str">
        <f t="shared" si="140"/>
        <v>Specialisation</v>
      </c>
      <c r="S965" s="5" t="s">
        <v>3789</v>
      </c>
      <c r="T965" s="4">
        <v>35447</v>
      </c>
      <c r="U965" s="5">
        <f t="shared" si="137"/>
        <v>1997</v>
      </c>
      <c r="V965" s="5" t="s">
        <v>3792</v>
      </c>
      <c r="W965" s="9">
        <f t="shared" si="138"/>
        <v>28</v>
      </c>
      <c r="X965" s="5" t="str">
        <f t="shared" si="141"/>
        <v>[20 - 29 ans[</v>
      </c>
      <c r="Y965" s="5" t="str">
        <f t="shared" si="142"/>
        <v xml:space="preserve"> Gen Z </v>
      </c>
      <c r="Z965" s="9">
        <f t="shared" si="139"/>
        <v>32</v>
      </c>
      <c r="AA965" s="5" t="str">
        <f t="shared" si="143"/>
        <v>RAS</v>
      </c>
      <c r="AB965" s="5" t="s">
        <v>3807</v>
      </c>
      <c r="AC965" s="6" t="s">
        <v>3799</v>
      </c>
      <c r="AE965" s="5" t="s">
        <v>3844</v>
      </c>
      <c r="AF965" s="5" t="s">
        <v>4481</v>
      </c>
      <c r="AG965" s="5" t="s">
        <v>4485</v>
      </c>
      <c r="AH965" s="5" t="s">
        <v>4489</v>
      </c>
      <c r="AI965" s="5" t="s">
        <v>3871</v>
      </c>
      <c r="AJ965" s="5" t="s">
        <v>3872</v>
      </c>
      <c r="AK965" s="5" t="s">
        <v>3873</v>
      </c>
      <c r="AL965" s="5" t="s">
        <v>3858</v>
      </c>
    </row>
    <row r="966" spans="1:38" x14ac:dyDescent="0.3">
      <c r="A966" s="4">
        <v>45716</v>
      </c>
      <c r="B966" s="5" t="s">
        <v>3417</v>
      </c>
      <c r="C966" s="5" t="s">
        <v>3418</v>
      </c>
      <c r="D966" s="5" t="s">
        <v>3419</v>
      </c>
      <c r="E966" s="5" t="s">
        <v>4494</v>
      </c>
      <c r="G966" s="5" t="s">
        <v>787</v>
      </c>
      <c r="H966" s="5" t="s">
        <v>3420</v>
      </c>
      <c r="I966" s="5" t="s">
        <v>2841</v>
      </c>
      <c r="J966" s="5" t="s">
        <v>2841</v>
      </c>
      <c r="K966" s="4">
        <v>44755</v>
      </c>
      <c r="L966" s="4">
        <v>44755</v>
      </c>
      <c r="M966" s="9">
        <f t="shared" si="135"/>
        <v>2</v>
      </c>
      <c r="N966" s="4" t="str">
        <f t="shared" si="136"/>
        <v xml:space="preserve"> ] 0 ; 2 ]</v>
      </c>
      <c r="O966" s="5" t="s">
        <v>3779</v>
      </c>
      <c r="P966" s="5" t="s">
        <v>3784</v>
      </c>
      <c r="Q966" s="5">
        <v>2</v>
      </c>
      <c r="R966" s="5" t="str">
        <f t="shared" si="140"/>
        <v>Management &amp; Expertise</v>
      </c>
      <c r="S966" s="5" t="s">
        <v>3789</v>
      </c>
      <c r="T966" s="4">
        <v>29664</v>
      </c>
      <c r="U966" s="5">
        <f t="shared" si="137"/>
        <v>1981</v>
      </c>
      <c r="V966" s="5" t="s">
        <v>3793</v>
      </c>
      <c r="W966" s="9">
        <f t="shared" si="138"/>
        <v>43</v>
      </c>
      <c r="X966" s="5" t="str">
        <f t="shared" si="141"/>
        <v>[40 - 44 ans]</v>
      </c>
      <c r="Y966" s="5" t="str">
        <f t="shared" si="142"/>
        <v xml:space="preserve"> Mellenials </v>
      </c>
      <c r="Z966" s="9">
        <f t="shared" si="139"/>
        <v>17</v>
      </c>
      <c r="AA966" s="5" t="str">
        <f t="shared" si="143"/>
        <v>RAS</v>
      </c>
      <c r="AB966" s="5" t="s">
        <v>3806</v>
      </c>
      <c r="AC966" s="6" t="s">
        <v>3799</v>
      </c>
      <c r="AE966" s="5" t="s">
        <v>3845</v>
      </c>
      <c r="AF966" s="5" t="s">
        <v>4481</v>
      </c>
      <c r="AG966" s="5" t="s">
        <v>4484</v>
      </c>
      <c r="AH966" s="5" t="s">
        <v>4487</v>
      </c>
      <c r="AI966" s="5" t="s">
        <v>4194</v>
      </c>
      <c r="AJ966" s="5" t="s">
        <v>4466</v>
      </c>
      <c r="AK966" s="5" t="s">
        <v>4195</v>
      </c>
      <c r="AL966" s="5" t="s">
        <v>3854</v>
      </c>
    </row>
    <row r="967" spans="1:38" x14ac:dyDescent="0.3">
      <c r="A967" s="4">
        <v>45716</v>
      </c>
      <c r="B967" s="5" t="s">
        <v>3421</v>
      </c>
      <c r="C967" s="5" t="s">
        <v>3422</v>
      </c>
      <c r="D967" s="5" t="s">
        <v>3423</v>
      </c>
      <c r="E967" s="5" t="s">
        <v>4494</v>
      </c>
      <c r="G967" s="5" t="s">
        <v>1762</v>
      </c>
      <c r="H967" s="5" t="s">
        <v>3424</v>
      </c>
      <c r="I967" s="5" t="s">
        <v>2640</v>
      </c>
      <c r="J967" s="5" t="s">
        <v>2205</v>
      </c>
      <c r="K967" s="4">
        <v>44823</v>
      </c>
      <c r="L967" s="4">
        <v>44823</v>
      </c>
      <c r="M967" s="9">
        <f t="shared" si="135"/>
        <v>2</v>
      </c>
      <c r="N967" s="4" t="str">
        <f t="shared" si="136"/>
        <v xml:space="preserve"> ] 0 ; 2 ]</v>
      </c>
      <c r="O967" s="5" t="s">
        <v>3783</v>
      </c>
      <c r="P967" s="5" t="s">
        <v>3783</v>
      </c>
      <c r="Q967" s="5">
        <v>1</v>
      </c>
      <c r="R967" s="5" t="str">
        <f t="shared" si="140"/>
        <v>Specialisation</v>
      </c>
      <c r="S967" s="5" t="s">
        <v>3790</v>
      </c>
      <c r="T967" s="4">
        <v>35325</v>
      </c>
      <c r="U967" s="5">
        <f t="shared" si="137"/>
        <v>1996</v>
      </c>
      <c r="V967" s="5" t="s">
        <v>3792</v>
      </c>
      <c r="W967" s="9">
        <f t="shared" si="138"/>
        <v>28</v>
      </c>
      <c r="X967" s="5" t="str">
        <f t="shared" si="141"/>
        <v>[20 - 29 ans[</v>
      </c>
      <c r="Y967" s="5" t="str">
        <f t="shared" si="142"/>
        <v xml:space="preserve"> Gen Alpha</v>
      </c>
      <c r="Z967" s="9">
        <f t="shared" si="139"/>
        <v>32</v>
      </c>
      <c r="AA967" s="5" t="str">
        <f t="shared" si="143"/>
        <v>RAS</v>
      </c>
      <c r="AB967" s="5" t="s">
        <v>3806</v>
      </c>
      <c r="AC967" s="6" t="s">
        <v>3799</v>
      </c>
      <c r="AE967" s="5" t="s">
        <v>3844</v>
      </c>
      <c r="AF967" s="5" t="s">
        <v>4482</v>
      </c>
      <c r="AG967" s="5" t="s">
        <v>4485</v>
      </c>
      <c r="AH967" s="5" t="s">
        <v>4488</v>
      </c>
      <c r="AI967" s="5" t="s">
        <v>4398</v>
      </c>
      <c r="AJ967" s="5" t="s">
        <v>4399</v>
      </c>
      <c r="AK967" s="5" t="s">
        <v>4392</v>
      </c>
      <c r="AL967" s="5" t="s">
        <v>3858</v>
      </c>
    </row>
    <row r="968" spans="1:38" x14ac:dyDescent="0.3">
      <c r="A968" s="4">
        <v>45716</v>
      </c>
      <c r="B968" s="5" t="s">
        <v>3425</v>
      </c>
      <c r="C968" s="5" t="s">
        <v>3426</v>
      </c>
      <c r="D968" s="5" t="s">
        <v>3427</v>
      </c>
      <c r="E968" s="5" t="s">
        <v>4494</v>
      </c>
      <c r="G968" s="5" t="s">
        <v>39</v>
      </c>
      <c r="H968" s="5" t="s">
        <v>3428</v>
      </c>
      <c r="I968" s="5" t="s">
        <v>2377</v>
      </c>
      <c r="J968" s="5" t="s">
        <v>2821</v>
      </c>
      <c r="K968" s="4">
        <v>44813</v>
      </c>
      <c r="L968" s="4">
        <v>40220</v>
      </c>
      <c r="M968" s="9">
        <f t="shared" si="135"/>
        <v>15</v>
      </c>
      <c r="N968" s="4" t="str">
        <f t="shared" si="136"/>
        <v>] 10 ; 15 ]</v>
      </c>
      <c r="O968" s="5" t="s">
        <v>3786</v>
      </c>
      <c r="P968" s="5" t="s">
        <v>3786</v>
      </c>
      <c r="Q968" s="5">
        <v>1</v>
      </c>
      <c r="R968" s="5" t="str">
        <f t="shared" si="140"/>
        <v>Specialisation</v>
      </c>
      <c r="S968" s="5" t="s">
        <v>3790</v>
      </c>
      <c r="T968" s="4">
        <v>30666</v>
      </c>
      <c r="U968" s="5">
        <f t="shared" si="137"/>
        <v>1983</v>
      </c>
      <c r="V968" s="5" t="s">
        <v>3793</v>
      </c>
      <c r="W968" s="9">
        <f t="shared" si="138"/>
        <v>41</v>
      </c>
      <c r="X968" s="5" t="str">
        <f t="shared" si="141"/>
        <v>[40 - 44 ans]</v>
      </c>
      <c r="Y968" s="5" t="str">
        <f t="shared" si="142"/>
        <v xml:space="preserve"> Mellenials </v>
      </c>
      <c r="Z968" s="9">
        <f t="shared" si="139"/>
        <v>19</v>
      </c>
      <c r="AA968" s="5" t="str">
        <f t="shared" si="143"/>
        <v>RAS</v>
      </c>
      <c r="AB968" s="5" t="s">
        <v>3807</v>
      </c>
      <c r="AC968" s="6" t="s">
        <v>3799</v>
      </c>
      <c r="AE968" s="5" t="s">
        <v>3844</v>
      </c>
      <c r="AF968" s="5" t="s">
        <v>4482</v>
      </c>
      <c r="AG968" s="5" t="s">
        <v>4485</v>
      </c>
      <c r="AH968" s="5" t="s">
        <v>4489</v>
      </c>
      <c r="AI968" s="5" t="s">
        <v>4467</v>
      </c>
      <c r="AJ968" s="5" t="s">
        <v>4468</v>
      </c>
      <c r="AK968" s="5" t="s">
        <v>4396</v>
      </c>
      <c r="AL968" s="5" t="s">
        <v>3858</v>
      </c>
    </row>
    <row r="969" spans="1:38" x14ac:dyDescent="0.3">
      <c r="A969" s="4">
        <v>45716</v>
      </c>
      <c r="B969" s="5" t="s">
        <v>3429</v>
      </c>
      <c r="C969" s="5" t="s">
        <v>3430</v>
      </c>
      <c r="D969" s="5" t="s">
        <v>3431</v>
      </c>
      <c r="E969" s="5" t="s">
        <v>4494</v>
      </c>
      <c r="G969" s="5" t="s">
        <v>222</v>
      </c>
      <c r="H969" s="5" t="s">
        <v>3432</v>
      </c>
      <c r="I969" s="5" t="s">
        <v>3362</v>
      </c>
      <c r="J969" s="5" t="s">
        <v>2086</v>
      </c>
      <c r="K969" s="4">
        <v>44826</v>
      </c>
      <c r="L969" s="4">
        <v>44826</v>
      </c>
      <c r="M969" s="9">
        <f t="shared" si="135"/>
        <v>2</v>
      </c>
      <c r="N969" s="4" t="str">
        <f t="shared" si="136"/>
        <v xml:space="preserve"> ] 0 ; 2 ]</v>
      </c>
      <c r="O969" s="5" t="s">
        <v>3785</v>
      </c>
      <c r="P969" s="5" t="s">
        <v>3785</v>
      </c>
      <c r="Q969" s="5">
        <v>2</v>
      </c>
      <c r="R969" s="5" t="str">
        <f t="shared" si="140"/>
        <v>Specialisation</v>
      </c>
      <c r="S969" s="5" t="s">
        <v>3789</v>
      </c>
      <c r="T969" s="4">
        <v>32684</v>
      </c>
      <c r="U969" s="5">
        <f t="shared" si="137"/>
        <v>1989</v>
      </c>
      <c r="V969" s="5" t="s">
        <v>3793</v>
      </c>
      <c r="W969" s="9">
        <f t="shared" si="138"/>
        <v>35</v>
      </c>
      <c r="X969" s="5" t="str">
        <f t="shared" si="141"/>
        <v>[35 - 39 ans ]</v>
      </c>
      <c r="Y969" s="5" t="str">
        <f t="shared" si="142"/>
        <v xml:space="preserve"> Mellenials </v>
      </c>
      <c r="Z969" s="9">
        <f t="shared" si="139"/>
        <v>25</v>
      </c>
      <c r="AA969" s="5" t="str">
        <f t="shared" si="143"/>
        <v>RAS</v>
      </c>
      <c r="AB969" s="5" t="s">
        <v>3837</v>
      </c>
      <c r="AC969" s="6" t="s">
        <v>3799</v>
      </c>
      <c r="AE969" s="5" t="s">
        <v>3844</v>
      </c>
      <c r="AF969" s="5" t="s">
        <v>4481</v>
      </c>
      <c r="AG969" s="5" t="s">
        <v>4485</v>
      </c>
      <c r="AH969" s="5" t="s">
        <v>4487</v>
      </c>
      <c r="AI969" s="5" t="s">
        <v>4421</v>
      </c>
      <c r="AJ969" s="5" t="s">
        <v>4422</v>
      </c>
      <c r="AK969" s="5" t="s">
        <v>4423</v>
      </c>
      <c r="AL969" s="5" t="s">
        <v>3858</v>
      </c>
    </row>
    <row r="970" spans="1:38" x14ac:dyDescent="0.3">
      <c r="A970" s="4">
        <v>45716</v>
      </c>
      <c r="B970" s="5" t="s">
        <v>3433</v>
      </c>
      <c r="C970" s="5" t="s">
        <v>3434</v>
      </c>
      <c r="D970" s="5" t="s">
        <v>3435</v>
      </c>
      <c r="E970" s="5" t="s">
        <v>4494</v>
      </c>
      <c r="G970" s="5" t="s">
        <v>83</v>
      </c>
      <c r="H970" s="5" t="s">
        <v>3436</v>
      </c>
      <c r="I970" s="5" t="s">
        <v>978</v>
      </c>
      <c r="J970" s="5" t="s">
        <v>346</v>
      </c>
      <c r="K970" s="4">
        <v>44844</v>
      </c>
      <c r="L970" s="4">
        <v>44844</v>
      </c>
      <c r="M970" s="9">
        <f t="shared" si="135"/>
        <v>2</v>
      </c>
      <c r="N970" s="4" t="str">
        <f t="shared" si="136"/>
        <v xml:space="preserve"> ] 0 ; 2 ]</v>
      </c>
      <c r="O970" s="5" t="s">
        <v>3785</v>
      </c>
      <c r="P970" s="5" t="s">
        <v>3785</v>
      </c>
      <c r="Q970" s="5">
        <v>2</v>
      </c>
      <c r="R970" s="5" t="str">
        <f t="shared" si="140"/>
        <v>Specialisation</v>
      </c>
      <c r="S970" s="5" t="s">
        <v>3789</v>
      </c>
      <c r="T970" s="4">
        <v>31221</v>
      </c>
      <c r="U970" s="5">
        <f t="shared" si="137"/>
        <v>1985</v>
      </c>
      <c r="V970" s="5" t="s">
        <v>3792</v>
      </c>
      <c r="W970" s="9">
        <f t="shared" si="138"/>
        <v>39</v>
      </c>
      <c r="X970" s="5" t="str">
        <f t="shared" si="141"/>
        <v>[35 - 39 ans ]</v>
      </c>
      <c r="Y970" s="5" t="str">
        <f t="shared" si="142"/>
        <v xml:space="preserve"> Mellenials </v>
      </c>
      <c r="Z970" s="9">
        <f t="shared" si="139"/>
        <v>21</v>
      </c>
      <c r="AA970" s="5" t="str">
        <f t="shared" si="143"/>
        <v>RAS</v>
      </c>
      <c r="AB970" s="5" t="s">
        <v>3807</v>
      </c>
      <c r="AC970" s="6" t="s">
        <v>3799</v>
      </c>
      <c r="AE970" s="5" t="s">
        <v>3844</v>
      </c>
      <c r="AF970" s="5" t="s">
        <v>4481</v>
      </c>
      <c r="AG970" s="5" t="s">
        <v>4485</v>
      </c>
      <c r="AH970" s="5" t="s">
        <v>4489</v>
      </c>
      <c r="AI970" s="5" t="s">
        <v>4229</v>
      </c>
      <c r="AJ970" s="5" t="s">
        <v>4469</v>
      </c>
      <c r="AK970" s="5" t="s">
        <v>3993</v>
      </c>
      <c r="AL970" s="5" t="s">
        <v>3858</v>
      </c>
    </row>
    <row r="971" spans="1:38" x14ac:dyDescent="0.3">
      <c r="A971" s="4">
        <v>45716</v>
      </c>
      <c r="B971" s="5" t="s">
        <v>3437</v>
      </c>
      <c r="C971" s="5" t="s">
        <v>3438</v>
      </c>
      <c r="D971" s="5" t="s">
        <v>3439</v>
      </c>
      <c r="E971" s="5" t="s">
        <v>4494</v>
      </c>
      <c r="G971" s="5" t="s">
        <v>83</v>
      </c>
      <c r="H971" s="5" t="s">
        <v>3440</v>
      </c>
      <c r="I971" s="5" t="s">
        <v>978</v>
      </c>
      <c r="J971" s="5" t="s">
        <v>346</v>
      </c>
      <c r="K971" s="4">
        <v>44851</v>
      </c>
      <c r="L971" s="4">
        <v>44851</v>
      </c>
      <c r="M971" s="9">
        <f t="shared" si="135"/>
        <v>2</v>
      </c>
      <c r="N971" s="4" t="str">
        <f t="shared" si="136"/>
        <v xml:space="preserve"> ] 0 ; 2 ]</v>
      </c>
      <c r="O971" s="5" t="s">
        <v>3785</v>
      </c>
      <c r="P971" s="5" t="s">
        <v>3785</v>
      </c>
      <c r="Q971" s="5">
        <v>1</v>
      </c>
      <c r="R971" s="5" t="str">
        <f t="shared" si="140"/>
        <v>Specialisation</v>
      </c>
      <c r="S971" s="5" t="s">
        <v>3789</v>
      </c>
      <c r="T971" s="4">
        <v>35466</v>
      </c>
      <c r="U971" s="5">
        <f t="shared" si="137"/>
        <v>1997</v>
      </c>
      <c r="V971" s="5" t="s">
        <v>3792</v>
      </c>
      <c r="W971" s="9">
        <f t="shared" si="138"/>
        <v>28</v>
      </c>
      <c r="X971" s="5" t="str">
        <f t="shared" si="141"/>
        <v>[20 - 29 ans[</v>
      </c>
      <c r="Y971" s="5" t="str">
        <f t="shared" si="142"/>
        <v xml:space="preserve"> Gen Z </v>
      </c>
      <c r="Z971" s="9">
        <f t="shared" si="139"/>
        <v>32</v>
      </c>
      <c r="AA971" s="5" t="str">
        <f t="shared" si="143"/>
        <v>RAS</v>
      </c>
      <c r="AB971" s="5" t="s">
        <v>3807</v>
      </c>
      <c r="AC971" s="6" t="s">
        <v>3799</v>
      </c>
      <c r="AE971" s="5" t="s">
        <v>3844</v>
      </c>
      <c r="AF971" s="5" t="s">
        <v>4481</v>
      </c>
      <c r="AG971" s="5" t="s">
        <v>4485</v>
      </c>
      <c r="AH971" s="5" t="s">
        <v>4489</v>
      </c>
      <c r="AI971" s="5" t="s">
        <v>4229</v>
      </c>
      <c r="AJ971" s="5" t="s">
        <v>4469</v>
      </c>
      <c r="AK971" s="5" t="s">
        <v>3993</v>
      </c>
      <c r="AL971" s="5" t="s">
        <v>3858</v>
      </c>
    </row>
    <row r="972" spans="1:38" x14ac:dyDescent="0.3">
      <c r="A972" s="4">
        <v>45716</v>
      </c>
      <c r="B972" s="5" t="s">
        <v>3441</v>
      </c>
      <c r="C972" s="5" t="s">
        <v>3442</v>
      </c>
      <c r="D972" s="5" t="s">
        <v>3443</v>
      </c>
      <c r="E972" s="5" t="s">
        <v>4494</v>
      </c>
      <c r="G972" s="5" t="s">
        <v>39</v>
      </c>
      <c r="H972" s="5" t="s">
        <v>1770</v>
      </c>
      <c r="I972" s="5" t="s">
        <v>3274</v>
      </c>
      <c r="J972" s="5" t="s">
        <v>1256</v>
      </c>
      <c r="K972" s="4">
        <v>44865</v>
      </c>
      <c r="L972" s="4">
        <v>44865</v>
      </c>
      <c r="M972" s="9">
        <f t="shared" si="135"/>
        <v>2</v>
      </c>
      <c r="N972" s="4" t="str">
        <f t="shared" si="136"/>
        <v xml:space="preserve"> ] 0 ; 2 ]</v>
      </c>
      <c r="O972" s="5" t="s">
        <v>3785</v>
      </c>
      <c r="P972" s="5" t="s">
        <v>3785</v>
      </c>
      <c r="Q972" s="5">
        <v>2</v>
      </c>
      <c r="R972" s="5" t="str">
        <f t="shared" si="140"/>
        <v>Specialisation</v>
      </c>
      <c r="S972" s="5" t="s">
        <v>3789</v>
      </c>
      <c r="T972" s="4">
        <v>34543</v>
      </c>
      <c r="U972" s="5">
        <f t="shared" si="137"/>
        <v>1994</v>
      </c>
      <c r="V972" s="5" t="s">
        <v>3792</v>
      </c>
      <c r="W972" s="9">
        <f t="shared" si="138"/>
        <v>30</v>
      </c>
      <c r="X972" s="5" t="str">
        <f t="shared" si="141"/>
        <v>[30 - 34 ans]</v>
      </c>
      <c r="Y972" s="5" t="str">
        <f t="shared" si="142"/>
        <v xml:space="preserve"> Mellenials </v>
      </c>
      <c r="Z972" s="9">
        <f t="shared" si="139"/>
        <v>30</v>
      </c>
      <c r="AA972" s="5" t="str">
        <f t="shared" si="143"/>
        <v>RAS</v>
      </c>
      <c r="AB972" s="5" t="s">
        <v>3807</v>
      </c>
      <c r="AC972" s="6" t="s">
        <v>3799</v>
      </c>
      <c r="AE972" s="5" t="s">
        <v>3844</v>
      </c>
      <c r="AF972" s="5" t="s">
        <v>4481</v>
      </c>
      <c r="AG972" s="5" t="s">
        <v>4485</v>
      </c>
      <c r="AH972" s="5" t="s">
        <v>4489</v>
      </c>
      <c r="AI972" s="5" t="s">
        <v>4357</v>
      </c>
      <c r="AJ972" s="5" t="s">
        <v>4358</v>
      </c>
      <c r="AK972" s="5" t="s">
        <v>4280</v>
      </c>
      <c r="AL972" s="5" t="s">
        <v>3858</v>
      </c>
    </row>
    <row r="973" spans="1:38" x14ac:dyDescent="0.3">
      <c r="A973" s="4">
        <v>45716</v>
      </c>
      <c r="B973" s="5" t="s">
        <v>3444</v>
      </c>
      <c r="C973" s="5" t="s">
        <v>3445</v>
      </c>
      <c r="D973" s="5" t="s">
        <v>3446</v>
      </c>
      <c r="E973" s="5" t="s">
        <v>4494</v>
      </c>
      <c r="G973" s="5" t="s">
        <v>88</v>
      </c>
      <c r="H973" s="5" t="s">
        <v>3447</v>
      </c>
      <c r="I973" s="5" t="s">
        <v>2739</v>
      </c>
      <c r="J973" s="5" t="s">
        <v>182</v>
      </c>
      <c r="K973" s="4">
        <v>44880</v>
      </c>
      <c r="L973" s="4">
        <v>44880</v>
      </c>
      <c r="M973" s="9">
        <f t="shared" si="135"/>
        <v>2</v>
      </c>
      <c r="N973" s="4" t="str">
        <f t="shared" si="136"/>
        <v xml:space="preserve"> ] 0 ; 2 ]</v>
      </c>
      <c r="O973" s="5" t="s">
        <v>3782</v>
      </c>
      <c r="P973" s="5" t="s">
        <v>3782</v>
      </c>
      <c r="Q973" s="5">
        <v>1</v>
      </c>
      <c r="R973" s="5" t="str">
        <f t="shared" si="140"/>
        <v>Management &amp; Expertise</v>
      </c>
      <c r="S973" s="5" t="s">
        <v>3789</v>
      </c>
      <c r="T973" s="4">
        <v>29984</v>
      </c>
      <c r="U973" s="5">
        <f t="shared" si="137"/>
        <v>1982</v>
      </c>
      <c r="V973" s="5" t="s">
        <v>3793</v>
      </c>
      <c r="W973" s="9">
        <f t="shared" si="138"/>
        <v>43</v>
      </c>
      <c r="X973" s="5" t="str">
        <f t="shared" si="141"/>
        <v>[40 - 44 ans]</v>
      </c>
      <c r="Y973" s="5" t="str">
        <f t="shared" si="142"/>
        <v xml:space="preserve"> Mellenials </v>
      </c>
      <c r="Z973" s="9">
        <f t="shared" si="139"/>
        <v>17</v>
      </c>
      <c r="AA973" s="5" t="str">
        <f t="shared" si="143"/>
        <v>RAS</v>
      </c>
      <c r="AB973" s="5" t="s">
        <v>3806</v>
      </c>
      <c r="AC973" s="6" t="s">
        <v>3799</v>
      </c>
      <c r="AE973" s="5" t="s">
        <v>3844</v>
      </c>
      <c r="AF973" s="5" t="s">
        <v>4481</v>
      </c>
      <c r="AG973" s="5" t="s">
        <v>4485</v>
      </c>
      <c r="AH973" s="5" t="s">
        <v>4488</v>
      </c>
      <c r="AI973" s="5" t="s">
        <v>4416</v>
      </c>
      <c r="AJ973" s="5" t="s">
        <v>4417</v>
      </c>
      <c r="AK973" s="5">
        <v>11100</v>
      </c>
      <c r="AL973" s="5" t="s">
        <v>3858</v>
      </c>
    </row>
    <row r="974" spans="1:38" x14ac:dyDescent="0.3">
      <c r="A974" s="4">
        <v>45716</v>
      </c>
      <c r="B974" s="5" t="s">
        <v>3448</v>
      </c>
      <c r="C974" s="5" t="s">
        <v>3449</v>
      </c>
      <c r="D974" s="5" t="s">
        <v>3450</v>
      </c>
      <c r="E974" s="5" t="s">
        <v>4494</v>
      </c>
      <c r="G974" s="5" t="s">
        <v>178</v>
      </c>
      <c r="H974" s="5" t="s">
        <v>3451</v>
      </c>
      <c r="I974" s="5" t="s">
        <v>201</v>
      </c>
      <c r="J974" s="5" t="s">
        <v>1368</v>
      </c>
      <c r="K974" s="4">
        <v>44900</v>
      </c>
      <c r="L974" s="4">
        <v>44900</v>
      </c>
      <c r="M974" s="9">
        <f t="shared" si="135"/>
        <v>2</v>
      </c>
      <c r="N974" s="4" t="str">
        <f t="shared" si="136"/>
        <v xml:space="preserve"> ] 0 ; 2 ]</v>
      </c>
      <c r="O974" s="5" t="s">
        <v>3785</v>
      </c>
      <c r="P974" s="5" t="s">
        <v>3785</v>
      </c>
      <c r="Q974" s="5">
        <v>1</v>
      </c>
      <c r="R974" s="5" t="str">
        <f t="shared" si="140"/>
        <v>Specialisation</v>
      </c>
      <c r="S974" s="5" t="s">
        <v>3790</v>
      </c>
      <c r="T974" s="4">
        <v>32972</v>
      </c>
      <c r="U974" s="5">
        <f t="shared" si="137"/>
        <v>1990</v>
      </c>
      <c r="V974" s="5" t="s">
        <v>3792</v>
      </c>
      <c r="W974" s="9">
        <f t="shared" si="138"/>
        <v>34</v>
      </c>
      <c r="X974" s="5" t="str">
        <f t="shared" si="141"/>
        <v>[30 - 34 ans]</v>
      </c>
      <c r="Y974" s="5" t="str">
        <f t="shared" si="142"/>
        <v xml:space="preserve"> Mellenials </v>
      </c>
      <c r="Z974" s="9">
        <f t="shared" si="139"/>
        <v>26</v>
      </c>
      <c r="AA974" s="5" t="str">
        <f t="shared" si="143"/>
        <v>RAS</v>
      </c>
      <c r="AB974" s="5" t="s">
        <v>3806</v>
      </c>
      <c r="AC974" s="6" t="s">
        <v>3799</v>
      </c>
      <c r="AE974" s="5" t="s">
        <v>3845</v>
      </c>
      <c r="AF974" s="5" t="s">
        <v>4481</v>
      </c>
      <c r="AG974" s="5" t="s">
        <v>4485</v>
      </c>
      <c r="AH974" s="5" t="s">
        <v>4488</v>
      </c>
      <c r="AI974" s="5" t="s">
        <v>4070</v>
      </c>
      <c r="AJ974" s="5" t="s">
        <v>4071</v>
      </c>
      <c r="AK974" s="5" t="s">
        <v>3962</v>
      </c>
      <c r="AL974" s="5" t="s">
        <v>3854</v>
      </c>
    </row>
    <row r="975" spans="1:38" x14ac:dyDescent="0.3">
      <c r="A975" s="4">
        <v>45716</v>
      </c>
      <c r="B975" s="5" t="s">
        <v>3452</v>
      </c>
      <c r="C975" s="5" t="s">
        <v>3453</v>
      </c>
      <c r="D975" s="5" t="s">
        <v>3454</v>
      </c>
      <c r="E975" s="5" t="s">
        <v>4494</v>
      </c>
      <c r="G975" s="5" t="s">
        <v>39</v>
      </c>
      <c r="H975" s="5" t="s">
        <v>3455</v>
      </c>
      <c r="I975" s="5" t="s">
        <v>278</v>
      </c>
      <c r="J975" s="5" t="s">
        <v>278</v>
      </c>
      <c r="K975" s="4">
        <v>44907</v>
      </c>
      <c r="L975" s="4">
        <v>44907</v>
      </c>
      <c r="M975" s="9">
        <f t="shared" si="135"/>
        <v>2</v>
      </c>
      <c r="N975" s="4" t="str">
        <f t="shared" si="136"/>
        <v xml:space="preserve"> ] 0 ; 2 ]</v>
      </c>
      <c r="O975" s="5" t="s">
        <v>3785</v>
      </c>
      <c r="P975" s="5" t="s">
        <v>3785</v>
      </c>
      <c r="Q975" s="5">
        <v>1</v>
      </c>
      <c r="R975" s="5" t="str">
        <f t="shared" si="140"/>
        <v>Specialisation</v>
      </c>
      <c r="S975" s="5" t="s">
        <v>3789</v>
      </c>
      <c r="T975" s="4">
        <v>35434</v>
      </c>
      <c r="U975" s="5">
        <f t="shared" si="137"/>
        <v>1997</v>
      </c>
      <c r="V975" s="5" t="s">
        <v>3792</v>
      </c>
      <c r="W975" s="9">
        <f t="shared" si="138"/>
        <v>28</v>
      </c>
      <c r="X975" s="5" t="str">
        <f t="shared" si="141"/>
        <v>[20 - 29 ans[</v>
      </c>
      <c r="Y975" s="5" t="str">
        <f t="shared" si="142"/>
        <v xml:space="preserve"> Gen Z </v>
      </c>
      <c r="Z975" s="9">
        <f t="shared" si="139"/>
        <v>32</v>
      </c>
      <c r="AA975" s="5" t="str">
        <f t="shared" si="143"/>
        <v>RAS</v>
      </c>
      <c r="AB975" s="5" t="s">
        <v>3807</v>
      </c>
      <c r="AC975" s="6" t="s">
        <v>3799</v>
      </c>
      <c r="AE975" s="5" t="s">
        <v>3844</v>
      </c>
      <c r="AF975" s="5" t="s">
        <v>4481</v>
      </c>
      <c r="AG975" s="5" t="s">
        <v>4485</v>
      </c>
      <c r="AH975" s="5" t="s">
        <v>4489</v>
      </c>
      <c r="AI975" s="5" t="s">
        <v>4458</v>
      </c>
      <c r="AJ975" s="5" t="s">
        <v>4323</v>
      </c>
      <c r="AK975" s="5" t="s">
        <v>3996</v>
      </c>
      <c r="AL975" s="5" t="s">
        <v>3858</v>
      </c>
    </row>
    <row r="976" spans="1:38" x14ac:dyDescent="0.3">
      <c r="A976" s="4">
        <v>45716</v>
      </c>
      <c r="B976" s="5" t="s">
        <v>3456</v>
      </c>
      <c r="C976" s="5" t="s">
        <v>3457</v>
      </c>
      <c r="D976" s="5" t="s">
        <v>3458</v>
      </c>
      <c r="E976" s="5" t="s">
        <v>4494</v>
      </c>
      <c r="G976" s="5" t="s">
        <v>83</v>
      </c>
      <c r="H976" s="5" t="s">
        <v>3459</v>
      </c>
      <c r="I976" s="5" t="s">
        <v>2844</v>
      </c>
      <c r="J976" s="5" t="s">
        <v>1799</v>
      </c>
      <c r="K976" s="4">
        <v>44907</v>
      </c>
      <c r="L976" s="4">
        <v>44907</v>
      </c>
      <c r="M976" s="9">
        <f t="shared" si="135"/>
        <v>2</v>
      </c>
      <c r="N976" s="4" t="str">
        <f t="shared" si="136"/>
        <v xml:space="preserve"> ] 0 ; 2 ]</v>
      </c>
      <c r="O976" s="5" t="s">
        <v>3785</v>
      </c>
      <c r="P976" s="5" t="s">
        <v>3785</v>
      </c>
      <c r="Q976" s="5">
        <v>1</v>
      </c>
      <c r="R976" s="5" t="str">
        <f t="shared" si="140"/>
        <v>Specialisation</v>
      </c>
      <c r="S976" s="5" t="s">
        <v>3789</v>
      </c>
      <c r="T976" s="4">
        <v>33620</v>
      </c>
      <c r="U976" s="5">
        <f t="shared" si="137"/>
        <v>1992</v>
      </c>
      <c r="V976" s="5" t="s">
        <v>3792</v>
      </c>
      <c r="W976" s="9">
        <f t="shared" si="138"/>
        <v>33</v>
      </c>
      <c r="X976" s="5" t="str">
        <f t="shared" si="141"/>
        <v>[30 - 34 ans]</v>
      </c>
      <c r="Y976" s="5" t="str">
        <f t="shared" si="142"/>
        <v xml:space="preserve"> Mellenials </v>
      </c>
      <c r="Z976" s="9">
        <f t="shared" si="139"/>
        <v>27</v>
      </c>
      <c r="AA976" s="5" t="str">
        <f t="shared" si="143"/>
        <v>RAS</v>
      </c>
      <c r="AB976" s="5" t="s">
        <v>3806</v>
      </c>
      <c r="AC976" s="6" t="s">
        <v>3799</v>
      </c>
      <c r="AE976" s="5" t="s">
        <v>3844</v>
      </c>
      <c r="AF976" s="5" t="s">
        <v>4481</v>
      </c>
      <c r="AG976" s="5" t="s">
        <v>4485</v>
      </c>
      <c r="AH976" s="5" t="s">
        <v>4489</v>
      </c>
      <c r="AI976" s="5" t="s">
        <v>4441</v>
      </c>
      <c r="AJ976" s="5" t="s">
        <v>4442</v>
      </c>
      <c r="AK976" s="5" t="s">
        <v>3993</v>
      </c>
      <c r="AL976" s="5" t="s">
        <v>3858</v>
      </c>
    </row>
    <row r="977" spans="1:38" x14ac:dyDescent="0.3">
      <c r="A977" s="4">
        <v>45716</v>
      </c>
      <c r="B977" s="5" t="s">
        <v>3460</v>
      </c>
      <c r="C977" s="5" t="s">
        <v>3461</v>
      </c>
      <c r="D977" s="5" t="s">
        <v>3778</v>
      </c>
      <c r="E977" s="5" t="s">
        <v>4494</v>
      </c>
      <c r="G977" s="5" t="s">
        <v>178</v>
      </c>
      <c r="H977" s="5" t="s">
        <v>3462</v>
      </c>
      <c r="I977" s="5" t="s">
        <v>1368</v>
      </c>
      <c r="J977" s="5" t="s">
        <v>1857</v>
      </c>
      <c r="K977" s="4">
        <v>44911</v>
      </c>
      <c r="L977" s="4">
        <v>44911</v>
      </c>
      <c r="M977" s="9">
        <f t="shared" si="135"/>
        <v>2</v>
      </c>
      <c r="N977" s="4" t="str">
        <f t="shared" si="136"/>
        <v xml:space="preserve"> ] 0 ; 2 ]</v>
      </c>
      <c r="O977" s="5" t="s">
        <v>3784</v>
      </c>
      <c r="P977" s="5" t="s">
        <v>3784</v>
      </c>
      <c r="Q977" s="5">
        <v>1</v>
      </c>
      <c r="R977" s="5" t="str">
        <f t="shared" si="140"/>
        <v>Management &amp; Expertise</v>
      </c>
      <c r="S977" s="5" t="s">
        <v>3789</v>
      </c>
      <c r="T977" s="4">
        <v>31706</v>
      </c>
      <c r="U977" s="5">
        <f t="shared" si="137"/>
        <v>1986</v>
      </c>
      <c r="V977" s="5" t="s">
        <v>3793</v>
      </c>
      <c r="W977" s="9">
        <f t="shared" si="138"/>
        <v>38</v>
      </c>
      <c r="X977" s="5" t="str">
        <f t="shared" si="141"/>
        <v>[35 - 39 ans ]</v>
      </c>
      <c r="Y977" s="5" t="str">
        <f t="shared" si="142"/>
        <v xml:space="preserve"> Mellenials </v>
      </c>
      <c r="Z977" s="9">
        <f t="shared" si="139"/>
        <v>22</v>
      </c>
      <c r="AA977" s="5" t="str">
        <f t="shared" si="143"/>
        <v>RAS</v>
      </c>
      <c r="AB977" s="5" t="s">
        <v>3806</v>
      </c>
      <c r="AC977" s="6" t="s">
        <v>3799</v>
      </c>
      <c r="AE977" s="5" t="s">
        <v>3845</v>
      </c>
      <c r="AF977" s="5" t="s">
        <v>4481</v>
      </c>
      <c r="AG977" s="5" t="s">
        <v>4485</v>
      </c>
      <c r="AH977" s="5" t="s">
        <v>4488</v>
      </c>
      <c r="AI977" s="5" t="s">
        <v>4378</v>
      </c>
      <c r="AJ977" s="5" t="s">
        <v>4379</v>
      </c>
      <c r="AK977" s="5" t="s">
        <v>4380</v>
      </c>
      <c r="AL977" s="5" t="s">
        <v>3854</v>
      </c>
    </row>
    <row r="978" spans="1:38" x14ac:dyDescent="0.3">
      <c r="A978" s="4">
        <v>45716</v>
      </c>
      <c r="B978" s="5" t="s">
        <v>3463</v>
      </c>
      <c r="C978" s="5" t="s">
        <v>3464</v>
      </c>
      <c r="D978" s="5" t="s">
        <v>3465</v>
      </c>
      <c r="E978" s="5" t="s">
        <v>4494</v>
      </c>
      <c r="G978" s="5" t="s">
        <v>39</v>
      </c>
      <c r="H978" s="5" t="s">
        <v>3455</v>
      </c>
      <c r="I978" s="5" t="s">
        <v>278</v>
      </c>
      <c r="J978" s="5" t="s">
        <v>278</v>
      </c>
      <c r="K978" s="4">
        <v>44914</v>
      </c>
      <c r="L978" s="4">
        <v>44914</v>
      </c>
      <c r="M978" s="9">
        <f t="shared" si="135"/>
        <v>2</v>
      </c>
      <c r="N978" s="4" t="str">
        <f t="shared" si="136"/>
        <v xml:space="preserve"> ] 0 ; 2 ]</v>
      </c>
      <c r="O978" s="5" t="s">
        <v>3785</v>
      </c>
      <c r="P978" s="5" t="s">
        <v>3785</v>
      </c>
      <c r="Q978" s="5">
        <v>1</v>
      </c>
      <c r="R978" s="5" t="str">
        <f t="shared" si="140"/>
        <v>Specialisation</v>
      </c>
      <c r="S978" s="5" t="s">
        <v>3790</v>
      </c>
      <c r="T978" s="4">
        <v>35579</v>
      </c>
      <c r="U978" s="5">
        <f t="shared" si="137"/>
        <v>1997</v>
      </c>
      <c r="V978" s="5" t="s">
        <v>3792</v>
      </c>
      <c r="W978" s="9">
        <f t="shared" si="138"/>
        <v>27</v>
      </c>
      <c r="X978" s="5" t="str">
        <f t="shared" si="141"/>
        <v>[20 - 29 ans[</v>
      </c>
      <c r="Y978" s="5" t="str">
        <f t="shared" si="142"/>
        <v xml:space="preserve"> Gen Z </v>
      </c>
      <c r="Z978" s="9">
        <f t="shared" si="139"/>
        <v>33</v>
      </c>
      <c r="AA978" s="5" t="str">
        <f t="shared" si="143"/>
        <v>RAS</v>
      </c>
      <c r="AB978" s="5" t="s">
        <v>3807</v>
      </c>
      <c r="AC978" s="6" t="s">
        <v>3799</v>
      </c>
      <c r="AE978" s="5" t="s">
        <v>3844</v>
      </c>
      <c r="AF978" s="5" t="s">
        <v>4481</v>
      </c>
      <c r="AG978" s="5" t="s">
        <v>4485</v>
      </c>
      <c r="AH978" s="5" t="s">
        <v>4489</v>
      </c>
      <c r="AI978" s="5" t="s">
        <v>4458</v>
      </c>
      <c r="AJ978" s="5" t="s">
        <v>4323</v>
      </c>
      <c r="AK978" s="5" t="s">
        <v>3996</v>
      </c>
      <c r="AL978" s="5" t="s">
        <v>3858</v>
      </c>
    </row>
    <row r="979" spans="1:38" x14ac:dyDescent="0.3">
      <c r="A979" s="4">
        <v>45716</v>
      </c>
      <c r="B979" s="5" t="s">
        <v>3466</v>
      </c>
      <c r="C979" s="5" t="s">
        <v>3467</v>
      </c>
      <c r="D979" s="5" t="s">
        <v>3468</v>
      </c>
      <c r="E979" s="5" t="s">
        <v>4494</v>
      </c>
      <c r="G979" s="5" t="s">
        <v>83</v>
      </c>
      <c r="H979" s="5" t="s">
        <v>3469</v>
      </c>
      <c r="I979" s="5" t="s">
        <v>82</v>
      </c>
      <c r="J979" s="5" t="s">
        <v>2841</v>
      </c>
      <c r="K979" s="4">
        <v>44928</v>
      </c>
      <c r="L979" s="4">
        <v>44928</v>
      </c>
      <c r="M979" s="9">
        <f t="shared" si="135"/>
        <v>2</v>
      </c>
      <c r="N979" s="4" t="str">
        <f t="shared" si="136"/>
        <v xml:space="preserve"> ] 0 ; 2 ]</v>
      </c>
      <c r="O979" s="5" t="s">
        <v>3785</v>
      </c>
      <c r="P979" s="5" t="s">
        <v>3785</v>
      </c>
      <c r="Q979" s="5">
        <v>1</v>
      </c>
      <c r="R979" s="5" t="str">
        <f t="shared" si="140"/>
        <v>Specialisation</v>
      </c>
      <c r="S979" s="5" t="s">
        <v>3789</v>
      </c>
      <c r="T979" s="4">
        <v>34704</v>
      </c>
      <c r="U979" s="5">
        <f t="shared" si="137"/>
        <v>1995</v>
      </c>
      <c r="V979" s="5" t="s">
        <v>3792</v>
      </c>
      <c r="W979" s="9">
        <f t="shared" si="138"/>
        <v>30</v>
      </c>
      <c r="X979" s="5" t="str">
        <f t="shared" si="141"/>
        <v>[30 - 34 ans]</v>
      </c>
      <c r="Y979" s="5" t="str">
        <f t="shared" si="142"/>
        <v xml:space="preserve"> Mellenials </v>
      </c>
      <c r="Z979" s="9">
        <f t="shared" si="139"/>
        <v>30</v>
      </c>
      <c r="AA979" s="5" t="str">
        <f t="shared" si="143"/>
        <v>RAS</v>
      </c>
      <c r="AB979" s="5" t="s">
        <v>3807</v>
      </c>
      <c r="AC979" s="6" t="s">
        <v>3799</v>
      </c>
      <c r="AE979" s="5" t="s">
        <v>3844</v>
      </c>
      <c r="AF979" s="5" t="s">
        <v>4481</v>
      </c>
      <c r="AG979" s="5" t="s">
        <v>4485</v>
      </c>
      <c r="AH979" s="5" t="s">
        <v>4489</v>
      </c>
      <c r="AI979" s="5" t="s">
        <v>4470</v>
      </c>
      <c r="AJ979" s="5" t="s">
        <v>4471</v>
      </c>
      <c r="AK979" s="5" t="s">
        <v>4472</v>
      </c>
      <c r="AL979" s="5" t="s">
        <v>3858</v>
      </c>
    </row>
    <row r="980" spans="1:38" x14ac:dyDescent="0.3">
      <c r="A980" s="4">
        <v>45716</v>
      </c>
      <c r="B980" s="5" t="s">
        <v>3470</v>
      </c>
      <c r="C980" s="5" t="s">
        <v>3471</v>
      </c>
      <c r="D980" s="5" t="s">
        <v>3472</v>
      </c>
      <c r="E980" s="5" t="s">
        <v>4494</v>
      </c>
      <c r="G980" s="5" t="s">
        <v>29</v>
      </c>
      <c r="H980" s="5" t="s">
        <v>3473</v>
      </c>
      <c r="I980" s="5" t="s">
        <v>2618</v>
      </c>
      <c r="J980" s="5" t="s">
        <v>157</v>
      </c>
      <c r="K980" s="4">
        <v>44928</v>
      </c>
      <c r="L980" s="4">
        <v>44928</v>
      </c>
      <c r="M980" s="9">
        <f t="shared" si="135"/>
        <v>2</v>
      </c>
      <c r="N980" s="4" t="str">
        <f t="shared" si="136"/>
        <v xml:space="preserve"> ] 0 ; 2 ]</v>
      </c>
      <c r="O980" s="5" t="s">
        <v>3786</v>
      </c>
      <c r="P980" s="5" t="s">
        <v>3786</v>
      </c>
      <c r="Q980" s="5">
        <v>1</v>
      </c>
      <c r="R980" s="5" t="str">
        <f t="shared" si="140"/>
        <v>Specialisation</v>
      </c>
      <c r="S980" s="5" t="s">
        <v>3789</v>
      </c>
      <c r="T980" s="4">
        <v>34701</v>
      </c>
      <c r="U980" s="5">
        <f t="shared" si="137"/>
        <v>1995</v>
      </c>
      <c r="V980" s="5" t="s">
        <v>3792</v>
      </c>
      <c r="W980" s="9">
        <f t="shared" si="138"/>
        <v>30</v>
      </c>
      <c r="X980" s="5" t="str">
        <f t="shared" si="141"/>
        <v>[30 - 34 ans]</v>
      </c>
      <c r="Y980" s="5" t="str">
        <f t="shared" si="142"/>
        <v xml:space="preserve"> Mellenials </v>
      </c>
      <c r="Z980" s="9">
        <f t="shared" si="139"/>
        <v>30</v>
      </c>
      <c r="AA980" s="5" t="str">
        <f t="shared" si="143"/>
        <v>RAS</v>
      </c>
      <c r="AB980" s="5" t="s">
        <v>3806</v>
      </c>
      <c r="AC980" s="6" t="s">
        <v>3799</v>
      </c>
      <c r="AE980" s="5" t="s">
        <v>3844</v>
      </c>
      <c r="AF980" s="5" t="s">
        <v>4482</v>
      </c>
      <c r="AG980" s="5" t="s">
        <v>4485</v>
      </c>
      <c r="AH980" s="5" t="s">
        <v>4487</v>
      </c>
      <c r="AI980" s="5" t="s">
        <v>4342</v>
      </c>
      <c r="AJ980" s="5" t="s">
        <v>4343</v>
      </c>
      <c r="AK980" s="5" t="s">
        <v>4344</v>
      </c>
      <c r="AL980" s="5" t="s">
        <v>3858</v>
      </c>
    </row>
    <row r="981" spans="1:38" x14ac:dyDescent="0.3">
      <c r="A981" s="4">
        <v>45716</v>
      </c>
      <c r="B981" s="5" t="s">
        <v>3474</v>
      </c>
      <c r="C981" s="5" t="s">
        <v>3475</v>
      </c>
      <c r="D981" s="5" t="s">
        <v>3476</v>
      </c>
      <c r="E981" s="5" t="s">
        <v>4494</v>
      </c>
      <c r="G981" s="5" t="s">
        <v>178</v>
      </c>
      <c r="H981" s="5" t="s">
        <v>2237</v>
      </c>
      <c r="I981" s="5" t="s">
        <v>3062</v>
      </c>
      <c r="J981" s="5" t="s">
        <v>201</v>
      </c>
      <c r="K981" s="4">
        <v>44928</v>
      </c>
      <c r="L981" s="4">
        <v>44928</v>
      </c>
      <c r="M981" s="9">
        <f t="shared" si="135"/>
        <v>2</v>
      </c>
      <c r="N981" s="4" t="str">
        <f t="shared" si="136"/>
        <v xml:space="preserve"> ] 0 ; 2 ]</v>
      </c>
      <c r="O981" s="5" t="s">
        <v>3782</v>
      </c>
      <c r="P981" s="5" t="s">
        <v>3783</v>
      </c>
      <c r="Q981" s="5">
        <v>1</v>
      </c>
      <c r="R981" s="5" t="str">
        <f t="shared" si="140"/>
        <v>Management &amp; Expertise</v>
      </c>
      <c r="S981" s="5" t="s">
        <v>3790</v>
      </c>
      <c r="T981" s="4">
        <v>31805</v>
      </c>
      <c r="U981" s="5">
        <f t="shared" si="137"/>
        <v>1987</v>
      </c>
      <c r="V981" s="5" t="s">
        <v>3792</v>
      </c>
      <c r="W981" s="9">
        <f t="shared" si="138"/>
        <v>38</v>
      </c>
      <c r="X981" s="5" t="str">
        <f t="shared" si="141"/>
        <v>[35 - 39 ans ]</v>
      </c>
      <c r="Y981" s="5" t="str">
        <f t="shared" si="142"/>
        <v xml:space="preserve"> Mellenials </v>
      </c>
      <c r="Z981" s="9">
        <f t="shared" si="139"/>
        <v>22</v>
      </c>
      <c r="AA981" s="5" t="str">
        <f t="shared" si="143"/>
        <v>RAS</v>
      </c>
      <c r="AB981" s="5" t="s">
        <v>3806</v>
      </c>
      <c r="AC981" s="6" t="s">
        <v>3799</v>
      </c>
      <c r="AE981" s="5" t="s">
        <v>3844</v>
      </c>
      <c r="AF981" s="5" t="s">
        <v>4481</v>
      </c>
      <c r="AG981" s="5" t="s">
        <v>4485</v>
      </c>
      <c r="AH981" s="5" t="s">
        <v>4488</v>
      </c>
      <c r="AI981" s="5" t="s">
        <v>4135</v>
      </c>
      <c r="AJ981" s="5" t="s">
        <v>4136</v>
      </c>
      <c r="AK981" s="5" t="s">
        <v>3962</v>
      </c>
      <c r="AL981" s="5" t="s">
        <v>3858</v>
      </c>
    </row>
    <row r="982" spans="1:38" x14ac:dyDescent="0.3">
      <c r="A982" s="4">
        <v>45716</v>
      </c>
      <c r="B982" s="5" t="s">
        <v>3477</v>
      </c>
      <c r="C982" s="5" t="s">
        <v>3478</v>
      </c>
      <c r="D982" s="5" t="s">
        <v>3479</v>
      </c>
      <c r="E982" s="5" t="s">
        <v>4494</v>
      </c>
      <c r="G982" s="5" t="s">
        <v>222</v>
      </c>
      <c r="H982" s="5" t="s">
        <v>3480</v>
      </c>
      <c r="I982" s="5" t="s">
        <v>1287</v>
      </c>
      <c r="J982" s="5" t="s">
        <v>2086</v>
      </c>
      <c r="K982" s="4">
        <v>44928</v>
      </c>
      <c r="L982" s="4">
        <v>44928</v>
      </c>
      <c r="M982" s="9">
        <f t="shared" si="135"/>
        <v>2</v>
      </c>
      <c r="N982" s="4" t="str">
        <f t="shared" si="136"/>
        <v xml:space="preserve"> ] 0 ; 2 ]</v>
      </c>
      <c r="O982" s="5" t="s">
        <v>3785</v>
      </c>
      <c r="P982" s="5" t="s">
        <v>3785</v>
      </c>
      <c r="Q982" s="5">
        <v>1</v>
      </c>
      <c r="R982" s="5" t="str">
        <f t="shared" si="140"/>
        <v>Specialisation</v>
      </c>
      <c r="S982" s="5" t="s">
        <v>3789</v>
      </c>
      <c r="T982" s="4">
        <v>34870</v>
      </c>
      <c r="U982" s="5">
        <f t="shared" si="137"/>
        <v>1995</v>
      </c>
      <c r="V982" s="5" t="s">
        <v>3792</v>
      </c>
      <c r="W982" s="9">
        <f t="shared" si="138"/>
        <v>29</v>
      </c>
      <c r="X982" s="5" t="str">
        <f t="shared" si="141"/>
        <v>[20 - 29 ans[</v>
      </c>
      <c r="Y982" s="5" t="str">
        <f t="shared" si="142"/>
        <v xml:space="preserve"> Mellenials </v>
      </c>
      <c r="Z982" s="9">
        <f t="shared" si="139"/>
        <v>31</v>
      </c>
      <c r="AA982" s="5" t="str">
        <f t="shared" si="143"/>
        <v>RAS</v>
      </c>
      <c r="AB982" s="5" t="s">
        <v>3837</v>
      </c>
      <c r="AC982" s="6" t="s">
        <v>3799</v>
      </c>
      <c r="AE982" s="5" t="s">
        <v>3844</v>
      </c>
      <c r="AF982" s="5" t="s">
        <v>4481</v>
      </c>
      <c r="AG982" s="5" t="s">
        <v>4485</v>
      </c>
      <c r="AH982" s="5" t="s">
        <v>4487</v>
      </c>
      <c r="AI982" s="5" t="s">
        <v>4088</v>
      </c>
      <c r="AJ982" s="5" t="s">
        <v>4089</v>
      </c>
      <c r="AK982" s="5" t="s">
        <v>4239</v>
      </c>
      <c r="AL982" s="5" t="s">
        <v>3858</v>
      </c>
    </row>
    <row r="983" spans="1:38" x14ac:dyDescent="0.3">
      <c r="A983" s="4">
        <v>45716</v>
      </c>
      <c r="B983" s="5" t="s">
        <v>3481</v>
      </c>
      <c r="C983" s="5" t="s">
        <v>3482</v>
      </c>
      <c r="D983" s="5" t="s">
        <v>3483</v>
      </c>
      <c r="E983" s="5" t="s">
        <v>4494</v>
      </c>
      <c r="G983" s="5" t="s">
        <v>83</v>
      </c>
      <c r="H983" s="5" t="s">
        <v>4509</v>
      </c>
      <c r="I983" s="5" t="s">
        <v>82</v>
      </c>
      <c r="J983" s="5" t="s">
        <v>2841</v>
      </c>
      <c r="K983" s="4">
        <v>44935</v>
      </c>
      <c r="L983" s="4">
        <v>44935</v>
      </c>
      <c r="M983" s="9">
        <f t="shared" si="135"/>
        <v>2</v>
      </c>
      <c r="N983" s="4" t="str">
        <f t="shared" si="136"/>
        <v xml:space="preserve"> ] 0 ; 2 ]</v>
      </c>
      <c r="O983" s="5" t="s">
        <v>3782</v>
      </c>
      <c r="P983" s="5" t="s">
        <v>3782</v>
      </c>
      <c r="Q983" s="5">
        <v>1</v>
      </c>
      <c r="R983" s="5" t="str">
        <f t="shared" si="140"/>
        <v>Management &amp; Expertise</v>
      </c>
      <c r="S983" s="5" t="s">
        <v>3790</v>
      </c>
      <c r="T983" s="4">
        <v>33139</v>
      </c>
      <c r="U983" s="5">
        <f t="shared" si="137"/>
        <v>1990</v>
      </c>
      <c r="V983" s="5" t="s">
        <v>3792</v>
      </c>
      <c r="W983" s="9">
        <f t="shared" si="138"/>
        <v>34</v>
      </c>
      <c r="X983" s="5" t="str">
        <f t="shared" si="141"/>
        <v>[30 - 34 ans]</v>
      </c>
      <c r="Y983" s="5" t="str">
        <f t="shared" si="142"/>
        <v xml:space="preserve"> Mellenials </v>
      </c>
      <c r="Z983" s="9">
        <f t="shared" si="139"/>
        <v>26</v>
      </c>
      <c r="AA983" s="5" t="str">
        <f t="shared" si="143"/>
        <v>RAS</v>
      </c>
      <c r="AB983" s="5" t="s">
        <v>3807</v>
      </c>
      <c r="AC983" s="6" t="s">
        <v>3799</v>
      </c>
      <c r="AE983" s="5" t="s">
        <v>3845</v>
      </c>
      <c r="AF983" s="5" t="s">
        <v>4481</v>
      </c>
      <c r="AG983" s="5" t="s">
        <v>4485</v>
      </c>
      <c r="AH983" s="5" t="s">
        <v>4489</v>
      </c>
      <c r="AI983" s="5" t="s">
        <v>4470</v>
      </c>
      <c r="AJ983" s="5" t="s">
        <v>4471</v>
      </c>
      <c r="AK983" s="5" t="s">
        <v>4472</v>
      </c>
      <c r="AL983" s="5" t="s">
        <v>3854</v>
      </c>
    </row>
    <row r="984" spans="1:38" x14ac:dyDescent="0.3">
      <c r="A984" s="4">
        <v>45716</v>
      </c>
      <c r="B984" s="5" t="s">
        <v>3484</v>
      </c>
      <c r="C984" s="5" t="s">
        <v>3485</v>
      </c>
      <c r="D984" s="5" t="s">
        <v>3486</v>
      </c>
      <c r="E984" s="5" t="s">
        <v>4494</v>
      </c>
      <c r="G984" s="5" t="s">
        <v>83</v>
      </c>
      <c r="H984" s="5" t="s">
        <v>3487</v>
      </c>
      <c r="I984" s="5" t="s">
        <v>3278</v>
      </c>
      <c r="J984" s="5" t="s">
        <v>1222</v>
      </c>
      <c r="K984" s="4">
        <v>44935</v>
      </c>
      <c r="L984" s="4">
        <v>44935</v>
      </c>
      <c r="M984" s="9">
        <f t="shared" si="135"/>
        <v>2</v>
      </c>
      <c r="N984" s="4" t="str">
        <f t="shared" si="136"/>
        <v xml:space="preserve"> ] 0 ; 2 ]</v>
      </c>
      <c r="O984" s="5" t="s">
        <v>3785</v>
      </c>
      <c r="P984" s="5" t="s">
        <v>3785</v>
      </c>
      <c r="Q984" s="5">
        <v>1</v>
      </c>
      <c r="R984" s="5" t="str">
        <f t="shared" si="140"/>
        <v>Specialisation</v>
      </c>
      <c r="S984" s="5" t="s">
        <v>3789</v>
      </c>
      <c r="T984" s="4">
        <v>26704</v>
      </c>
      <c r="U984" s="5">
        <f t="shared" si="137"/>
        <v>1973</v>
      </c>
      <c r="V984" s="5" t="s">
        <v>3793</v>
      </c>
      <c r="W984" s="9">
        <f t="shared" si="138"/>
        <v>52</v>
      </c>
      <c r="X984" s="5" t="str">
        <f t="shared" si="141"/>
        <v>[50 ans, +oo [</v>
      </c>
      <c r="Y984" s="5" t="str">
        <f t="shared" si="142"/>
        <v xml:space="preserve"> Generation X </v>
      </c>
      <c r="Z984" s="9">
        <f t="shared" si="139"/>
        <v>8</v>
      </c>
      <c r="AA984" s="5" t="str">
        <f t="shared" si="143"/>
        <v>RAS</v>
      </c>
      <c r="AB984" s="5" t="s">
        <v>3807</v>
      </c>
      <c r="AC984" s="6" t="s">
        <v>3799</v>
      </c>
      <c r="AE984" s="5" t="s">
        <v>3844</v>
      </c>
      <c r="AF984" s="5" t="s">
        <v>4481</v>
      </c>
      <c r="AG984" s="5" t="s">
        <v>4485</v>
      </c>
      <c r="AH984" s="5" t="s">
        <v>4489</v>
      </c>
      <c r="AI984" s="5" t="s">
        <v>4137</v>
      </c>
      <c r="AJ984" s="5" t="s">
        <v>4418</v>
      </c>
      <c r="AK984" s="5" t="s">
        <v>3903</v>
      </c>
      <c r="AL984" s="5" t="s">
        <v>3858</v>
      </c>
    </row>
    <row r="985" spans="1:38" x14ac:dyDescent="0.3">
      <c r="A985" s="4">
        <v>45716</v>
      </c>
      <c r="B985" s="5" t="s">
        <v>3488</v>
      </c>
      <c r="C985" s="5" t="s">
        <v>3489</v>
      </c>
      <c r="D985" s="5" t="s">
        <v>3490</v>
      </c>
      <c r="E985" s="5" t="s">
        <v>4494</v>
      </c>
      <c r="G985" s="5" t="s">
        <v>39</v>
      </c>
      <c r="H985" s="5" t="s">
        <v>362</v>
      </c>
      <c r="I985" s="5" t="s">
        <v>2944</v>
      </c>
      <c r="J985" s="5" t="s">
        <v>397</v>
      </c>
      <c r="K985" s="4">
        <v>44941</v>
      </c>
      <c r="L985" s="4">
        <v>44941</v>
      </c>
      <c r="M985" s="9">
        <f t="shared" si="135"/>
        <v>2</v>
      </c>
      <c r="N985" s="4" t="str">
        <f t="shared" si="136"/>
        <v xml:space="preserve"> ] 0 ; 2 ]</v>
      </c>
      <c r="O985" s="5" t="s">
        <v>3786</v>
      </c>
      <c r="P985" s="5" t="s">
        <v>3786</v>
      </c>
      <c r="Q985" s="5">
        <v>2</v>
      </c>
      <c r="R985" s="5" t="str">
        <f t="shared" si="140"/>
        <v>Specialisation</v>
      </c>
      <c r="S985" s="5" t="s">
        <v>3789</v>
      </c>
      <c r="T985" s="4">
        <v>32445</v>
      </c>
      <c r="U985" s="5">
        <f t="shared" si="137"/>
        <v>1988</v>
      </c>
      <c r="V985" s="5" t="s">
        <v>3793</v>
      </c>
      <c r="W985" s="9">
        <f t="shared" si="138"/>
        <v>36</v>
      </c>
      <c r="X985" s="5" t="str">
        <f t="shared" si="141"/>
        <v>[35 - 39 ans ]</v>
      </c>
      <c r="Y985" s="5" t="str">
        <f t="shared" si="142"/>
        <v xml:space="preserve"> Mellenials </v>
      </c>
      <c r="Z985" s="9">
        <f t="shared" si="139"/>
        <v>24</v>
      </c>
      <c r="AA985" s="5" t="str">
        <f t="shared" si="143"/>
        <v>RAS</v>
      </c>
      <c r="AB985" s="5" t="s">
        <v>3807</v>
      </c>
      <c r="AC985" s="6" t="s">
        <v>3799</v>
      </c>
      <c r="AE985" s="5" t="s">
        <v>3844</v>
      </c>
      <c r="AF985" s="5" t="s">
        <v>4482</v>
      </c>
      <c r="AG985" s="5" t="s">
        <v>4485</v>
      </c>
      <c r="AH985" s="5" t="s">
        <v>4489</v>
      </c>
      <c r="AI985" s="5" t="s">
        <v>4028</v>
      </c>
      <c r="AJ985" s="5" t="s">
        <v>4029</v>
      </c>
      <c r="AK985" s="5" t="s">
        <v>4030</v>
      </c>
      <c r="AL985" s="5" t="s">
        <v>3858</v>
      </c>
    </row>
    <row r="986" spans="1:38" x14ac:dyDescent="0.3">
      <c r="A986" s="4">
        <v>45716</v>
      </c>
      <c r="B986" s="5" t="s">
        <v>3491</v>
      </c>
      <c r="C986" s="5" t="s">
        <v>3492</v>
      </c>
      <c r="D986" s="5" t="s">
        <v>3493</v>
      </c>
      <c r="E986" s="5" t="s">
        <v>4494</v>
      </c>
      <c r="G986" s="5" t="s">
        <v>787</v>
      </c>
      <c r="H986" s="5" t="s">
        <v>3494</v>
      </c>
      <c r="I986" s="5" t="s">
        <v>2936</v>
      </c>
      <c r="J986" s="5" t="s">
        <v>3773</v>
      </c>
      <c r="K986" s="4">
        <v>44958</v>
      </c>
      <c r="L986" s="4">
        <v>44958</v>
      </c>
      <c r="M986" s="9">
        <f t="shared" si="135"/>
        <v>2</v>
      </c>
      <c r="N986" s="4" t="str">
        <f t="shared" si="136"/>
        <v xml:space="preserve"> ] 0 ; 2 ]</v>
      </c>
      <c r="O986" s="5" t="s">
        <v>3785</v>
      </c>
      <c r="P986" s="5" t="s">
        <v>3785</v>
      </c>
      <c r="Q986" s="5">
        <v>2</v>
      </c>
      <c r="R986" s="5" t="str">
        <f t="shared" si="140"/>
        <v>Specialisation</v>
      </c>
      <c r="S986" s="5" t="s">
        <v>3789</v>
      </c>
      <c r="T986" s="4">
        <v>31529</v>
      </c>
      <c r="U986" s="5">
        <f t="shared" si="137"/>
        <v>1986</v>
      </c>
      <c r="V986" s="5" t="s">
        <v>3793</v>
      </c>
      <c r="W986" s="9">
        <f t="shared" si="138"/>
        <v>38</v>
      </c>
      <c r="X986" s="5" t="str">
        <f t="shared" si="141"/>
        <v>[35 - 39 ans ]</v>
      </c>
      <c r="Y986" s="5" t="str">
        <f t="shared" si="142"/>
        <v xml:space="preserve"> Mellenials </v>
      </c>
      <c r="Z986" s="9">
        <f t="shared" si="139"/>
        <v>22</v>
      </c>
      <c r="AA986" s="5" t="str">
        <f t="shared" si="143"/>
        <v>RAS</v>
      </c>
      <c r="AB986" s="5" t="s">
        <v>3806</v>
      </c>
      <c r="AC986" s="6" t="s">
        <v>3799</v>
      </c>
      <c r="AE986" s="5" t="s">
        <v>3844</v>
      </c>
      <c r="AF986" s="5" t="s">
        <v>4481</v>
      </c>
      <c r="AG986" s="5" t="s">
        <v>4485</v>
      </c>
      <c r="AH986" s="5" t="s">
        <v>4487</v>
      </c>
      <c r="AI986" s="5" t="s">
        <v>4439</v>
      </c>
      <c r="AJ986" s="5" t="s">
        <v>4440</v>
      </c>
      <c r="AK986" s="5" t="s">
        <v>4195</v>
      </c>
      <c r="AL986" s="5" t="s">
        <v>3858</v>
      </c>
    </row>
    <row r="987" spans="1:38" x14ac:dyDescent="0.3">
      <c r="A987" s="4">
        <v>45716</v>
      </c>
      <c r="B987" s="5" t="s">
        <v>3495</v>
      </c>
      <c r="C987" s="5" t="s">
        <v>3496</v>
      </c>
      <c r="D987" s="5" t="s">
        <v>3497</v>
      </c>
      <c r="E987" s="5" t="s">
        <v>4494</v>
      </c>
      <c r="G987" s="5" t="s">
        <v>39</v>
      </c>
      <c r="H987" s="5" t="s">
        <v>3416</v>
      </c>
      <c r="I987" s="5" t="s">
        <v>3262</v>
      </c>
      <c r="J987" s="5" t="s">
        <v>149</v>
      </c>
      <c r="K987" s="4">
        <v>44958</v>
      </c>
      <c r="L987" s="4">
        <v>44958</v>
      </c>
      <c r="M987" s="9">
        <f t="shared" si="135"/>
        <v>2</v>
      </c>
      <c r="N987" s="4" t="str">
        <f t="shared" si="136"/>
        <v xml:space="preserve"> ] 0 ; 2 ]</v>
      </c>
      <c r="O987" s="5" t="s">
        <v>3785</v>
      </c>
      <c r="P987" s="5" t="s">
        <v>3785</v>
      </c>
      <c r="Q987" s="5">
        <v>1</v>
      </c>
      <c r="R987" s="5" t="str">
        <f t="shared" si="140"/>
        <v>Specialisation</v>
      </c>
      <c r="S987" s="5" t="s">
        <v>3790</v>
      </c>
      <c r="T987" s="4">
        <v>32287</v>
      </c>
      <c r="U987" s="5">
        <f t="shared" si="137"/>
        <v>1988</v>
      </c>
      <c r="V987" s="5" t="s">
        <v>3793</v>
      </c>
      <c r="W987" s="9">
        <f t="shared" si="138"/>
        <v>36</v>
      </c>
      <c r="X987" s="5" t="str">
        <f t="shared" si="141"/>
        <v>[35 - 39 ans ]</v>
      </c>
      <c r="Y987" s="5" t="str">
        <f t="shared" si="142"/>
        <v xml:space="preserve"> Mellenials </v>
      </c>
      <c r="Z987" s="9">
        <f t="shared" si="139"/>
        <v>24</v>
      </c>
      <c r="AA987" s="5" t="str">
        <f t="shared" si="143"/>
        <v>RAS</v>
      </c>
      <c r="AB987" s="5" t="s">
        <v>3807</v>
      </c>
      <c r="AC987" s="6" t="s">
        <v>3799</v>
      </c>
      <c r="AE987" s="5" t="s">
        <v>3844</v>
      </c>
      <c r="AF987" s="5" t="s">
        <v>4481</v>
      </c>
      <c r="AG987" s="5" t="s">
        <v>4485</v>
      </c>
      <c r="AH987" s="5" t="s">
        <v>4489</v>
      </c>
      <c r="AI987" s="5" t="s">
        <v>3871</v>
      </c>
      <c r="AJ987" s="5" t="s">
        <v>3872</v>
      </c>
      <c r="AK987" s="5" t="s">
        <v>3873</v>
      </c>
      <c r="AL987" s="5" t="s">
        <v>3858</v>
      </c>
    </row>
    <row r="988" spans="1:38" x14ac:dyDescent="0.3">
      <c r="A988" s="4">
        <v>45716</v>
      </c>
      <c r="B988" s="5" t="s">
        <v>3498</v>
      </c>
      <c r="C988" s="5" t="s">
        <v>3499</v>
      </c>
      <c r="D988" s="5" t="s">
        <v>3500</v>
      </c>
      <c r="E988" s="5" t="s">
        <v>4494</v>
      </c>
      <c r="G988" s="5" t="s">
        <v>83</v>
      </c>
      <c r="H988" s="5" t="s">
        <v>3259</v>
      </c>
      <c r="I988" s="5" t="s">
        <v>2844</v>
      </c>
      <c r="J988" s="5" t="s">
        <v>1799</v>
      </c>
      <c r="K988" s="4">
        <v>44963</v>
      </c>
      <c r="L988" s="4">
        <v>44963</v>
      </c>
      <c r="M988" s="9">
        <f t="shared" si="135"/>
        <v>2</v>
      </c>
      <c r="N988" s="4" t="str">
        <f t="shared" si="136"/>
        <v xml:space="preserve"> ] 0 ; 2 ]</v>
      </c>
      <c r="O988" s="5" t="s">
        <v>3785</v>
      </c>
      <c r="P988" s="5" t="s">
        <v>3785</v>
      </c>
      <c r="Q988" s="5">
        <v>1</v>
      </c>
      <c r="R988" s="5" t="str">
        <f t="shared" si="140"/>
        <v>Specialisation</v>
      </c>
      <c r="S988" s="5" t="s">
        <v>3790</v>
      </c>
      <c r="T988" s="4">
        <v>34561</v>
      </c>
      <c r="U988" s="5">
        <f t="shared" si="137"/>
        <v>1994</v>
      </c>
      <c r="V988" s="5" t="s">
        <v>3792</v>
      </c>
      <c r="W988" s="9">
        <f t="shared" si="138"/>
        <v>30</v>
      </c>
      <c r="X988" s="5" t="str">
        <f t="shared" si="141"/>
        <v>[30 - 34 ans]</v>
      </c>
      <c r="Y988" s="5" t="str">
        <f t="shared" si="142"/>
        <v xml:space="preserve"> Mellenials </v>
      </c>
      <c r="Z988" s="9">
        <f t="shared" si="139"/>
        <v>30</v>
      </c>
      <c r="AA988" s="5" t="str">
        <f t="shared" si="143"/>
        <v>RAS</v>
      </c>
      <c r="AB988" s="5" t="s">
        <v>3806</v>
      </c>
      <c r="AC988" s="6" t="s">
        <v>3799</v>
      </c>
      <c r="AE988" s="5" t="s">
        <v>3844</v>
      </c>
      <c r="AF988" s="5" t="s">
        <v>4481</v>
      </c>
      <c r="AG988" s="5" t="s">
        <v>4485</v>
      </c>
      <c r="AH988" s="5" t="s">
        <v>4489</v>
      </c>
      <c r="AI988" s="5" t="s">
        <v>4441</v>
      </c>
      <c r="AJ988" s="5" t="s">
        <v>4442</v>
      </c>
      <c r="AK988" s="5" t="s">
        <v>3993</v>
      </c>
      <c r="AL988" s="5" t="s">
        <v>3858</v>
      </c>
    </row>
    <row r="989" spans="1:38" x14ac:dyDescent="0.3">
      <c r="A989" s="4">
        <v>45716</v>
      </c>
      <c r="B989" s="5" t="s">
        <v>3501</v>
      </c>
      <c r="C989" s="5" t="s">
        <v>3502</v>
      </c>
      <c r="D989" s="5" t="s">
        <v>3503</v>
      </c>
      <c r="E989" s="5" t="s">
        <v>4494</v>
      </c>
      <c r="G989" s="5" t="s">
        <v>39</v>
      </c>
      <c r="H989" s="5" t="s">
        <v>3504</v>
      </c>
      <c r="I989" s="5" t="s">
        <v>2991</v>
      </c>
      <c r="J989" s="5" t="s">
        <v>278</v>
      </c>
      <c r="K989" s="4">
        <v>44972</v>
      </c>
      <c r="L989" s="4">
        <v>44972</v>
      </c>
      <c r="M989" s="9">
        <f t="shared" si="135"/>
        <v>2</v>
      </c>
      <c r="N989" s="4" t="str">
        <f t="shared" si="136"/>
        <v xml:space="preserve"> ] 0 ; 2 ]</v>
      </c>
      <c r="O989" s="5" t="s">
        <v>3785</v>
      </c>
      <c r="P989" s="5" t="s">
        <v>3785</v>
      </c>
      <c r="Q989" s="5">
        <v>1</v>
      </c>
      <c r="R989" s="5" t="str">
        <f t="shared" si="140"/>
        <v>Specialisation</v>
      </c>
      <c r="S989" s="5" t="s">
        <v>3790</v>
      </c>
      <c r="T989" s="4">
        <v>36102</v>
      </c>
      <c r="U989" s="5">
        <f t="shared" si="137"/>
        <v>1998</v>
      </c>
      <c r="V989" s="5" t="s">
        <v>3792</v>
      </c>
      <c r="W989" s="9">
        <f t="shared" si="138"/>
        <v>26</v>
      </c>
      <c r="X989" s="5" t="str">
        <f t="shared" si="141"/>
        <v>[20 - 29 ans[</v>
      </c>
      <c r="Y989" s="5" t="str">
        <f t="shared" si="142"/>
        <v xml:space="preserve"> Gen Z </v>
      </c>
      <c r="Z989" s="9">
        <f t="shared" si="139"/>
        <v>34</v>
      </c>
      <c r="AA989" s="5" t="str">
        <f t="shared" si="143"/>
        <v>RAS</v>
      </c>
      <c r="AB989" s="5" t="s">
        <v>3807</v>
      </c>
      <c r="AC989" s="6" t="s">
        <v>3799</v>
      </c>
      <c r="AE989" s="5" t="s">
        <v>3844</v>
      </c>
      <c r="AF989" s="5" t="s">
        <v>4481</v>
      </c>
      <c r="AG989" s="5" t="s">
        <v>4485</v>
      </c>
      <c r="AH989" s="5" t="s">
        <v>4489</v>
      </c>
      <c r="AI989" s="5" t="s">
        <v>4407</v>
      </c>
      <c r="AJ989" s="5" t="s">
        <v>4408</v>
      </c>
      <c r="AK989" s="5" t="s">
        <v>4409</v>
      </c>
      <c r="AL989" s="5" t="s">
        <v>3858</v>
      </c>
    </row>
    <row r="990" spans="1:38" x14ac:dyDescent="0.3">
      <c r="A990" s="4">
        <v>45716</v>
      </c>
      <c r="B990" s="5" t="s">
        <v>3505</v>
      </c>
      <c r="C990" s="5" t="s">
        <v>3506</v>
      </c>
      <c r="D990" s="5" t="s">
        <v>3507</v>
      </c>
      <c r="E990" s="5" t="s">
        <v>4494</v>
      </c>
      <c r="G990" s="5" t="s">
        <v>178</v>
      </c>
      <c r="H990" s="5" t="s">
        <v>3508</v>
      </c>
      <c r="I990" s="5" t="s">
        <v>3062</v>
      </c>
      <c r="J990" s="5" t="s">
        <v>201</v>
      </c>
      <c r="K990" s="4">
        <v>44977</v>
      </c>
      <c r="L990" s="4">
        <v>44977</v>
      </c>
      <c r="M990" s="9">
        <f t="shared" si="135"/>
        <v>2</v>
      </c>
      <c r="N990" s="4" t="str">
        <f t="shared" si="136"/>
        <v xml:space="preserve"> ] 0 ; 2 ]</v>
      </c>
      <c r="O990" s="5" t="s">
        <v>3783</v>
      </c>
      <c r="P990" s="5" t="s">
        <v>3783</v>
      </c>
      <c r="Q990" s="5">
        <v>1</v>
      </c>
      <c r="R990" s="5" t="str">
        <f t="shared" si="140"/>
        <v>Specialisation</v>
      </c>
      <c r="S990" s="5" t="s">
        <v>3790</v>
      </c>
      <c r="T990" s="4">
        <v>34982</v>
      </c>
      <c r="U990" s="5">
        <f t="shared" si="137"/>
        <v>1995</v>
      </c>
      <c r="V990" s="5" t="s">
        <v>3793</v>
      </c>
      <c r="W990" s="9">
        <f t="shared" si="138"/>
        <v>29</v>
      </c>
      <c r="X990" s="5" t="str">
        <f t="shared" si="141"/>
        <v>[20 - 29 ans[</v>
      </c>
      <c r="Y990" s="5" t="str">
        <f t="shared" si="142"/>
        <v xml:space="preserve"> Mellenials </v>
      </c>
      <c r="Z990" s="9">
        <f t="shared" si="139"/>
        <v>31</v>
      </c>
      <c r="AA990" s="5" t="str">
        <f t="shared" si="143"/>
        <v>RAS</v>
      </c>
      <c r="AB990" s="5" t="s">
        <v>3806</v>
      </c>
      <c r="AC990" s="6" t="s">
        <v>3799</v>
      </c>
      <c r="AE990" s="5" t="s">
        <v>3844</v>
      </c>
      <c r="AF990" s="5" t="s">
        <v>4482</v>
      </c>
      <c r="AG990" s="5" t="s">
        <v>4485</v>
      </c>
      <c r="AH990" s="5" t="s">
        <v>4488</v>
      </c>
      <c r="AI990" s="5" t="s">
        <v>4135</v>
      </c>
      <c r="AJ990" s="5" t="s">
        <v>4136</v>
      </c>
      <c r="AK990" s="5" t="s">
        <v>3962</v>
      </c>
      <c r="AL990" s="5" t="s">
        <v>3858</v>
      </c>
    </row>
    <row r="991" spans="1:38" x14ac:dyDescent="0.3">
      <c r="A991" s="4">
        <v>45716</v>
      </c>
      <c r="B991" s="5" t="s">
        <v>3509</v>
      </c>
      <c r="C991" s="5" t="s">
        <v>3510</v>
      </c>
      <c r="D991" s="5" t="s">
        <v>3511</v>
      </c>
      <c r="E991" s="5" t="s">
        <v>4494</v>
      </c>
      <c r="G991" s="5" t="s">
        <v>83</v>
      </c>
      <c r="H991" s="5" t="s">
        <v>3336</v>
      </c>
      <c r="I991" s="5" t="s">
        <v>3229</v>
      </c>
      <c r="J991" s="5" t="s">
        <v>346</v>
      </c>
      <c r="K991" s="4">
        <v>44977</v>
      </c>
      <c r="L991" s="4">
        <v>44977</v>
      </c>
      <c r="M991" s="9">
        <f t="shared" si="135"/>
        <v>2</v>
      </c>
      <c r="N991" s="4" t="str">
        <f t="shared" si="136"/>
        <v xml:space="preserve"> ] 0 ; 2 ]</v>
      </c>
      <c r="O991" s="5" t="s">
        <v>3785</v>
      </c>
      <c r="P991" s="5" t="s">
        <v>3785</v>
      </c>
      <c r="Q991" s="5">
        <v>1</v>
      </c>
      <c r="R991" s="5" t="str">
        <f t="shared" si="140"/>
        <v>Specialisation</v>
      </c>
      <c r="S991" s="5" t="s">
        <v>3790</v>
      </c>
      <c r="T991" s="4">
        <v>35318</v>
      </c>
      <c r="U991" s="5">
        <f t="shared" si="137"/>
        <v>1996</v>
      </c>
      <c r="V991" s="5" t="s">
        <v>3792</v>
      </c>
      <c r="W991" s="9">
        <f t="shared" si="138"/>
        <v>28</v>
      </c>
      <c r="X991" s="5" t="str">
        <f t="shared" si="141"/>
        <v>[20 - 29 ans[</v>
      </c>
      <c r="Y991" s="5" t="str">
        <f t="shared" si="142"/>
        <v xml:space="preserve"> Gen Alpha</v>
      </c>
      <c r="Z991" s="9">
        <f t="shared" si="139"/>
        <v>32</v>
      </c>
      <c r="AA991" s="5" t="str">
        <f t="shared" si="143"/>
        <v>RAS</v>
      </c>
      <c r="AB991" s="5" t="s">
        <v>3807</v>
      </c>
      <c r="AC991" s="6" t="s">
        <v>3799</v>
      </c>
      <c r="AE991" s="5" t="s">
        <v>3844</v>
      </c>
      <c r="AF991" s="5" t="s">
        <v>4481</v>
      </c>
      <c r="AG991" s="5" t="s">
        <v>4485</v>
      </c>
      <c r="AH991" s="5" t="s">
        <v>4489</v>
      </c>
      <c r="AI991" s="5" t="s">
        <v>4426</v>
      </c>
      <c r="AJ991" s="5" t="s">
        <v>4427</v>
      </c>
      <c r="AK991" s="5" t="s">
        <v>3993</v>
      </c>
      <c r="AL991" s="5" t="s">
        <v>3858</v>
      </c>
    </row>
    <row r="992" spans="1:38" x14ac:dyDescent="0.3">
      <c r="A992" s="4">
        <v>45716</v>
      </c>
      <c r="B992" s="5" t="s">
        <v>3512</v>
      </c>
      <c r="C992" s="5" t="s">
        <v>3513</v>
      </c>
      <c r="D992" s="5" t="s">
        <v>3514</v>
      </c>
      <c r="E992" s="5" t="s">
        <v>4494</v>
      </c>
      <c r="G992" s="5" t="s">
        <v>39</v>
      </c>
      <c r="H992" s="5" t="s">
        <v>3504</v>
      </c>
      <c r="I992" s="5" t="s">
        <v>2991</v>
      </c>
      <c r="J992" s="5" t="s">
        <v>278</v>
      </c>
      <c r="K992" s="4">
        <v>44986</v>
      </c>
      <c r="L992" s="4">
        <v>44986</v>
      </c>
      <c r="M992" s="9">
        <f t="shared" si="135"/>
        <v>1</v>
      </c>
      <c r="N992" s="4" t="str">
        <f t="shared" si="136"/>
        <v xml:space="preserve"> ] 0 ; 2 ]</v>
      </c>
      <c r="O992" s="5" t="s">
        <v>3785</v>
      </c>
      <c r="P992" s="5" t="s">
        <v>3785</v>
      </c>
      <c r="Q992" s="5">
        <v>2</v>
      </c>
      <c r="R992" s="5" t="str">
        <f t="shared" si="140"/>
        <v>Specialisation</v>
      </c>
      <c r="S992" s="5" t="s">
        <v>3789</v>
      </c>
      <c r="T992" s="4">
        <v>34048</v>
      </c>
      <c r="U992" s="5">
        <f t="shared" si="137"/>
        <v>1993</v>
      </c>
      <c r="V992" s="5" t="s">
        <v>3792</v>
      </c>
      <c r="W992" s="9">
        <f t="shared" si="138"/>
        <v>31</v>
      </c>
      <c r="X992" s="5" t="str">
        <f t="shared" si="141"/>
        <v>[30 - 34 ans]</v>
      </c>
      <c r="Y992" s="5" t="str">
        <f t="shared" si="142"/>
        <v xml:space="preserve"> Mellenials </v>
      </c>
      <c r="Z992" s="9">
        <f t="shared" si="139"/>
        <v>29</v>
      </c>
      <c r="AA992" s="5" t="str">
        <f t="shared" si="143"/>
        <v>RAS</v>
      </c>
      <c r="AB992" s="5" t="s">
        <v>3807</v>
      </c>
      <c r="AC992" s="6" t="s">
        <v>3799</v>
      </c>
      <c r="AE992" s="5" t="s">
        <v>3844</v>
      </c>
      <c r="AF992" s="5" t="s">
        <v>4481</v>
      </c>
      <c r="AG992" s="5" t="s">
        <v>4485</v>
      </c>
      <c r="AH992" s="5" t="s">
        <v>4489</v>
      </c>
      <c r="AI992" s="5" t="s">
        <v>4407</v>
      </c>
      <c r="AJ992" s="5" t="s">
        <v>4408</v>
      </c>
      <c r="AK992" s="5" t="s">
        <v>4409</v>
      </c>
      <c r="AL992" s="5" t="s">
        <v>3858</v>
      </c>
    </row>
    <row r="993" spans="1:38" x14ac:dyDescent="0.3">
      <c r="A993" s="4">
        <v>45716</v>
      </c>
      <c r="B993" s="5" t="s">
        <v>3515</v>
      </c>
      <c r="C993" s="5" t="s">
        <v>3516</v>
      </c>
      <c r="D993" s="5" t="s">
        <v>3517</v>
      </c>
      <c r="E993" s="5" t="s">
        <v>4494</v>
      </c>
      <c r="G993" s="5" t="s">
        <v>39</v>
      </c>
      <c r="H993" s="5" t="s">
        <v>4508</v>
      </c>
      <c r="I993" s="5" t="s">
        <v>3203</v>
      </c>
      <c r="J993" s="5" t="s">
        <v>1218</v>
      </c>
      <c r="K993" s="4">
        <v>44986</v>
      </c>
      <c r="L993" s="4">
        <v>44986</v>
      </c>
      <c r="M993" s="9">
        <f t="shared" si="135"/>
        <v>1</v>
      </c>
      <c r="N993" s="4" t="str">
        <f t="shared" si="136"/>
        <v xml:space="preserve"> ] 0 ; 2 ]</v>
      </c>
      <c r="O993" s="5" t="s">
        <v>3785</v>
      </c>
      <c r="P993" s="5" t="s">
        <v>3785</v>
      </c>
      <c r="Q993" s="5">
        <v>2</v>
      </c>
      <c r="R993" s="5" t="str">
        <f t="shared" si="140"/>
        <v>Specialisation</v>
      </c>
      <c r="S993" s="5" t="s">
        <v>3790</v>
      </c>
      <c r="T993" s="4">
        <v>31327</v>
      </c>
      <c r="U993" s="5">
        <f t="shared" si="137"/>
        <v>1985</v>
      </c>
      <c r="V993" s="5" t="s">
        <v>3793</v>
      </c>
      <c r="W993" s="9">
        <f t="shared" si="138"/>
        <v>39</v>
      </c>
      <c r="X993" s="5" t="str">
        <f t="shared" si="141"/>
        <v>[35 - 39 ans ]</v>
      </c>
      <c r="Y993" s="5" t="str">
        <f t="shared" si="142"/>
        <v xml:space="preserve"> Mellenials </v>
      </c>
      <c r="Z993" s="9">
        <f t="shared" si="139"/>
        <v>21</v>
      </c>
      <c r="AA993" s="5" t="str">
        <f t="shared" si="143"/>
        <v>RAS</v>
      </c>
      <c r="AB993" s="5" t="s">
        <v>3807</v>
      </c>
      <c r="AC993" s="6" t="s">
        <v>3799</v>
      </c>
      <c r="AE993" s="5" t="s">
        <v>3844</v>
      </c>
      <c r="AF993" s="5" t="s">
        <v>4481</v>
      </c>
      <c r="AG993" s="5" t="s">
        <v>4485</v>
      </c>
      <c r="AH993" s="5" t="s">
        <v>4489</v>
      </c>
      <c r="AI993" s="5" t="s">
        <v>4026</v>
      </c>
      <c r="AJ993" s="5" t="s">
        <v>4027</v>
      </c>
      <c r="AK993" s="5" t="s">
        <v>4436</v>
      </c>
      <c r="AL993" s="5" t="s">
        <v>3858</v>
      </c>
    </row>
    <row r="994" spans="1:38" x14ac:dyDescent="0.3">
      <c r="A994" s="4">
        <v>45716</v>
      </c>
      <c r="B994" s="5" t="s">
        <v>3518</v>
      </c>
      <c r="C994" s="5" t="s">
        <v>3519</v>
      </c>
      <c r="D994" s="5" t="s">
        <v>3520</v>
      </c>
      <c r="E994" s="5" t="s">
        <v>4494</v>
      </c>
      <c r="G994" s="5" t="s">
        <v>39</v>
      </c>
      <c r="H994" s="5" t="s">
        <v>2721</v>
      </c>
      <c r="I994" s="5" t="s">
        <v>393</v>
      </c>
      <c r="J994" s="5" t="s">
        <v>153</v>
      </c>
      <c r="K994" s="4">
        <v>44991</v>
      </c>
      <c r="L994" s="4">
        <v>44991</v>
      </c>
      <c r="M994" s="9">
        <f t="shared" si="135"/>
        <v>1</v>
      </c>
      <c r="N994" s="4" t="str">
        <f t="shared" si="136"/>
        <v xml:space="preserve"> ] 0 ; 2 ]</v>
      </c>
      <c r="O994" s="5" t="s">
        <v>3785</v>
      </c>
      <c r="P994" s="5" t="s">
        <v>3785</v>
      </c>
      <c r="Q994" s="5">
        <v>1</v>
      </c>
      <c r="R994" s="5" t="str">
        <f t="shared" si="140"/>
        <v>Specialisation</v>
      </c>
      <c r="S994" s="5" t="s">
        <v>3789</v>
      </c>
      <c r="T994" s="4">
        <v>35937</v>
      </c>
      <c r="U994" s="5">
        <f t="shared" si="137"/>
        <v>1998</v>
      </c>
      <c r="V994" s="5" t="s">
        <v>3792</v>
      </c>
      <c r="W994" s="9">
        <f t="shared" si="138"/>
        <v>26</v>
      </c>
      <c r="X994" s="5" t="str">
        <f t="shared" si="141"/>
        <v>[20 - 29 ans[</v>
      </c>
      <c r="Y994" s="5" t="str">
        <f t="shared" si="142"/>
        <v xml:space="preserve"> Gen Z </v>
      </c>
      <c r="Z994" s="9">
        <f t="shared" si="139"/>
        <v>34</v>
      </c>
      <c r="AA994" s="5" t="str">
        <f t="shared" si="143"/>
        <v>RAS</v>
      </c>
      <c r="AB994" s="5" t="s">
        <v>3807</v>
      </c>
      <c r="AC994" s="6" t="s">
        <v>3799</v>
      </c>
      <c r="AE994" s="5" t="s">
        <v>3844</v>
      </c>
      <c r="AF994" s="5" t="s">
        <v>4481</v>
      </c>
      <c r="AG994" s="5" t="s">
        <v>4485</v>
      </c>
      <c r="AH994" s="5" t="s">
        <v>4489</v>
      </c>
      <c r="AI994" s="5" t="s">
        <v>4044</v>
      </c>
      <c r="AJ994" s="5" t="s">
        <v>4045</v>
      </c>
      <c r="AK994" s="5" t="s">
        <v>4046</v>
      </c>
      <c r="AL994" s="5" t="s">
        <v>3858</v>
      </c>
    </row>
    <row r="995" spans="1:38" x14ac:dyDescent="0.3">
      <c r="A995" s="4">
        <v>45716</v>
      </c>
      <c r="B995" s="5" t="s">
        <v>3521</v>
      </c>
      <c r="C995" s="5" t="s">
        <v>3522</v>
      </c>
      <c r="D995" s="5" t="s">
        <v>3523</v>
      </c>
      <c r="E995" s="5" t="s">
        <v>4494</v>
      </c>
      <c r="G995" s="5" t="s">
        <v>39</v>
      </c>
      <c r="H995" s="5" t="s">
        <v>3416</v>
      </c>
      <c r="I995" s="5" t="s">
        <v>3262</v>
      </c>
      <c r="J995" s="5" t="s">
        <v>149</v>
      </c>
      <c r="K995" s="4">
        <v>45000</v>
      </c>
      <c r="L995" s="4">
        <v>45000</v>
      </c>
      <c r="M995" s="9">
        <f t="shared" si="135"/>
        <v>1</v>
      </c>
      <c r="N995" s="4" t="str">
        <f t="shared" si="136"/>
        <v xml:space="preserve"> ] 0 ; 2 ]</v>
      </c>
      <c r="O995" s="5" t="s">
        <v>3785</v>
      </c>
      <c r="P995" s="5" t="s">
        <v>3785</v>
      </c>
      <c r="Q995" s="5">
        <v>1</v>
      </c>
      <c r="R995" s="5" t="str">
        <f t="shared" si="140"/>
        <v>Specialisation</v>
      </c>
      <c r="S995" s="5" t="s">
        <v>3790</v>
      </c>
      <c r="T995" s="4">
        <v>34661</v>
      </c>
      <c r="U995" s="5">
        <f t="shared" si="137"/>
        <v>1994</v>
      </c>
      <c r="V995" s="5" t="s">
        <v>3792</v>
      </c>
      <c r="W995" s="9">
        <f t="shared" si="138"/>
        <v>30</v>
      </c>
      <c r="X995" s="5" t="str">
        <f t="shared" si="141"/>
        <v>[30 - 34 ans]</v>
      </c>
      <c r="Y995" s="5" t="str">
        <f t="shared" si="142"/>
        <v xml:space="preserve"> Mellenials </v>
      </c>
      <c r="Z995" s="9">
        <f t="shared" si="139"/>
        <v>30</v>
      </c>
      <c r="AA995" s="5" t="str">
        <f t="shared" si="143"/>
        <v>RAS</v>
      </c>
      <c r="AB995" s="5" t="s">
        <v>3807</v>
      </c>
      <c r="AC995" s="6" t="s">
        <v>3799</v>
      </c>
      <c r="AE995" s="5" t="s">
        <v>3844</v>
      </c>
      <c r="AF995" s="5" t="s">
        <v>4481</v>
      </c>
      <c r="AG995" s="5" t="s">
        <v>4485</v>
      </c>
      <c r="AH995" s="5" t="s">
        <v>4489</v>
      </c>
      <c r="AI995" s="5" t="s">
        <v>3871</v>
      </c>
      <c r="AJ995" s="5" t="s">
        <v>3872</v>
      </c>
      <c r="AK995" s="5" t="s">
        <v>3873</v>
      </c>
      <c r="AL995" s="5" t="s">
        <v>3858</v>
      </c>
    </row>
    <row r="996" spans="1:38" x14ac:dyDescent="0.3">
      <c r="A996" s="4">
        <v>45716</v>
      </c>
      <c r="B996" s="5" t="s">
        <v>3524</v>
      </c>
      <c r="C996" s="5" t="s">
        <v>3525</v>
      </c>
      <c r="D996" s="5" t="s">
        <v>3526</v>
      </c>
      <c r="E996" s="5" t="s">
        <v>4494</v>
      </c>
      <c r="G996" s="5" t="s">
        <v>39</v>
      </c>
      <c r="H996" s="5" t="s">
        <v>3249</v>
      </c>
      <c r="I996" s="5" t="s">
        <v>1698</v>
      </c>
      <c r="J996" s="5" t="s">
        <v>1256</v>
      </c>
      <c r="K996" s="4">
        <v>45002</v>
      </c>
      <c r="L996" s="4">
        <v>45002</v>
      </c>
      <c r="M996" s="9">
        <f t="shared" si="135"/>
        <v>1</v>
      </c>
      <c r="N996" s="4" t="str">
        <f t="shared" si="136"/>
        <v xml:space="preserve"> ] 0 ; 2 ]</v>
      </c>
      <c r="O996" s="5" t="s">
        <v>3785</v>
      </c>
      <c r="P996" s="5" t="s">
        <v>3785</v>
      </c>
      <c r="Q996" s="5">
        <v>1</v>
      </c>
      <c r="R996" s="5" t="str">
        <f t="shared" si="140"/>
        <v>Specialisation</v>
      </c>
      <c r="S996" s="5" t="s">
        <v>3789</v>
      </c>
      <c r="T996" s="4">
        <v>33329</v>
      </c>
      <c r="U996" s="5">
        <f t="shared" si="137"/>
        <v>1991</v>
      </c>
      <c r="V996" s="5" t="s">
        <v>3792</v>
      </c>
      <c r="W996" s="9">
        <f t="shared" si="138"/>
        <v>33</v>
      </c>
      <c r="X996" s="5" t="str">
        <f t="shared" si="141"/>
        <v>[30 - 34 ans]</v>
      </c>
      <c r="Y996" s="5" t="str">
        <f t="shared" si="142"/>
        <v xml:space="preserve"> Mellenials </v>
      </c>
      <c r="Z996" s="9">
        <f t="shared" si="139"/>
        <v>27</v>
      </c>
      <c r="AA996" s="5" t="str">
        <f t="shared" si="143"/>
        <v>RAS</v>
      </c>
      <c r="AB996" s="5" t="s">
        <v>3807</v>
      </c>
      <c r="AC996" s="6" t="s">
        <v>3799</v>
      </c>
      <c r="AE996" s="5" t="s">
        <v>3844</v>
      </c>
      <c r="AF996" s="5" t="s">
        <v>4481</v>
      </c>
      <c r="AG996" s="5" t="s">
        <v>4485</v>
      </c>
      <c r="AH996" s="5" t="s">
        <v>4489</v>
      </c>
      <c r="AI996" s="5" t="s">
        <v>4231</v>
      </c>
      <c r="AJ996" s="5" t="s">
        <v>4349</v>
      </c>
      <c r="AK996" s="5" t="s">
        <v>4232</v>
      </c>
      <c r="AL996" s="5" t="s">
        <v>3858</v>
      </c>
    </row>
    <row r="997" spans="1:38" x14ac:dyDescent="0.3">
      <c r="A997" s="4">
        <v>45716</v>
      </c>
      <c r="B997" s="5" t="s">
        <v>3527</v>
      </c>
      <c r="C997" s="5" t="s">
        <v>3528</v>
      </c>
      <c r="D997" s="5" t="s">
        <v>3529</v>
      </c>
      <c r="E997" s="5" t="s">
        <v>4494</v>
      </c>
      <c r="G997" s="5" t="s">
        <v>39</v>
      </c>
      <c r="H997" s="5" t="s">
        <v>3196</v>
      </c>
      <c r="I997" s="5" t="s">
        <v>278</v>
      </c>
      <c r="J997" s="5" t="s">
        <v>278</v>
      </c>
      <c r="K997" s="4">
        <v>45012</v>
      </c>
      <c r="L997" s="4">
        <v>45012</v>
      </c>
      <c r="M997" s="9">
        <f t="shared" si="135"/>
        <v>1</v>
      </c>
      <c r="N997" s="4" t="str">
        <f t="shared" si="136"/>
        <v xml:space="preserve"> ] 0 ; 2 ]</v>
      </c>
      <c r="O997" s="5" t="s">
        <v>3782</v>
      </c>
      <c r="P997" s="5" t="s">
        <v>3782</v>
      </c>
      <c r="Q997" s="5">
        <v>1</v>
      </c>
      <c r="R997" s="5" t="str">
        <f t="shared" si="140"/>
        <v>Management &amp; Expertise</v>
      </c>
      <c r="S997" s="5" t="s">
        <v>3790</v>
      </c>
      <c r="T997" s="4">
        <v>31655</v>
      </c>
      <c r="U997" s="5">
        <f t="shared" si="137"/>
        <v>1986</v>
      </c>
      <c r="V997" s="5" t="s">
        <v>3793</v>
      </c>
      <c r="W997" s="9">
        <f t="shared" si="138"/>
        <v>38</v>
      </c>
      <c r="X997" s="5" t="str">
        <f t="shared" si="141"/>
        <v>[35 - 39 ans ]</v>
      </c>
      <c r="Y997" s="5" t="str">
        <f t="shared" si="142"/>
        <v xml:space="preserve"> Mellenials </v>
      </c>
      <c r="Z997" s="9">
        <f t="shared" si="139"/>
        <v>22</v>
      </c>
      <c r="AA997" s="5" t="str">
        <f t="shared" si="143"/>
        <v>RAS</v>
      </c>
      <c r="AB997" s="5" t="s">
        <v>3807</v>
      </c>
      <c r="AC997" s="6" t="s">
        <v>3799</v>
      </c>
      <c r="AE997" s="5" t="s">
        <v>3844</v>
      </c>
      <c r="AF997" s="5" t="s">
        <v>4481</v>
      </c>
      <c r="AG997" s="5" t="s">
        <v>4485</v>
      </c>
      <c r="AH997" s="5" t="s">
        <v>4489</v>
      </c>
      <c r="AI997" s="5" t="s">
        <v>4458</v>
      </c>
      <c r="AJ997" s="5" t="s">
        <v>4323</v>
      </c>
      <c r="AK997" s="5" t="s">
        <v>3996</v>
      </c>
      <c r="AL997" s="5" t="s">
        <v>3858</v>
      </c>
    </row>
    <row r="998" spans="1:38" x14ac:dyDescent="0.3">
      <c r="A998" s="4">
        <v>45716</v>
      </c>
      <c r="B998" s="5" t="s">
        <v>3530</v>
      </c>
      <c r="C998" s="5" t="s">
        <v>3531</v>
      </c>
      <c r="D998" s="5" t="s">
        <v>3532</v>
      </c>
      <c r="E998" s="5" t="s">
        <v>4494</v>
      </c>
      <c r="G998" s="5" t="s">
        <v>39</v>
      </c>
      <c r="H998" s="5" t="s">
        <v>3533</v>
      </c>
      <c r="I998" s="5" t="s">
        <v>2258</v>
      </c>
      <c r="J998" s="5" t="s">
        <v>1218</v>
      </c>
      <c r="K998" s="4">
        <v>45017</v>
      </c>
      <c r="L998" s="4">
        <v>45017</v>
      </c>
      <c r="M998" s="9">
        <f t="shared" si="135"/>
        <v>1</v>
      </c>
      <c r="N998" s="4" t="str">
        <f t="shared" si="136"/>
        <v xml:space="preserve"> ] 0 ; 2 ]</v>
      </c>
      <c r="O998" s="5" t="s">
        <v>3785</v>
      </c>
      <c r="P998" s="5" t="s">
        <v>3785</v>
      </c>
      <c r="Q998" s="5">
        <v>1</v>
      </c>
      <c r="R998" s="5" t="str">
        <f t="shared" si="140"/>
        <v>Specialisation</v>
      </c>
      <c r="S998" s="5" t="s">
        <v>3790</v>
      </c>
      <c r="T998" s="4">
        <v>34889</v>
      </c>
      <c r="U998" s="5">
        <f t="shared" si="137"/>
        <v>1995</v>
      </c>
      <c r="V998" s="5" t="s">
        <v>3792</v>
      </c>
      <c r="W998" s="9">
        <f t="shared" si="138"/>
        <v>29</v>
      </c>
      <c r="X998" s="5" t="str">
        <f t="shared" si="141"/>
        <v>[20 - 29 ans[</v>
      </c>
      <c r="Y998" s="5" t="str">
        <f t="shared" si="142"/>
        <v xml:space="preserve"> Mellenials </v>
      </c>
      <c r="Z998" s="9">
        <f t="shared" si="139"/>
        <v>31</v>
      </c>
      <c r="AA998" s="5" t="str">
        <f t="shared" si="143"/>
        <v>RAS</v>
      </c>
      <c r="AB998" s="5" t="s">
        <v>3807</v>
      </c>
      <c r="AC998" s="6" t="s">
        <v>3799</v>
      </c>
      <c r="AE998" s="5" t="s">
        <v>3844</v>
      </c>
      <c r="AF998" s="5" t="s">
        <v>4481</v>
      </c>
      <c r="AG998" s="5" t="s">
        <v>4485</v>
      </c>
      <c r="AH998" s="5" t="s">
        <v>4489</v>
      </c>
      <c r="AI998" s="5" t="s">
        <v>4394</v>
      </c>
      <c r="AJ998" s="5" t="s">
        <v>4395</v>
      </c>
      <c r="AK998" s="5" t="s">
        <v>4396</v>
      </c>
      <c r="AL998" s="5" t="s">
        <v>3858</v>
      </c>
    </row>
    <row r="999" spans="1:38" x14ac:dyDescent="0.3">
      <c r="A999" s="4">
        <v>45716</v>
      </c>
      <c r="B999" s="5" t="s">
        <v>3534</v>
      </c>
      <c r="C999" s="5" t="s">
        <v>3535</v>
      </c>
      <c r="D999" s="5" t="s">
        <v>3536</v>
      </c>
      <c r="E999" s="5" t="s">
        <v>4494</v>
      </c>
      <c r="G999" s="5" t="s">
        <v>83</v>
      </c>
      <c r="H999" s="5" t="s">
        <v>3537</v>
      </c>
      <c r="I999" s="5" t="s">
        <v>1482</v>
      </c>
      <c r="J999" s="5" t="s">
        <v>82</v>
      </c>
      <c r="K999" s="4">
        <v>45017</v>
      </c>
      <c r="L999" s="4">
        <v>45017</v>
      </c>
      <c r="M999" s="9">
        <f t="shared" si="135"/>
        <v>1</v>
      </c>
      <c r="N999" s="4" t="str">
        <f t="shared" si="136"/>
        <v xml:space="preserve"> ] 0 ; 2 ]</v>
      </c>
      <c r="O999" s="5" t="s">
        <v>3782</v>
      </c>
      <c r="P999" s="5" t="s">
        <v>3782</v>
      </c>
      <c r="Q999" s="5">
        <v>1</v>
      </c>
      <c r="R999" s="5" t="str">
        <f t="shared" si="140"/>
        <v>Management &amp; Expertise</v>
      </c>
      <c r="S999" s="5" t="s">
        <v>3789</v>
      </c>
      <c r="T999" s="4">
        <v>30103</v>
      </c>
      <c r="U999" s="5">
        <f t="shared" si="137"/>
        <v>1982</v>
      </c>
      <c r="V999" s="5" t="s">
        <v>3793</v>
      </c>
      <c r="W999" s="9">
        <f t="shared" si="138"/>
        <v>42</v>
      </c>
      <c r="X999" s="5" t="str">
        <f t="shared" si="141"/>
        <v>[40 - 44 ans]</v>
      </c>
      <c r="Y999" s="5" t="str">
        <f t="shared" si="142"/>
        <v xml:space="preserve"> Mellenials </v>
      </c>
      <c r="Z999" s="9">
        <f t="shared" si="139"/>
        <v>18</v>
      </c>
      <c r="AA999" s="5" t="str">
        <f t="shared" si="143"/>
        <v>RAS</v>
      </c>
      <c r="AB999" s="5" t="s">
        <v>3807</v>
      </c>
      <c r="AC999" s="6" t="s">
        <v>3799</v>
      </c>
      <c r="AE999" s="5" t="s">
        <v>3844</v>
      </c>
      <c r="AF999" s="5" t="s">
        <v>4481</v>
      </c>
      <c r="AG999" s="5" t="s">
        <v>4485</v>
      </c>
      <c r="AH999" s="5" t="s">
        <v>4489</v>
      </c>
      <c r="AI999" s="5" t="s">
        <v>4297</v>
      </c>
      <c r="AJ999" s="5" t="s">
        <v>4298</v>
      </c>
      <c r="AK999" s="5" t="s">
        <v>4430</v>
      </c>
      <c r="AL999" s="5" t="s">
        <v>3858</v>
      </c>
    </row>
    <row r="1000" spans="1:38" x14ac:dyDescent="0.3">
      <c r="A1000" s="4">
        <v>45716</v>
      </c>
      <c r="B1000" s="5" t="s">
        <v>3538</v>
      </c>
      <c r="C1000" s="5" t="s">
        <v>3539</v>
      </c>
      <c r="D1000" s="5" t="s">
        <v>3540</v>
      </c>
      <c r="E1000" s="5" t="s">
        <v>4494</v>
      </c>
      <c r="G1000" s="5" t="s">
        <v>39</v>
      </c>
      <c r="H1000" s="5" t="s">
        <v>3541</v>
      </c>
      <c r="I1000" s="5" t="s">
        <v>389</v>
      </c>
      <c r="J1000" s="5" t="s">
        <v>52</v>
      </c>
      <c r="K1000" s="4">
        <v>45019</v>
      </c>
      <c r="L1000" s="4">
        <v>45019</v>
      </c>
      <c r="M1000" s="9">
        <f t="shared" si="135"/>
        <v>1</v>
      </c>
      <c r="N1000" s="4" t="str">
        <f t="shared" si="136"/>
        <v xml:space="preserve"> ] 0 ; 2 ]</v>
      </c>
      <c r="O1000" s="5" t="s">
        <v>3785</v>
      </c>
      <c r="P1000" s="5" t="s">
        <v>3785</v>
      </c>
      <c r="Q1000" s="5">
        <v>1</v>
      </c>
      <c r="R1000" s="5" t="str">
        <f t="shared" si="140"/>
        <v>Specialisation</v>
      </c>
      <c r="S1000" s="5" t="s">
        <v>3790</v>
      </c>
      <c r="T1000" s="4">
        <v>35557</v>
      </c>
      <c r="U1000" s="5">
        <f t="shared" si="137"/>
        <v>1997</v>
      </c>
      <c r="V1000" s="5" t="s">
        <v>3792</v>
      </c>
      <c r="W1000" s="9">
        <f t="shared" si="138"/>
        <v>27</v>
      </c>
      <c r="X1000" s="5" t="str">
        <f t="shared" si="141"/>
        <v>[20 - 29 ans[</v>
      </c>
      <c r="Y1000" s="5" t="str">
        <f t="shared" si="142"/>
        <v xml:space="preserve"> Gen Z </v>
      </c>
      <c r="Z1000" s="9">
        <f t="shared" si="139"/>
        <v>33</v>
      </c>
      <c r="AA1000" s="5" t="str">
        <f t="shared" si="143"/>
        <v>RAS</v>
      </c>
      <c r="AB1000" s="5" t="s">
        <v>3807</v>
      </c>
      <c r="AC1000" s="6" t="s">
        <v>3799</v>
      </c>
      <c r="AE1000" s="5" t="s">
        <v>3844</v>
      </c>
      <c r="AF1000" s="5" t="s">
        <v>4481</v>
      </c>
      <c r="AG1000" s="5" t="s">
        <v>4485</v>
      </c>
      <c r="AH1000" s="5" t="s">
        <v>4489</v>
      </c>
      <c r="AI1000" s="5" t="s">
        <v>4042</v>
      </c>
      <c r="AJ1000" s="5" t="s">
        <v>4043</v>
      </c>
      <c r="AK1000" s="5" t="s">
        <v>3914</v>
      </c>
      <c r="AL1000" s="5" t="s">
        <v>3858</v>
      </c>
    </row>
    <row r="1001" spans="1:38" x14ac:dyDescent="0.3">
      <c r="A1001" s="4">
        <v>45716</v>
      </c>
      <c r="B1001" s="5" t="s">
        <v>3542</v>
      </c>
      <c r="C1001" s="5" t="s">
        <v>3543</v>
      </c>
      <c r="D1001" s="5" t="s">
        <v>3544</v>
      </c>
      <c r="E1001" s="5" t="s">
        <v>4494</v>
      </c>
      <c r="G1001" s="5" t="s">
        <v>39</v>
      </c>
      <c r="H1001" s="5" t="s">
        <v>3545</v>
      </c>
      <c r="I1001" s="5" t="s">
        <v>2944</v>
      </c>
      <c r="J1001" s="5" t="s">
        <v>397</v>
      </c>
      <c r="K1001" s="4">
        <v>45026</v>
      </c>
      <c r="L1001" s="4">
        <v>45026</v>
      </c>
      <c r="M1001" s="9">
        <f t="shared" si="135"/>
        <v>1</v>
      </c>
      <c r="N1001" s="4" t="str">
        <f t="shared" si="136"/>
        <v xml:space="preserve"> ] 0 ; 2 ]</v>
      </c>
      <c r="O1001" s="5" t="s">
        <v>3785</v>
      </c>
      <c r="P1001" s="5" t="s">
        <v>3785</v>
      </c>
      <c r="Q1001" s="5">
        <v>2</v>
      </c>
      <c r="R1001" s="5" t="str">
        <f t="shared" si="140"/>
        <v>Specialisation</v>
      </c>
      <c r="S1001" s="5" t="s">
        <v>3789</v>
      </c>
      <c r="T1001" s="4">
        <v>33504</v>
      </c>
      <c r="U1001" s="5">
        <f t="shared" si="137"/>
        <v>1991</v>
      </c>
      <c r="V1001" s="5" t="s">
        <v>3793</v>
      </c>
      <c r="W1001" s="9">
        <f t="shared" si="138"/>
        <v>33</v>
      </c>
      <c r="X1001" s="5" t="str">
        <f t="shared" si="141"/>
        <v>[30 - 34 ans]</v>
      </c>
      <c r="Y1001" s="5" t="str">
        <f t="shared" si="142"/>
        <v xml:space="preserve"> Mellenials </v>
      </c>
      <c r="Z1001" s="9">
        <f t="shared" si="139"/>
        <v>27</v>
      </c>
      <c r="AA1001" s="5" t="str">
        <f t="shared" si="143"/>
        <v>RAS</v>
      </c>
      <c r="AB1001" s="5" t="s">
        <v>3807</v>
      </c>
      <c r="AC1001" s="6" t="s">
        <v>3799</v>
      </c>
      <c r="AE1001" s="5" t="s">
        <v>3844</v>
      </c>
      <c r="AF1001" s="5" t="s">
        <v>4481</v>
      </c>
      <c r="AG1001" s="5" t="s">
        <v>4485</v>
      </c>
      <c r="AH1001" s="5" t="s">
        <v>4489</v>
      </c>
      <c r="AI1001" s="5" t="s">
        <v>4028</v>
      </c>
      <c r="AJ1001" s="5" t="s">
        <v>4029</v>
      </c>
      <c r="AK1001" s="5" t="s">
        <v>4030</v>
      </c>
      <c r="AL1001" s="5" t="s">
        <v>3858</v>
      </c>
    </row>
    <row r="1002" spans="1:38" x14ac:dyDescent="0.3">
      <c r="A1002" s="4">
        <v>45716</v>
      </c>
      <c r="B1002" s="5" t="s">
        <v>3546</v>
      </c>
      <c r="C1002" s="5" t="s">
        <v>3547</v>
      </c>
      <c r="D1002" s="5" t="s">
        <v>3548</v>
      </c>
      <c r="E1002" s="5" t="s">
        <v>4494</v>
      </c>
      <c r="G1002" s="5" t="s">
        <v>83</v>
      </c>
      <c r="H1002" s="5" t="s">
        <v>3440</v>
      </c>
      <c r="I1002" s="5" t="s">
        <v>978</v>
      </c>
      <c r="J1002" s="5" t="s">
        <v>346</v>
      </c>
      <c r="K1002" s="4">
        <v>45033</v>
      </c>
      <c r="L1002" s="4">
        <v>45033</v>
      </c>
      <c r="M1002" s="9">
        <f t="shared" si="135"/>
        <v>1</v>
      </c>
      <c r="N1002" s="4" t="str">
        <f t="shared" si="136"/>
        <v xml:space="preserve"> ] 0 ; 2 ]</v>
      </c>
      <c r="O1002" s="5" t="s">
        <v>3785</v>
      </c>
      <c r="P1002" s="5" t="s">
        <v>3785</v>
      </c>
      <c r="Q1002" s="5">
        <v>1</v>
      </c>
      <c r="R1002" s="5" t="str">
        <f t="shared" si="140"/>
        <v>Specialisation</v>
      </c>
      <c r="S1002" s="5" t="s">
        <v>3789</v>
      </c>
      <c r="T1002" s="4">
        <v>36244</v>
      </c>
      <c r="U1002" s="5">
        <f t="shared" si="137"/>
        <v>1999</v>
      </c>
      <c r="V1002" s="5" t="s">
        <v>3792</v>
      </c>
      <c r="W1002" s="9">
        <f t="shared" si="138"/>
        <v>25</v>
      </c>
      <c r="X1002" s="5" t="str">
        <f t="shared" si="141"/>
        <v>[20 - 29 ans[</v>
      </c>
      <c r="Y1002" s="5" t="str">
        <f t="shared" si="142"/>
        <v xml:space="preserve"> Gen Z </v>
      </c>
      <c r="Z1002" s="9">
        <f t="shared" si="139"/>
        <v>35</v>
      </c>
      <c r="AA1002" s="5" t="str">
        <f t="shared" si="143"/>
        <v>RAS</v>
      </c>
      <c r="AB1002" s="5" t="s">
        <v>3807</v>
      </c>
      <c r="AC1002" s="6" t="s">
        <v>3799</v>
      </c>
      <c r="AE1002" s="5" t="s">
        <v>3844</v>
      </c>
      <c r="AF1002" s="5" t="s">
        <v>4481</v>
      </c>
      <c r="AG1002" s="5" t="s">
        <v>4485</v>
      </c>
      <c r="AH1002" s="5" t="s">
        <v>4489</v>
      </c>
      <c r="AI1002" s="5" t="s">
        <v>4229</v>
      </c>
      <c r="AJ1002" s="5" t="s">
        <v>4469</v>
      </c>
      <c r="AK1002" s="5" t="s">
        <v>3993</v>
      </c>
      <c r="AL1002" s="5" t="s">
        <v>3858</v>
      </c>
    </row>
    <row r="1003" spans="1:38" x14ac:dyDescent="0.3">
      <c r="A1003" s="4">
        <v>45716</v>
      </c>
      <c r="B1003" s="5" t="s">
        <v>3549</v>
      </c>
      <c r="C1003" s="5" t="s">
        <v>3550</v>
      </c>
      <c r="D1003" s="5" t="s">
        <v>3551</v>
      </c>
      <c r="E1003" s="5" t="s">
        <v>4494</v>
      </c>
      <c r="G1003" s="5" t="s">
        <v>83</v>
      </c>
      <c r="H1003" s="5" t="s">
        <v>3552</v>
      </c>
      <c r="I1003" s="5" t="s">
        <v>3320</v>
      </c>
      <c r="J1003" s="5" t="s">
        <v>346</v>
      </c>
      <c r="K1003" s="4">
        <v>45033</v>
      </c>
      <c r="L1003" s="4">
        <v>45033</v>
      </c>
      <c r="M1003" s="9">
        <f t="shared" si="135"/>
        <v>1</v>
      </c>
      <c r="N1003" s="4" t="str">
        <f t="shared" si="136"/>
        <v xml:space="preserve"> ] 0 ; 2 ]</v>
      </c>
      <c r="O1003" s="5" t="s">
        <v>3785</v>
      </c>
      <c r="P1003" s="5" t="s">
        <v>3785</v>
      </c>
      <c r="Q1003" s="5">
        <v>2</v>
      </c>
      <c r="R1003" s="5" t="str">
        <f t="shared" si="140"/>
        <v>Specialisation</v>
      </c>
      <c r="S1003" s="5" t="s">
        <v>3790</v>
      </c>
      <c r="T1003" s="4">
        <v>33612</v>
      </c>
      <c r="U1003" s="5">
        <f t="shared" si="137"/>
        <v>1992</v>
      </c>
      <c r="V1003" s="5" t="s">
        <v>3792</v>
      </c>
      <c r="W1003" s="9">
        <f t="shared" si="138"/>
        <v>33</v>
      </c>
      <c r="X1003" s="5" t="str">
        <f t="shared" si="141"/>
        <v>[30 - 34 ans]</v>
      </c>
      <c r="Y1003" s="5" t="str">
        <f t="shared" si="142"/>
        <v xml:space="preserve"> Mellenials </v>
      </c>
      <c r="Z1003" s="9">
        <f t="shared" si="139"/>
        <v>27</v>
      </c>
      <c r="AA1003" s="5" t="str">
        <f t="shared" si="143"/>
        <v>RAS</v>
      </c>
      <c r="AB1003" s="5" t="s">
        <v>3807</v>
      </c>
      <c r="AC1003" s="6" t="s">
        <v>3799</v>
      </c>
      <c r="AE1003" s="5" t="s">
        <v>3844</v>
      </c>
      <c r="AF1003" s="5" t="s">
        <v>4481</v>
      </c>
      <c r="AG1003" s="5" t="s">
        <v>4485</v>
      </c>
      <c r="AH1003" s="5" t="s">
        <v>4489</v>
      </c>
      <c r="AI1003" s="5" t="s">
        <v>4463</v>
      </c>
      <c r="AJ1003" s="5" t="s">
        <v>4464</v>
      </c>
      <c r="AK1003" s="5" t="s">
        <v>3993</v>
      </c>
      <c r="AL1003" s="5" t="s">
        <v>3858</v>
      </c>
    </row>
    <row r="1004" spans="1:38" x14ac:dyDescent="0.3">
      <c r="A1004" s="4">
        <v>45716</v>
      </c>
      <c r="B1004" s="5" t="s">
        <v>3553</v>
      </c>
      <c r="C1004" s="5" t="s">
        <v>3554</v>
      </c>
      <c r="D1004" s="5" t="s">
        <v>3555</v>
      </c>
      <c r="E1004" s="5" t="s">
        <v>4494</v>
      </c>
      <c r="G1004" s="5" t="s">
        <v>39</v>
      </c>
      <c r="H1004" s="5" t="s">
        <v>1590</v>
      </c>
      <c r="I1004" s="5" t="s">
        <v>38</v>
      </c>
      <c r="J1004" s="5" t="s">
        <v>149</v>
      </c>
      <c r="K1004" s="4">
        <v>45041</v>
      </c>
      <c r="L1004" s="4">
        <v>45041</v>
      </c>
      <c r="M1004" s="9">
        <f t="shared" si="135"/>
        <v>1</v>
      </c>
      <c r="N1004" s="4" t="str">
        <f t="shared" si="136"/>
        <v xml:space="preserve"> ] 0 ; 2 ]</v>
      </c>
      <c r="O1004" s="5" t="s">
        <v>3785</v>
      </c>
      <c r="P1004" s="5" t="s">
        <v>3785</v>
      </c>
      <c r="Q1004" s="5">
        <v>2</v>
      </c>
      <c r="R1004" s="5" t="str">
        <f t="shared" si="140"/>
        <v>Specialisation</v>
      </c>
      <c r="S1004" s="5" t="s">
        <v>3790</v>
      </c>
      <c r="T1004" s="4">
        <v>33677</v>
      </c>
      <c r="U1004" s="5">
        <f t="shared" si="137"/>
        <v>1992</v>
      </c>
      <c r="V1004" s="5" t="s">
        <v>3792</v>
      </c>
      <c r="W1004" s="9">
        <f t="shared" si="138"/>
        <v>32</v>
      </c>
      <c r="X1004" s="5" t="str">
        <f t="shared" si="141"/>
        <v>[30 - 34 ans]</v>
      </c>
      <c r="Y1004" s="5" t="str">
        <f t="shared" si="142"/>
        <v xml:space="preserve"> Mellenials </v>
      </c>
      <c r="Z1004" s="9">
        <f t="shared" si="139"/>
        <v>28</v>
      </c>
      <c r="AA1004" s="5" t="str">
        <f t="shared" si="143"/>
        <v>RAS</v>
      </c>
      <c r="AB1004" s="5" t="s">
        <v>3807</v>
      </c>
      <c r="AC1004" s="6" t="s">
        <v>3799</v>
      </c>
      <c r="AE1004" s="5" t="s">
        <v>3844</v>
      </c>
      <c r="AF1004" s="5" t="s">
        <v>4481</v>
      </c>
      <c r="AG1004" s="5" t="s">
        <v>4485</v>
      </c>
      <c r="AH1004" s="5" t="s">
        <v>4489</v>
      </c>
      <c r="AI1004" s="5" t="s">
        <v>3862</v>
      </c>
      <c r="AJ1004" s="5" t="s">
        <v>3863</v>
      </c>
      <c r="AK1004" s="5" t="s">
        <v>3864</v>
      </c>
      <c r="AL1004" s="5" t="s">
        <v>3858</v>
      </c>
    </row>
    <row r="1005" spans="1:38" x14ac:dyDescent="0.3">
      <c r="A1005" s="4">
        <v>45716</v>
      </c>
      <c r="B1005" s="5" t="s">
        <v>3556</v>
      </c>
      <c r="C1005" s="5" t="s">
        <v>3557</v>
      </c>
      <c r="D1005" s="5" t="s">
        <v>3558</v>
      </c>
      <c r="E1005" s="5" t="s">
        <v>4494</v>
      </c>
      <c r="G1005" s="5" t="s">
        <v>39</v>
      </c>
      <c r="H1005" s="5" t="s">
        <v>2721</v>
      </c>
      <c r="I1005" s="5" t="s">
        <v>393</v>
      </c>
      <c r="J1005" s="5" t="s">
        <v>153</v>
      </c>
      <c r="K1005" s="4">
        <v>45047</v>
      </c>
      <c r="L1005" s="4">
        <v>45047</v>
      </c>
      <c r="M1005" s="9">
        <f t="shared" si="135"/>
        <v>1</v>
      </c>
      <c r="N1005" s="4" t="str">
        <f t="shared" si="136"/>
        <v xml:space="preserve"> ] 0 ; 2 ]</v>
      </c>
      <c r="O1005" s="5" t="s">
        <v>3785</v>
      </c>
      <c r="P1005" s="5" t="s">
        <v>3785</v>
      </c>
      <c r="Q1005" s="5">
        <v>2</v>
      </c>
      <c r="R1005" s="5" t="str">
        <f t="shared" si="140"/>
        <v>Specialisation</v>
      </c>
      <c r="S1005" s="5" t="s">
        <v>3790</v>
      </c>
      <c r="T1005" s="4">
        <v>32032</v>
      </c>
      <c r="U1005" s="5">
        <f t="shared" si="137"/>
        <v>1987</v>
      </c>
      <c r="V1005" s="5" t="s">
        <v>3793</v>
      </c>
      <c r="W1005" s="9">
        <f t="shared" si="138"/>
        <v>37</v>
      </c>
      <c r="X1005" s="5" t="str">
        <f t="shared" si="141"/>
        <v>[35 - 39 ans ]</v>
      </c>
      <c r="Y1005" s="5" t="str">
        <f t="shared" si="142"/>
        <v xml:space="preserve"> Mellenials </v>
      </c>
      <c r="Z1005" s="9">
        <f t="shared" si="139"/>
        <v>23</v>
      </c>
      <c r="AA1005" s="5" t="str">
        <f t="shared" si="143"/>
        <v>RAS</v>
      </c>
      <c r="AB1005" s="5" t="s">
        <v>3807</v>
      </c>
      <c r="AC1005" s="6" t="s">
        <v>3799</v>
      </c>
      <c r="AE1005" s="5" t="s">
        <v>3844</v>
      </c>
      <c r="AF1005" s="5" t="s">
        <v>4481</v>
      </c>
      <c r="AG1005" s="5" t="s">
        <v>4485</v>
      </c>
      <c r="AH1005" s="5" t="s">
        <v>4489</v>
      </c>
      <c r="AI1005" s="5" t="s">
        <v>4044</v>
      </c>
      <c r="AJ1005" s="5" t="s">
        <v>4045</v>
      </c>
      <c r="AK1005" s="5" t="s">
        <v>4046</v>
      </c>
      <c r="AL1005" s="5" t="s">
        <v>3858</v>
      </c>
    </row>
    <row r="1006" spans="1:38" x14ac:dyDescent="0.3">
      <c r="A1006" s="4">
        <v>45716</v>
      </c>
      <c r="B1006" s="5" t="s">
        <v>3559</v>
      </c>
      <c r="C1006" s="5" t="s">
        <v>3560</v>
      </c>
      <c r="D1006" s="5" t="s">
        <v>3561</v>
      </c>
      <c r="E1006" s="5" t="s">
        <v>4494</v>
      </c>
      <c r="G1006" s="5" t="s">
        <v>39</v>
      </c>
      <c r="H1006" s="5" t="s">
        <v>3249</v>
      </c>
      <c r="I1006" s="5" t="s">
        <v>1698</v>
      </c>
      <c r="J1006" s="5" t="s">
        <v>1256</v>
      </c>
      <c r="K1006" s="4">
        <v>45048</v>
      </c>
      <c r="L1006" s="4">
        <v>45048</v>
      </c>
      <c r="M1006" s="9">
        <f t="shared" si="135"/>
        <v>1</v>
      </c>
      <c r="N1006" s="4" t="str">
        <f t="shared" si="136"/>
        <v xml:space="preserve"> ] 0 ; 2 ]</v>
      </c>
      <c r="O1006" s="5" t="s">
        <v>3785</v>
      </c>
      <c r="P1006" s="5" t="s">
        <v>3785</v>
      </c>
      <c r="Q1006" s="5">
        <v>1</v>
      </c>
      <c r="R1006" s="5" t="str">
        <f t="shared" si="140"/>
        <v>Specialisation</v>
      </c>
      <c r="S1006" s="5" t="s">
        <v>3789</v>
      </c>
      <c r="T1006" s="4">
        <v>34594</v>
      </c>
      <c r="U1006" s="5">
        <f t="shared" si="137"/>
        <v>1994</v>
      </c>
      <c r="V1006" s="5" t="s">
        <v>3792</v>
      </c>
      <c r="W1006" s="9">
        <f t="shared" si="138"/>
        <v>30</v>
      </c>
      <c r="X1006" s="5" t="str">
        <f t="shared" si="141"/>
        <v>[30 - 34 ans]</v>
      </c>
      <c r="Y1006" s="5" t="str">
        <f t="shared" si="142"/>
        <v xml:space="preserve"> Mellenials </v>
      </c>
      <c r="Z1006" s="9">
        <f t="shared" si="139"/>
        <v>30</v>
      </c>
      <c r="AA1006" s="5" t="str">
        <f t="shared" si="143"/>
        <v>RAS</v>
      </c>
      <c r="AB1006" s="5" t="s">
        <v>3807</v>
      </c>
      <c r="AC1006" s="6" t="s">
        <v>3799</v>
      </c>
      <c r="AE1006" s="5" t="s">
        <v>3844</v>
      </c>
      <c r="AF1006" s="5" t="s">
        <v>4481</v>
      </c>
      <c r="AG1006" s="5" t="s">
        <v>4485</v>
      </c>
      <c r="AH1006" s="5" t="s">
        <v>4489</v>
      </c>
      <c r="AI1006" s="5" t="s">
        <v>4231</v>
      </c>
      <c r="AJ1006" s="5" t="s">
        <v>4349</v>
      </c>
      <c r="AK1006" s="5" t="s">
        <v>4232</v>
      </c>
      <c r="AL1006" s="5" t="s">
        <v>3858</v>
      </c>
    </row>
    <row r="1007" spans="1:38" x14ac:dyDescent="0.3">
      <c r="A1007" s="4">
        <v>45716</v>
      </c>
      <c r="B1007" s="5" t="s">
        <v>3562</v>
      </c>
      <c r="C1007" s="5" t="s">
        <v>3563</v>
      </c>
      <c r="D1007" s="5" t="s">
        <v>3564</v>
      </c>
      <c r="E1007" s="5" t="s">
        <v>4494</v>
      </c>
      <c r="G1007" s="5" t="s">
        <v>83</v>
      </c>
      <c r="H1007" s="5" t="s">
        <v>3565</v>
      </c>
      <c r="I1007" s="5" t="s">
        <v>3568</v>
      </c>
      <c r="J1007" s="5" t="s">
        <v>1482</v>
      </c>
      <c r="K1007" s="4">
        <v>45048</v>
      </c>
      <c r="L1007" s="4">
        <v>45048</v>
      </c>
      <c r="M1007" s="9">
        <f t="shared" si="135"/>
        <v>1</v>
      </c>
      <c r="N1007" s="4" t="str">
        <f t="shared" si="136"/>
        <v xml:space="preserve"> ] 0 ; 2 ]</v>
      </c>
      <c r="O1007" s="5" t="s">
        <v>3785</v>
      </c>
      <c r="P1007" s="5" t="s">
        <v>3785</v>
      </c>
      <c r="Q1007" s="5">
        <v>1</v>
      </c>
      <c r="R1007" s="5" t="str">
        <f t="shared" si="140"/>
        <v>Specialisation</v>
      </c>
      <c r="S1007" s="5" t="s">
        <v>3790</v>
      </c>
      <c r="T1007" s="4">
        <v>34735</v>
      </c>
      <c r="U1007" s="5">
        <f t="shared" si="137"/>
        <v>1995</v>
      </c>
      <c r="V1007" s="5" t="s">
        <v>3792</v>
      </c>
      <c r="W1007" s="9">
        <f t="shared" si="138"/>
        <v>30</v>
      </c>
      <c r="X1007" s="5" t="str">
        <f t="shared" si="141"/>
        <v>[30 - 34 ans]</v>
      </c>
      <c r="Y1007" s="5" t="str">
        <f t="shared" si="142"/>
        <v xml:space="preserve"> Mellenials </v>
      </c>
      <c r="Z1007" s="9">
        <f t="shared" si="139"/>
        <v>30</v>
      </c>
      <c r="AA1007" s="5" t="str">
        <f t="shared" si="143"/>
        <v>RAS</v>
      </c>
      <c r="AB1007" s="5" t="s">
        <v>3807</v>
      </c>
      <c r="AC1007" s="6" t="s">
        <v>3799</v>
      </c>
      <c r="AE1007" s="5" t="s">
        <v>3844</v>
      </c>
      <c r="AF1007" s="5" t="s">
        <v>4481</v>
      </c>
      <c r="AG1007" s="5" t="s">
        <v>4485</v>
      </c>
      <c r="AH1007" s="5" t="s">
        <v>4489</v>
      </c>
      <c r="AI1007" s="5" t="s">
        <v>4473</v>
      </c>
      <c r="AJ1007" s="5" t="s">
        <v>4474</v>
      </c>
      <c r="AK1007" s="5">
        <v>13114</v>
      </c>
      <c r="AL1007" s="5" t="s">
        <v>3858</v>
      </c>
    </row>
    <row r="1008" spans="1:38" x14ac:dyDescent="0.3">
      <c r="A1008" s="4">
        <v>45716</v>
      </c>
      <c r="B1008" s="5" t="s">
        <v>3566</v>
      </c>
      <c r="C1008" s="5" t="s">
        <v>3567</v>
      </c>
      <c r="D1008" s="5" t="s">
        <v>3568</v>
      </c>
      <c r="E1008" s="5" t="s">
        <v>4494</v>
      </c>
      <c r="G1008" s="5" t="s">
        <v>83</v>
      </c>
      <c r="H1008" s="5" t="s">
        <v>3569</v>
      </c>
      <c r="I1008" s="5" t="s">
        <v>1482</v>
      </c>
      <c r="J1008" s="5" t="s">
        <v>82</v>
      </c>
      <c r="K1008" s="4">
        <v>45068</v>
      </c>
      <c r="L1008" s="4">
        <v>45068</v>
      </c>
      <c r="M1008" s="9">
        <f t="shared" si="135"/>
        <v>1</v>
      </c>
      <c r="N1008" s="4" t="str">
        <f t="shared" si="136"/>
        <v xml:space="preserve"> ] 0 ; 2 ]</v>
      </c>
      <c r="O1008" s="5" t="s">
        <v>3782</v>
      </c>
      <c r="P1008" s="5" t="s">
        <v>3782</v>
      </c>
      <c r="Q1008" s="5">
        <v>1</v>
      </c>
      <c r="R1008" s="5" t="str">
        <f t="shared" si="140"/>
        <v>Management &amp; Expertise</v>
      </c>
      <c r="S1008" s="5" t="s">
        <v>3789</v>
      </c>
      <c r="T1008" s="4">
        <v>32505</v>
      </c>
      <c r="U1008" s="5">
        <f t="shared" si="137"/>
        <v>1988</v>
      </c>
      <c r="V1008" s="5" t="s">
        <v>3793</v>
      </c>
      <c r="W1008" s="9">
        <f t="shared" si="138"/>
        <v>36</v>
      </c>
      <c r="X1008" s="5" t="str">
        <f t="shared" si="141"/>
        <v>[35 - 39 ans ]</v>
      </c>
      <c r="Y1008" s="5" t="str">
        <f t="shared" si="142"/>
        <v xml:space="preserve"> Mellenials </v>
      </c>
      <c r="Z1008" s="9">
        <f t="shared" si="139"/>
        <v>24</v>
      </c>
      <c r="AA1008" s="5" t="str">
        <f t="shared" si="143"/>
        <v>RAS</v>
      </c>
      <c r="AB1008" s="5" t="s">
        <v>3807</v>
      </c>
      <c r="AC1008" s="6" t="s">
        <v>3799</v>
      </c>
      <c r="AE1008" s="5" t="s">
        <v>3845</v>
      </c>
      <c r="AF1008" s="5" t="s">
        <v>4481</v>
      </c>
      <c r="AG1008" s="5" t="s">
        <v>4485</v>
      </c>
      <c r="AH1008" s="5" t="s">
        <v>4489</v>
      </c>
      <c r="AI1008" s="5" t="s">
        <v>4473</v>
      </c>
      <c r="AJ1008" s="5" t="s">
        <v>4474</v>
      </c>
      <c r="AK1008" s="5">
        <v>13114</v>
      </c>
      <c r="AL1008" s="5" t="s">
        <v>3854</v>
      </c>
    </row>
    <row r="1009" spans="1:38" x14ac:dyDescent="0.3">
      <c r="A1009" s="4">
        <v>45716</v>
      </c>
      <c r="B1009" s="5" t="s">
        <v>3570</v>
      </c>
      <c r="C1009" s="5" t="s">
        <v>3571</v>
      </c>
      <c r="D1009" s="5" t="s">
        <v>3572</v>
      </c>
      <c r="E1009" s="5" t="s">
        <v>4494</v>
      </c>
      <c r="G1009" s="5" t="s">
        <v>83</v>
      </c>
      <c r="H1009" s="5" t="s">
        <v>3573</v>
      </c>
      <c r="I1009" s="5" t="s">
        <v>1361</v>
      </c>
      <c r="J1009" s="5" t="s">
        <v>1361</v>
      </c>
      <c r="K1009" s="4">
        <v>45078</v>
      </c>
      <c r="L1009" s="4">
        <v>45078</v>
      </c>
      <c r="M1009" s="9">
        <f t="shared" si="135"/>
        <v>1</v>
      </c>
      <c r="N1009" s="4" t="str">
        <f t="shared" si="136"/>
        <v xml:space="preserve"> ] 0 ; 2 ]</v>
      </c>
      <c r="O1009" s="5" t="s">
        <v>3782</v>
      </c>
      <c r="P1009" s="5" t="s">
        <v>3782</v>
      </c>
      <c r="Q1009" s="5">
        <v>2</v>
      </c>
      <c r="R1009" s="5" t="str">
        <f t="shared" si="140"/>
        <v>Management &amp; Expertise</v>
      </c>
      <c r="S1009" s="5" t="s">
        <v>3789</v>
      </c>
      <c r="T1009" s="4">
        <v>28269</v>
      </c>
      <c r="U1009" s="5">
        <f t="shared" si="137"/>
        <v>1977</v>
      </c>
      <c r="V1009" s="5" t="s">
        <v>3793</v>
      </c>
      <c r="W1009" s="9">
        <f t="shared" si="138"/>
        <v>47</v>
      </c>
      <c r="X1009" s="5" t="str">
        <f t="shared" si="141"/>
        <v>[45 - 49 ans]</v>
      </c>
      <c r="Y1009" s="5" t="str">
        <f t="shared" si="142"/>
        <v xml:space="preserve"> Generation X </v>
      </c>
      <c r="Z1009" s="9">
        <f t="shared" si="139"/>
        <v>13</v>
      </c>
      <c r="AA1009" s="5" t="str">
        <f t="shared" si="143"/>
        <v>RAS</v>
      </c>
      <c r="AB1009" s="5" t="s">
        <v>3807</v>
      </c>
      <c r="AC1009" s="6" t="s">
        <v>3799</v>
      </c>
      <c r="AE1009" s="5" t="s">
        <v>3845</v>
      </c>
      <c r="AF1009" s="5" t="s">
        <v>4481</v>
      </c>
      <c r="AG1009" s="5" t="s">
        <v>4485</v>
      </c>
      <c r="AH1009" s="5" t="s">
        <v>4489</v>
      </c>
      <c r="AI1009" s="5" t="s">
        <v>4286</v>
      </c>
      <c r="AJ1009" s="5" t="s">
        <v>4287</v>
      </c>
      <c r="AK1009" s="5">
        <v>13120</v>
      </c>
      <c r="AL1009" s="5" t="s">
        <v>3854</v>
      </c>
    </row>
    <row r="1010" spans="1:38" x14ac:dyDescent="0.3">
      <c r="A1010" s="4">
        <v>45716</v>
      </c>
      <c r="B1010" s="5" t="s">
        <v>3574</v>
      </c>
      <c r="C1010" s="5" t="s">
        <v>3575</v>
      </c>
      <c r="D1010" s="5" t="s">
        <v>3576</v>
      </c>
      <c r="E1010" s="5" t="s">
        <v>4494</v>
      </c>
      <c r="G1010" s="5" t="s">
        <v>39</v>
      </c>
      <c r="H1010" s="5" t="s">
        <v>420</v>
      </c>
      <c r="I1010" s="5" t="s">
        <v>2981</v>
      </c>
      <c r="J1010" s="5" t="s">
        <v>1264</v>
      </c>
      <c r="K1010" s="4">
        <v>45093</v>
      </c>
      <c r="L1010" s="4">
        <v>45093</v>
      </c>
      <c r="M1010" s="9">
        <f t="shared" si="135"/>
        <v>1</v>
      </c>
      <c r="N1010" s="4" t="str">
        <f t="shared" si="136"/>
        <v xml:space="preserve"> ] 0 ; 2 ]</v>
      </c>
      <c r="O1010" s="5" t="s">
        <v>3785</v>
      </c>
      <c r="P1010" s="5" t="s">
        <v>3785</v>
      </c>
      <c r="Q1010" s="5">
        <v>1</v>
      </c>
      <c r="R1010" s="5" t="str">
        <f t="shared" si="140"/>
        <v>Specialisation</v>
      </c>
      <c r="S1010" s="5" t="s">
        <v>3790</v>
      </c>
      <c r="T1010" s="4">
        <v>34747</v>
      </c>
      <c r="U1010" s="5">
        <f t="shared" si="137"/>
        <v>1995</v>
      </c>
      <c r="V1010" s="5" t="s">
        <v>3793</v>
      </c>
      <c r="W1010" s="9">
        <f t="shared" si="138"/>
        <v>30</v>
      </c>
      <c r="X1010" s="5" t="str">
        <f t="shared" si="141"/>
        <v>[30 - 34 ans]</v>
      </c>
      <c r="Y1010" s="5" t="str">
        <f t="shared" si="142"/>
        <v xml:space="preserve"> Mellenials </v>
      </c>
      <c r="Z1010" s="9">
        <f t="shared" si="139"/>
        <v>30</v>
      </c>
      <c r="AA1010" s="5" t="str">
        <f t="shared" si="143"/>
        <v>RAS</v>
      </c>
      <c r="AB1010" s="5" t="s">
        <v>3807</v>
      </c>
      <c r="AC1010" s="6" t="s">
        <v>3799</v>
      </c>
      <c r="AE1010" s="5" t="s">
        <v>3844</v>
      </c>
      <c r="AF1010" s="5" t="s">
        <v>4481</v>
      </c>
      <c r="AG1010" s="5" t="s">
        <v>4485</v>
      </c>
      <c r="AH1010" s="5" t="s">
        <v>4489</v>
      </c>
      <c r="AI1010" s="5" t="s">
        <v>4057</v>
      </c>
      <c r="AJ1010" s="5" t="s">
        <v>4058</v>
      </c>
      <c r="AK1010" s="5" t="s">
        <v>4059</v>
      </c>
      <c r="AL1010" s="5" t="s">
        <v>3858</v>
      </c>
    </row>
    <row r="1011" spans="1:38" x14ac:dyDescent="0.3">
      <c r="A1011" s="4">
        <v>45716</v>
      </c>
      <c r="B1011" s="5" t="s">
        <v>3577</v>
      </c>
      <c r="C1011" s="5" t="s">
        <v>3578</v>
      </c>
      <c r="D1011" s="5" t="s">
        <v>3579</v>
      </c>
      <c r="E1011" s="5" t="s">
        <v>4494</v>
      </c>
      <c r="G1011" s="5" t="s">
        <v>39</v>
      </c>
      <c r="H1011" s="5" t="s">
        <v>3580</v>
      </c>
      <c r="I1011" s="5" t="s">
        <v>3274</v>
      </c>
      <c r="J1011" s="5" t="s">
        <v>1256</v>
      </c>
      <c r="K1011" s="4">
        <v>45098</v>
      </c>
      <c r="L1011" s="4">
        <v>45098</v>
      </c>
      <c r="M1011" s="9">
        <f t="shared" si="135"/>
        <v>1</v>
      </c>
      <c r="N1011" s="4" t="str">
        <f t="shared" si="136"/>
        <v xml:space="preserve"> ] 0 ; 2 ]</v>
      </c>
      <c r="O1011" s="5" t="s">
        <v>3782</v>
      </c>
      <c r="P1011" s="5" t="s">
        <v>3782</v>
      </c>
      <c r="Q1011" s="5">
        <v>1</v>
      </c>
      <c r="R1011" s="5" t="str">
        <f t="shared" si="140"/>
        <v>Management &amp; Expertise</v>
      </c>
      <c r="S1011" s="5" t="s">
        <v>3790</v>
      </c>
      <c r="T1011" s="4">
        <v>33904</v>
      </c>
      <c r="U1011" s="5">
        <f t="shared" si="137"/>
        <v>1992</v>
      </c>
      <c r="V1011" s="5" t="s">
        <v>3792</v>
      </c>
      <c r="W1011" s="9">
        <f t="shared" si="138"/>
        <v>32</v>
      </c>
      <c r="X1011" s="5" t="str">
        <f t="shared" si="141"/>
        <v>[30 - 34 ans]</v>
      </c>
      <c r="Y1011" s="5" t="str">
        <f t="shared" si="142"/>
        <v xml:space="preserve"> Mellenials </v>
      </c>
      <c r="Z1011" s="9">
        <f t="shared" si="139"/>
        <v>28</v>
      </c>
      <c r="AA1011" s="5" t="str">
        <f t="shared" si="143"/>
        <v>RAS</v>
      </c>
      <c r="AB1011" s="5" t="s">
        <v>3807</v>
      </c>
      <c r="AC1011" s="6" t="s">
        <v>3799</v>
      </c>
      <c r="AE1011" s="5" t="s">
        <v>3844</v>
      </c>
      <c r="AF1011" s="5" t="s">
        <v>4481</v>
      </c>
      <c r="AG1011" s="5" t="s">
        <v>4485</v>
      </c>
      <c r="AH1011" s="5" t="s">
        <v>4489</v>
      </c>
      <c r="AI1011" s="5" t="s">
        <v>4357</v>
      </c>
      <c r="AJ1011" s="5" t="s">
        <v>4358</v>
      </c>
      <c r="AK1011" s="5" t="s">
        <v>4280</v>
      </c>
      <c r="AL1011" s="5" t="s">
        <v>3858</v>
      </c>
    </row>
    <row r="1012" spans="1:38" x14ac:dyDescent="0.3">
      <c r="A1012" s="4">
        <v>45716</v>
      </c>
      <c r="B1012" s="5" t="s">
        <v>3581</v>
      </c>
      <c r="C1012" s="5" t="s">
        <v>3582</v>
      </c>
      <c r="D1012" s="5" t="s">
        <v>3583</v>
      </c>
      <c r="E1012" s="5" t="s">
        <v>4494</v>
      </c>
      <c r="G1012" s="5" t="s">
        <v>178</v>
      </c>
      <c r="H1012" s="5" t="s">
        <v>3584</v>
      </c>
      <c r="I1012" s="5" t="s">
        <v>1810</v>
      </c>
      <c r="J1012" s="5" t="s">
        <v>435</v>
      </c>
      <c r="K1012" s="4">
        <v>45110</v>
      </c>
      <c r="L1012" s="4">
        <v>45110</v>
      </c>
      <c r="M1012" s="9">
        <f t="shared" si="135"/>
        <v>1</v>
      </c>
      <c r="N1012" s="4" t="str">
        <f t="shared" si="136"/>
        <v xml:space="preserve"> ] 0 ; 2 ]</v>
      </c>
      <c r="O1012" s="5" t="s">
        <v>3785</v>
      </c>
      <c r="P1012" s="5" t="s">
        <v>3785</v>
      </c>
      <c r="Q1012" s="5">
        <v>1</v>
      </c>
      <c r="R1012" s="5" t="str">
        <f t="shared" si="140"/>
        <v>Specialisation</v>
      </c>
      <c r="S1012" s="5" t="s">
        <v>3789</v>
      </c>
      <c r="T1012" s="4">
        <v>33884</v>
      </c>
      <c r="U1012" s="5">
        <f t="shared" si="137"/>
        <v>1992</v>
      </c>
      <c r="V1012" s="5" t="s">
        <v>3792</v>
      </c>
      <c r="W1012" s="9">
        <f t="shared" si="138"/>
        <v>32</v>
      </c>
      <c r="X1012" s="5" t="str">
        <f t="shared" si="141"/>
        <v>[30 - 34 ans]</v>
      </c>
      <c r="Y1012" s="5" t="str">
        <f t="shared" si="142"/>
        <v xml:space="preserve"> Mellenials </v>
      </c>
      <c r="Z1012" s="9">
        <f t="shared" si="139"/>
        <v>28</v>
      </c>
      <c r="AA1012" s="5" t="str">
        <f t="shared" si="143"/>
        <v>RAS</v>
      </c>
      <c r="AB1012" s="5" t="s">
        <v>3806</v>
      </c>
      <c r="AC1012" s="6" t="s">
        <v>3799</v>
      </c>
      <c r="AE1012" s="5" t="s">
        <v>3844</v>
      </c>
      <c r="AF1012" s="5" t="s">
        <v>4481</v>
      </c>
      <c r="AG1012" s="5" t="s">
        <v>4485</v>
      </c>
      <c r="AH1012" s="5" t="s">
        <v>4488</v>
      </c>
      <c r="AI1012" s="5" t="s">
        <v>4204</v>
      </c>
      <c r="AJ1012" s="5" t="s">
        <v>4361</v>
      </c>
      <c r="AK1012" s="5" t="s">
        <v>3962</v>
      </c>
      <c r="AL1012" s="5" t="s">
        <v>3858</v>
      </c>
    </row>
    <row r="1013" spans="1:38" x14ac:dyDescent="0.3">
      <c r="A1013" s="4">
        <v>45716</v>
      </c>
      <c r="B1013" s="5" t="s">
        <v>3585</v>
      </c>
      <c r="C1013" s="5" t="s">
        <v>3586</v>
      </c>
      <c r="D1013" s="5" t="s">
        <v>3587</v>
      </c>
      <c r="E1013" s="5" t="s">
        <v>4494</v>
      </c>
      <c r="G1013" s="5" t="s">
        <v>39</v>
      </c>
      <c r="H1013" s="5" t="s">
        <v>3588</v>
      </c>
      <c r="I1013" s="5" t="s">
        <v>2525</v>
      </c>
      <c r="J1013" s="5" t="s">
        <v>120</v>
      </c>
      <c r="K1013" s="4">
        <v>45145</v>
      </c>
      <c r="L1013" s="4">
        <v>45145</v>
      </c>
      <c r="M1013" s="9">
        <f t="shared" si="135"/>
        <v>1</v>
      </c>
      <c r="N1013" s="4" t="str">
        <f t="shared" si="136"/>
        <v xml:space="preserve"> ] 0 ; 2 ]</v>
      </c>
      <c r="O1013" s="5" t="s">
        <v>3782</v>
      </c>
      <c r="P1013" s="5" t="s">
        <v>3782</v>
      </c>
      <c r="Q1013" s="5">
        <v>1</v>
      </c>
      <c r="R1013" s="5" t="str">
        <f t="shared" si="140"/>
        <v>Management &amp; Expertise</v>
      </c>
      <c r="S1013" s="5" t="s">
        <v>3790</v>
      </c>
      <c r="T1013" s="4">
        <v>34656</v>
      </c>
      <c r="U1013" s="5">
        <f t="shared" si="137"/>
        <v>1994</v>
      </c>
      <c r="V1013" s="5" t="s">
        <v>3792</v>
      </c>
      <c r="W1013" s="9">
        <f t="shared" si="138"/>
        <v>30</v>
      </c>
      <c r="X1013" s="5" t="str">
        <f t="shared" si="141"/>
        <v>[30 - 34 ans]</v>
      </c>
      <c r="Y1013" s="5" t="str">
        <f t="shared" si="142"/>
        <v xml:space="preserve"> Mellenials </v>
      </c>
      <c r="Z1013" s="9">
        <f t="shared" si="139"/>
        <v>30</v>
      </c>
      <c r="AA1013" s="5" t="str">
        <f t="shared" si="143"/>
        <v>RAS</v>
      </c>
      <c r="AB1013" s="5" t="s">
        <v>3807</v>
      </c>
      <c r="AC1013" s="6" t="s">
        <v>3799</v>
      </c>
      <c r="AE1013" s="5" t="s">
        <v>3844</v>
      </c>
      <c r="AF1013" s="5" t="s">
        <v>4481</v>
      </c>
      <c r="AG1013" s="5" t="s">
        <v>4485</v>
      </c>
      <c r="AH1013" s="5" t="s">
        <v>4489</v>
      </c>
      <c r="AI1013" s="5" t="s">
        <v>4419</v>
      </c>
      <c r="AJ1013" s="5" t="s">
        <v>4420</v>
      </c>
      <c r="AK1013" s="5" t="s">
        <v>4372</v>
      </c>
      <c r="AL1013" s="5" t="s">
        <v>3858</v>
      </c>
    </row>
    <row r="1014" spans="1:38" x14ac:dyDescent="0.3">
      <c r="A1014" s="4">
        <v>45716</v>
      </c>
      <c r="B1014" s="5" t="s">
        <v>3589</v>
      </c>
      <c r="C1014" s="5" t="s">
        <v>3590</v>
      </c>
      <c r="D1014" s="5" t="s">
        <v>3591</v>
      </c>
      <c r="E1014" s="5" t="s">
        <v>4494</v>
      </c>
      <c r="G1014" s="5" t="s">
        <v>83</v>
      </c>
      <c r="H1014" s="5" t="s">
        <v>3459</v>
      </c>
      <c r="I1014" s="5" t="s">
        <v>2844</v>
      </c>
      <c r="J1014" s="5" t="s">
        <v>1799</v>
      </c>
      <c r="K1014" s="4">
        <v>45153</v>
      </c>
      <c r="L1014" s="4">
        <v>45153</v>
      </c>
      <c r="M1014" s="9">
        <f t="shared" si="135"/>
        <v>1</v>
      </c>
      <c r="N1014" s="4" t="str">
        <f t="shared" si="136"/>
        <v xml:space="preserve"> ] 0 ; 2 ]</v>
      </c>
      <c r="O1014" s="5" t="s">
        <v>3785</v>
      </c>
      <c r="P1014" s="5" t="s">
        <v>3785</v>
      </c>
      <c r="Q1014" s="5">
        <v>1</v>
      </c>
      <c r="R1014" s="5" t="str">
        <f t="shared" si="140"/>
        <v>Specialisation</v>
      </c>
      <c r="S1014" s="5" t="s">
        <v>3790</v>
      </c>
      <c r="T1014" s="4">
        <v>34824</v>
      </c>
      <c r="U1014" s="5">
        <f t="shared" si="137"/>
        <v>1995</v>
      </c>
      <c r="V1014" s="5" t="s">
        <v>3792</v>
      </c>
      <c r="W1014" s="9">
        <f t="shared" si="138"/>
        <v>29</v>
      </c>
      <c r="X1014" s="5" t="str">
        <f t="shared" si="141"/>
        <v>[20 - 29 ans[</v>
      </c>
      <c r="Y1014" s="5" t="str">
        <f t="shared" si="142"/>
        <v xml:space="preserve"> Mellenials </v>
      </c>
      <c r="Z1014" s="9">
        <f t="shared" si="139"/>
        <v>31</v>
      </c>
      <c r="AA1014" s="5" t="str">
        <f t="shared" si="143"/>
        <v>RAS</v>
      </c>
      <c r="AB1014" s="5" t="s">
        <v>3806</v>
      </c>
      <c r="AC1014" s="6" t="s">
        <v>3799</v>
      </c>
      <c r="AE1014" s="5" t="s">
        <v>3844</v>
      </c>
      <c r="AF1014" s="5" t="s">
        <v>4481</v>
      </c>
      <c r="AG1014" s="5" t="s">
        <v>4485</v>
      </c>
      <c r="AH1014" s="5" t="s">
        <v>4489</v>
      </c>
      <c r="AI1014" s="5" t="s">
        <v>4441</v>
      </c>
      <c r="AJ1014" s="5" t="s">
        <v>4442</v>
      </c>
      <c r="AK1014" s="5" t="s">
        <v>3993</v>
      </c>
      <c r="AL1014" s="5" t="s">
        <v>3858</v>
      </c>
    </row>
    <row r="1015" spans="1:38" x14ac:dyDescent="0.3">
      <c r="A1015" s="4">
        <v>45716</v>
      </c>
      <c r="B1015" s="5" t="s">
        <v>3592</v>
      </c>
      <c r="C1015" s="5" t="s">
        <v>3593</v>
      </c>
      <c r="D1015" s="5" t="s">
        <v>3594</v>
      </c>
      <c r="E1015" s="5" t="s">
        <v>4494</v>
      </c>
      <c r="G1015" s="5" t="s">
        <v>178</v>
      </c>
      <c r="H1015" s="5" t="s">
        <v>3595</v>
      </c>
      <c r="I1015" s="5" t="s">
        <v>3778</v>
      </c>
      <c r="J1015" s="5" t="s">
        <v>1368</v>
      </c>
      <c r="K1015" s="4">
        <v>45161</v>
      </c>
      <c r="L1015" s="4">
        <v>45161</v>
      </c>
      <c r="M1015" s="9">
        <f t="shared" si="135"/>
        <v>1</v>
      </c>
      <c r="N1015" s="4" t="str">
        <f t="shared" si="136"/>
        <v xml:space="preserve"> ] 0 ; 2 ]</v>
      </c>
      <c r="O1015" s="5" t="s">
        <v>3785</v>
      </c>
      <c r="P1015" s="5" t="s">
        <v>3785</v>
      </c>
      <c r="Q1015" s="5">
        <v>1</v>
      </c>
      <c r="R1015" s="5" t="str">
        <f t="shared" si="140"/>
        <v>Specialisation</v>
      </c>
      <c r="S1015" s="5" t="s">
        <v>3790</v>
      </c>
      <c r="T1015" s="4">
        <v>30834</v>
      </c>
      <c r="U1015" s="5">
        <f t="shared" si="137"/>
        <v>1984</v>
      </c>
      <c r="V1015" s="5" t="s">
        <v>3793</v>
      </c>
      <c r="W1015" s="9">
        <f t="shared" si="138"/>
        <v>40</v>
      </c>
      <c r="X1015" s="5" t="str">
        <f t="shared" si="141"/>
        <v>[40 - 44 ans]</v>
      </c>
      <c r="Y1015" s="5" t="str">
        <f t="shared" si="142"/>
        <v xml:space="preserve"> Mellenials </v>
      </c>
      <c r="Z1015" s="9">
        <f t="shared" si="139"/>
        <v>20</v>
      </c>
      <c r="AA1015" s="5" t="str">
        <f t="shared" si="143"/>
        <v>RAS</v>
      </c>
      <c r="AB1015" s="5" t="s">
        <v>3806</v>
      </c>
      <c r="AC1015" s="6" t="s">
        <v>3799</v>
      </c>
      <c r="AE1015" s="5" t="s">
        <v>3844</v>
      </c>
      <c r="AF1015" s="5" t="s">
        <v>4481</v>
      </c>
      <c r="AG1015" s="5" t="s">
        <v>4485</v>
      </c>
      <c r="AH1015" s="5" t="s">
        <v>4488</v>
      </c>
      <c r="AI1015" s="5" t="s">
        <v>4378</v>
      </c>
      <c r="AJ1015" s="5" t="s">
        <v>4379</v>
      </c>
      <c r="AK1015" s="5" t="s">
        <v>4380</v>
      </c>
      <c r="AL1015" s="5" t="s">
        <v>3858</v>
      </c>
    </row>
    <row r="1016" spans="1:38" x14ac:dyDescent="0.3">
      <c r="A1016" s="4">
        <v>45716</v>
      </c>
      <c r="B1016" s="5" t="s">
        <v>3596</v>
      </c>
      <c r="C1016" s="5" t="s">
        <v>3597</v>
      </c>
      <c r="D1016" s="5" t="s">
        <v>3598</v>
      </c>
      <c r="E1016" s="5" t="s">
        <v>4494</v>
      </c>
      <c r="G1016" s="5" t="s">
        <v>39</v>
      </c>
      <c r="H1016" s="5" t="s">
        <v>3102</v>
      </c>
      <c r="I1016" s="5" t="s">
        <v>1425</v>
      </c>
      <c r="J1016" s="5" t="s">
        <v>3777</v>
      </c>
      <c r="K1016" s="4">
        <v>45200</v>
      </c>
      <c r="L1016" s="4">
        <v>45200</v>
      </c>
      <c r="M1016" s="9">
        <f t="shared" si="135"/>
        <v>1</v>
      </c>
      <c r="N1016" s="4" t="str">
        <f t="shared" si="136"/>
        <v xml:space="preserve"> ] 0 ; 2 ]</v>
      </c>
      <c r="O1016" s="5" t="s">
        <v>3782</v>
      </c>
      <c r="P1016" s="5" t="s">
        <v>3782</v>
      </c>
      <c r="Q1016" s="5">
        <v>1</v>
      </c>
      <c r="R1016" s="5" t="str">
        <f t="shared" si="140"/>
        <v>Management &amp; Expertise</v>
      </c>
      <c r="S1016" s="5" t="s">
        <v>3790</v>
      </c>
      <c r="T1016" s="4">
        <v>29271</v>
      </c>
      <c r="U1016" s="5">
        <f t="shared" si="137"/>
        <v>1980</v>
      </c>
      <c r="V1016" s="5" t="s">
        <v>3793</v>
      </c>
      <c r="W1016" s="9">
        <f t="shared" si="138"/>
        <v>45</v>
      </c>
      <c r="X1016" s="5" t="str">
        <f t="shared" si="141"/>
        <v>[45 - 49 ans]</v>
      </c>
      <c r="Y1016" s="5" t="str">
        <f t="shared" si="142"/>
        <v xml:space="preserve"> Generation X </v>
      </c>
      <c r="Z1016" s="9">
        <f t="shared" si="139"/>
        <v>15</v>
      </c>
      <c r="AA1016" s="5" t="str">
        <f t="shared" si="143"/>
        <v>RAS</v>
      </c>
      <c r="AB1016" s="5" t="s">
        <v>3807</v>
      </c>
      <c r="AC1016" s="6" t="s">
        <v>3799</v>
      </c>
      <c r="AE1016" s="5" t="s">
        <v>3844</v>
      </c>
      <c r="AF1016" s="5" t="s">
        <v>4481</v>
      </c>
      <c r="AG1016" s="5" t="s">
        <v>4485</v>
      </c>
      <c r="AH1016" s="5" t="s">
        <v>4489</v>
      </c>
      <c r="AI1016" s="5" t="s">
        <v>4304</v>
      </c>
      <c r="AJ1016" s="5" t="s">
        <v>4305</v>
      </c>
      <c r="AK1016" s="5" t="s">
        <v>4306</v>
      </c>
      <c r="AL1016" s="5" t="s">
        <v>3858</v>
      </c>
    </row>
    <row r="1017" spans="1:38" x14ac:dyDescent="0.3">
      <c r="A1017" s="4">
        <v>45716</v>
      </c>
      <c r="B1017" s="5" t="s">
        <v>3599</v>
      </c>
      <c r="C1017" s="5" t="s">
        <v>3600</v>
      </c>
      <c r="D1017" s="5" t="s">
        <v>3601</v>
      </c>
      <c r="E1017" s="5" t="s">
        <v>4494</v>
      </c>
      <c r="G1017" s="5" t="s">
        <v>178</v>
      </c>
      <c r="H1017" s="5" t="s">
        <v>3584</v>
      </c>
      <c r="I1017" s="5" t="s">
        <v>1810</v>
      </c>
      <c r="J1017" s="5" t="s">
        <v>435</v>
      </c>
      <c r="K1017" s="4">
        <v>45201</v>
      </c>
      <c r="L1017" s="4">
        <v>45201</v>
      </c>
      <c r="M1017" s="9">
        <f t="shared" si="135"/>
        <v>1</v>
      </c>
      <c r="N1017" s="4" t="str">
        <f t="shared" si="136"/>
        <v xml:space="preserve"> ] 0 ; 2 ]</v>
      </c>
      <c r="O1017" s="5" t="s">
        <v>3785</v>
      </c>
      <c r="P1017" s="5" t="s">
        <v>3785</v>
      </c>
      <c r="Q1017" s="5">
        <v>2</v>
      </c>
      <c r="R1017" s="5" t="str">
        <f t="shared" si="140"/>
        <v>Specialisation</v>
      </c>
      <c r="S1017" s="5" t="s">
        <v>3789</v>
      </c>
      <c r="T1017" s="4">
        <v>32090</v>
      </c>
      <c r="U1017" s="5">
        <f t="shared" si="137"/>
        <v>1987</v>
      </c>
      <c r="V1017" s="5" t="s">
        <v>3793</v>
      </c>
      <c r="W1017" s="9">
        <f t="shared" si="138"/>
        <v>37</v>
      </c>
      <c r="X1017" s="5" t="str">
        <f t="shared" si="141"/>
        <v>[35 - 39 ans ]</v>
      </c>
      <c r="Y1017" s="5" t="str">
        <f t="shared" si="142"/>
        <v xml:space="preserve"> Mellenials </v>
      </c>
      <c r="Z1017" s="9">
        <f t="shared" si="139"/>
        <v>23</v>
      </c>
      <c r="AA1017" s="5" t="str">
        <f t="shared" si="143"/>
        <v>RAS</v>
      </c>
      <c r="AB1017" s="5" t="s">
        <v>3806</v>
      </c>
      <c r="AC1017" s="6" t="s">
        <v>3799</v>
      </c>
      <c r="AE1017" s="5" t="s">
        <v>3844</v>
      </c>
      <c r="AF1017" s="5" t="s">
        <v>4481</v>
      </c>
      <c r="AG1017" s="5" t="s">
        <v>4485</v>
      </c>
      <c r="AH1017" s="5" t="s">
        <v>4488</v>
      </c>
      <c r="AI1017" s="5" t="s">
        <v>4204</v>
      </c>
      <c r="AJ1017" s="5" t="s">
        <v>4361</v>
      </c>
      <c r="AK1017" s="5" t="s">
        <v>3962</v>
      </c>
      <c r="AL1017" s="5" t="s">
        <v>3858</v>
      </c>
    </row>
    <row r="1018" spans="1:38" x14ac:dyDescent="0.3">
      <c r="A1018" s="4">
        <v>45716</v>
      </c>
      <c r="B1018" s="5" t="s">
        <v>3602</v>
      </c>
      <c r="C1018" s="5" t="s">
        <v>3603</v>
      </c>
      <c r="D1018" s="5" t="s">
        <v>3604</v>
      </c>
      <c r="E1018" s="5" t="s">
        <v>4494</v>
      </c>
      <c r="G1018" s="5" t="s">
        <v>83</v>
      </c>
      <c r="H1018" s="5" t="s">
        <v>3259</v>
      </c>
      <c r="I1018" s="5" t="s">
        <v>274</v>
      </c>
      <c r="J1018" s="5" t="s">
        <v>1799</v>
      </c>
      <c r="K1018" s="4">
        <v>45205</v>
      </c>
      <c r="L1018" s="4">
        <v>45205</v>
      </c>
      <c r="M1018" s="9">
        <f t="shared" si="135"/>
        <v>1</v>
      </c>
      <c r="N1018" s="4" t="str">
        <f t="shared" si="136"/>
        <v xml:space="preserve"> ] 0 ; 2 ]</v>
      </c>
      <c r="O1018" s="5" t="s">
        <v>3785</v>
      </c>
      <c r="P1018" s="5" t="s">
        <v>3785</v>
      </c>
      <c r="Q1018" s="5">
        <v>1</v>
      </c>
      <c r="R1018" s="5" t="str">
        <f t="shared" si="140"/>
        <v>Specialisation</v>
      </c>
      <c r="S1018" s="5" t="s">
        <v>3789</v>
      </c>
      <c r="T1018" s="4">
        <v>34981</v>
      </c>
      <c r="U1018" s="5">
        <f t="shared" si="137"/>
        <v>1995</v>
      </c>
      <c r="V1018" s="5" t="s">
        <v>3792</v>
      </c>
      <c r="W1018" s="9">
        <f t="shared" si="138"/>
        <v>29</v>
      </c>
      <c r="X1018" s="5" t="str">
        <f t="shared" si="141"/>
        <v>[20 - 29 ans[</v>
      </c>
      <c r="Y1018" s="5" t="str">
        <f t="shared" si="142"/>
        <v xml:space="preserve"> Mellenials </v>
      </c>
      <c r="Z1018" s="9">
        <f t="shared" si="139"/>
        <v>31</v>
      </c>
      <c r="AA1018" s="5" t="str">
        <f t="shared" si="143"/>
        <v>RAS</v>
      </c>
      <c r="AB1018" s="5" t="s">
        <v>3806</v>
      </c>
      <c r="AC1018" s="6" t="s">
        <v>3799</v>
      </c>
      <c r="AE1018" s="5" t="s">
        <v>3844</v>
      </c>
      <c r="AF1018" s="5" t="s">
        <v>4481</v>
      </c>
      <c r="AG1018" s="5" t="s">
        <v>4485</v>
      </c>
      <c r="AH1018" s="5" t="s">
        <v>4489</v>
      </c>
      <c r="AI1018" s="5" t="s">
        <v>3991</v>
      </c>
      <c r="AJ1018" s="5" t="s">
        <v>3992</v>
      </c>
      <c r="AK1018" s="5" t="s">
        <v>3993</v>
      </c>
      <c r="AL1018" s="5" t="s">
        <v>3858</v>
      </c>
    </row>
    <row r="1019" spans="1:38" x14ac:dyDescent="0.3">
      <c r="A1019" s="4">
        <v>45716</v>
      </c>
      <c r="B1019" s="5" t="s">
        <v>3605</v>
      </c>
      <c r="C1019" s="5" t="s">
        <v>3606</v>
      </c>
      <c r="D1019" s="5" t="s">
        <v>3607</v>
      </c>
      <c r="E1019" s="5" t="s">
        <v>4494</v>
      </c>
      <c r="G1019" s="5" t="s">
        <v>83</v>
      </c>
      <c r="H1019" s="5" t="s">
        <v>3408</v>
      </c>
      <c r="I1019" s="5" t="s">
        <v>3278</v>
      </c>
      <c r="J1019" s="5" t="s">
        <v>1222</v>
      </c>
      <c r="K1019" s="4">
        <v>45231</v>
      </c>
      <c r="L1019" s="4">
        <v>45231</v>
      </c>
      <c r="M1019" s="9">
        <f t="shared" si="135"/>
        <v>1</v>
      </c>
      <c r="N1019" s="4" t="str">
        <f t="shared" si="136"/>
        <v xml:space="preserve"> ] 0 ; 2 ]</v>
      </c>
      <c r="O1019" s="5" t="s">
        <v>3785</v>
      </c>
      <c r="P1019" s="5" t="s">
        <v>3785</v>
      </c>
      <c r="Q1019" s="5">
        <v>2</v>
      </c>
      <c r="R1019" s="5" t="str">
        <f t="shared" si="140"/>
        <v>Specialisation</v>
      </c>
      <c r="S1019" s="5" t="s">
        <v>3790</v>
      </c>
      <c r="T1019" s="4">
        <v>32604</v>
      </c>
      <c r="U1019" s="5">
        <f t="shared" si="137"/>
        <v>1989</v>
      </c>
      <c r="V1019" s="5" t="s">
        <v>3793</v>
      </c>
      <c r="W1019" s="9">
        <f t="shared" si="138"/>
        <v>35</v>
      </c>
      <c r="X1019" s="5" t="str">
        <f t="shared" si="141"/>
        <v>[35 - 39 ans ]</v>
      </c>
      <c r="Y1019" s="5" t="str">
        <f t="shared" si="142"/>
        <v xml:space="preserve"> Mellenials </v>
      </c>
      <c r="Z1019" s="9">
        <f t="shared" si="139"/>
        <v>25</v>
      </c>
      <c r="AA1019" s="5" t="str">
        <f t="shared" si="143"/>
        <v>RAS</v>
      </c>
      <c r="AB1019" s="5" t="s">
        <v>3807</v>
      </c>
      <c r="AC1019" s="6" t="s">
        <v>3799</v>
      </c>
      <c r="AE1019" s="5" t="s">
        <v>3844</v>
      </c>
      <c r="AF1019" s="5" t="s">
        <v>4481</v>
      </c>
      <c r="AG1019" s="5" t="s">
        <v>4485</v>
      </c>
      <c r="AH1019" s="5" t="s">
        <v>4489</v>
      </c>
      <c r="AI1019" s="5" t="s">
        <v>4137</v>
      </c>
      <c r="AJ1019" s="5" t="s">
        <v>4418</v>
      </c>
      <c r="AK1019" s="5" t="s">
        <v>3903</v>
      </c>
      <c r="AL1019" s="5" t="s">
        <v>3858</v>
      </c>
    </row>
    <row r="1020" spans="1:38" x14ac:dyDescent="0.3">
      <c r="A1020" s="4">
        <v>45716</v>
      </c>
      <c r="B1020" s="5" t="s">
        <v>3608</v>
      </c>
      <c r="C1020" s="5" t="s">
        <v>3609</v>
      </c>
      <c r="D1020" s="5" t="s">
        <v>3610</v>
      </c>
      <c r="E1020" s="5" t="s">
        <v>4494</v>
      </c>
      <c r="G1020" s="5" t="s">
        <v>88</v>
      </c>
      <c r="H1020" s="5" t="s">
        <v>456</v>
      </c>
      <c r="I1020" s="5" t="s">
        <v>2034</v>
      </c>
      <c r="J1020" s="5" t="s">
        <v>883</v>
      </c>
      <c r="K1020" s="4">
        <v>45292</v>
      </c>
      <c r="L1020" s="4">
        <v>45292</v>
      </c>
      <c r="M1020" s="9">
        <f t="shared" si="135"/>
        <v>1</v>
      </c>
      <c r="N1020" s="4" t="str">
        <f t="shared" si="136"/>
        <v xml:space="preserve"> ] 0 ; 2 ]</v>
      </c>
      <c r="O1020" s="5" t="s">
        <v>3780</v>
      </c>
      <c r="P1020" s="5" t="s">
        <v>3780</v>
      </c>
      <c r="Q1020" s="5">
        <v>1</v>
      </c>
      <c r="R1020" s="5" t="str">
        <f t="shared" si="140"/>
        <v>Qualification</v>
      </c>
      <c r="S1020" s="5" t="s">
        <v>3790</v>
      </c>
      <c r="T1020" s="4">
        <v>33728</v>
      </c>
      <c r="U1020" s="5">
        <f t="shared" si="137"/>
        <v>1992</v>
      </c>
      <c r="V1020" s="5" t="s">
        <v>3793</v>
      </c>
      <c r="W1020" s="9">
        <f t="shared" si="138"/>
        <v>32</v>
      </c>
      <c r="X1020" s="5" t="str">
        <f t="shared" si="141"/>
        <v>[30 - 34 ans]</v>
      </c>
      <c r="Y1020" s="5" t="str">
        <f t="shared" si="142"/>
        <v xml:space="preserve"> Mellenials </v>
      </c>
      <c r="Z1020" s="9">
        <f t="shared" si="139"/>
        <v>28</v>
      </c>
      <c r="AA1020" s="5" t="str">
        <f t="shared" si="143"/>
        <v>RAS</v>
      </c>
      <c r="AB1020" s="5" t="s">
        <v>3839</v>
      </c>
      <c r="AC1020" s="6" t="s">
        <v>3800</v>
      </c>
      <c r="AE1020" s="5" t="s">
        <v>3844</v>
      </c>
      <c r="AF1020" s="5" t="s">
        <v>4482</v>
      </c>
      <c r="AG1020" s="5" t="s">
        <v>4485</v>
      </c>
      <c r="AH1020" s="5" t="s">
        <v>4488</v>
      </c>
      <c r="AI1020" s="5" t="s">
        <v>4386</v>
      </c>
      <c r="AJ1020" s="5" t="s">
        <v>3839</v>
      </c>
      <c r="AK1020" s="5" t="s">
        <v>4387</v>
      </c>
      <c r="AL1020" s="5" t="s">
        <v>3858</v>
      </c>
    </row>
    <row r="1021" spans="1:38" x14ac:dyDescent="0.3">
      <c r="A1021" s="4">
        <v>45716</v>
      </c>
      <c r="B1021" s="5" t="s">
        <v>3611</v>
      </c>
      <c r="C1021" s="5" t="s">
        <v>3612</v>
      </c>
      <c r="D1021" s="5" t="s">
        <v>3613</v>
      </c>
      <c r="E1021" s="5" t="s">
        <v>4494</v>
      </c>
      <c r="G1021" s="5" t="s">
        <v>88</v>
      </c>
      <c r="H1021" s="5" t="s">
        <v>456</v>
      </c>
      <c r="I1021" s="5" t="s">
        <v>2034</v>
      </c>
      <c r="J1021" s="5" t="s">
        <v>883</v>
      </c>
      <c r="K1021" s="4">
        <v>45292</v>
      </c>
      <c r="L1021" s="4">
        <v>45292</v>
      </c>
      <c r="M1021" s="9">
        <f t="shared" si="135"/>
        <v>1</v>
      </c>
      <c r="N1021" s="4" t="str">
        <f t="shared" si="136"/>
        <v xml:space="preserve"> ] 0 ; 2 ]</v>
      </c>
      <c r="O1021" s="5" t="s">
        <v>3780</v>
      </c>
      <c r="P1021" s="5" t="s">
        <v>3780</v>
      </c>
      <c r="Q1021" s="5">
        <v>1</v>
      </c>
      <c r="R1021" s="5" t="str">
        <f t="shared" si="140"/>
        <v>Qualification</v>
      </c>
      <c r="S1021" s="5" t="s">
        <v>3789</v>
      </c>
      <c r="T1021" s="4">
        <v>33790</v>
      </c>
      <c r="U1021" s="5">
        <f t="shared" si="137"/>
        <v>1992</v>
      </c>
      <c r="V1021" s="5" t="s">
        <v>3792</v>
      </c>
      <c r="W1021" s="9">
        <f t="shared" si="138"/>
        <v>32</v>
      </c>
      <c r="X1021" s="5" t="str">
        <f t="shared" si="141"/>
        <v>[30 - 34 ans]</v>
      </c>
      <c r="Y1021" s="5" t="str">
        <f t="shared" si="142"/>
        <v xml:space="preserve"> Mellenials </v>
      </c>
      <c r="Z1021" s="9">
        <f t="shared" si="139"/>
        <v>28</v>
      </c>
      <c r="AA1021" s="5" t="str">
        <f t="shared" si="143"/>
        <v>RAS</v>
      </c>
      <c r="AB1021" s="5" t="s">
        <v>3839</v>
      </c>
      <c r="AC1021" s="6" t="s">
        <v>3800</v>
      </c>
      <c r="AE1021" s="5" t="s">
        <v>3844</v>
      </c>
      <c r="AF1021" s="5" t="s">
        <v>4482</v>
      </c>
      <c r="AG1021" s="5" t="s">
        <v>4485</v>
      </c>
      <c r="AH1021" s="5" t="s">
        <v>4488</v>
      </c>
      <c r="AI1021" s="5" t="s">
        <v>4386</v>
      </c>
      <c r="AJ1021" s="5" t="s">
        <v>3839</v>
      </c>
      <c r="AK1021" s="5" t="s">
        <v>4387</v>
      </c>
      <c r="AL1021" s="5" t="s">
        <v>3858</v>
      </c>
    </row>
    <row r="1022" spans="1:38" x14ac:dyDescent="0.3">
      <c r="A1022" s="4">
        <v>45716</v>
      </c>
      <c r="B1022" s="5" t="s">
        <v>3614</v>
      </c>
      <c r="C1022" s="5" t="s">
        <v>3615</v>
      </c>
      <c r="D1022" s="5" t="s">
        <v>3616</v>
      </c>
      <c r="E1022" s="5" t="s">
        <v>4494</v>
      </c>
      <c r="G1022" s="5" t="s">
        <v>88</v>
      </c>
      <c r="H1022" s="5" t="s">
        <v>456</v>
      </c>
      <c r="I1022" s="5" t="s">
        <v>2113</v>
      </c>
      <c r="J1022" s="5" t="s">
        <v>883</v>
      </c>
      <c r="K1022" s="4">
        <v>45292</v>
      </c>
      <c r="L1022" s="4">
        <v>45292</v>
      </c>
      <c r="M1022" s="9">
        <f t="shared" si="135"/>
        <v>1</v>
      </c>
      <c r="N1022" s="4" t="str">
        <f t="shared" si="136"/>
        <v xml:space="preserve"> ] 0 ; 2 ]</v>
      </c>
      <c r="O1022" s="5" t="s">
        <v>3780</v>
      </c>
      <c r="P1022" s="5" t="s">
        <v>3780</v>
      </c>
      <c r="Q1022" s="5">
        <v>1</v>
      </c>
      <c r="R1022" s="5" t="str">
        <f t="shared" si="140"/>
        <v>Qualification</v>
      </c>
      <c r="S1022" s="5" t="s">
        <v>3790</v>
      </c>
      <c r="T1022" s="4">
        <v>34248</v>
      </c>
      <c r="U1022" s="5">
        <f t="shared" si="137"/>
        <v>1993</v>
      </c>
      <c r="V1022" s="5" t="s">
        <v>3792</v>
      </c>
      <c r="W1022" s="9">
        <f t="shared" si="138"/>
        <v>31</v>
      </c>
      <c r="X1022" s="5" t="str">
        <f t="shared" si="141"/>
        <v>[30 - 34 ans]</v>
      </c>
      <c r="Y1022" s="5" t="str">
        <f t="shared" si="142"/>
        <v xml:space="preserve"> Mellenials </v>
      </c>
      <c r="Z1022" s="9">
        <f t="shared" si="139"/>
        <v>29</v>
      </c>
      <c r="AA1022" s="5" t="str">
        <f t="shared" si="143"/>
        <v>RAS</v>
      </c>
      <c r="AB1022" s="5" t="s">
        <v>3840</v>
      </c>
      <c r="AC1022" s="6" t="s">
        <v>3800</v>
      </c>
      <c r="AE1022" s="5" t="s">
        <v>3844</v>
      </c>
      <c r="AF1022" s="5" t="s">
        <v>4482</v>
      </c>
      <c r="AG1022" s="5" t="s">
        <v>4485</v>
      </c>
      <c r="AH1022" s="5" t="s">
        <v>4488</v>
      </c>
      <c r="AI1022" s="5" t="s">
        <v>4318</v>
      </c>
      <c r="AJ1022" s="5" t="s">
        <v>3840</v>
      </c>
      <c r="AK1022" s="5" t="s">
        <v>4319</v>
      </c>
      <c r="AL1022" s="5" t="s">
        <v>3858</v>
      </c>
    </row>
    <row r="1023" spans="1:38" x14ac:dyDescent="0.3">
      <c r="A1023" s="4">
        <v>45716</v>
      </c>
      <c r="B1023" s="5" t="s">
        <v>3617</v>
      </c>
      <c r="C1023" s="5" t="s">
        <v>3618</v>
      </c>
      <c r="D1023" s="5" t="s">
        <v>3619</v>
      </c>
      <c r="E1023" s="5" t="s">
        <v>4494</v>
      </c>
      <c r="G1023" s="5" t="s">
        <v>83</v>
      </c>
      <c r="H1023" s="5" t="s">
        <v>3469</v>
      </c>
      <c r="I1023" s="5" t="s">
        <v>82</v>
      </c>
      <c r="J1023" s="5" t="s">
        <v>2841</v>
      </c>
      <c r="K1023" s="4">
        <v>45309</v>
      </c>
      <c r="L1023" s="4">
        <v>45309</v>
      </c>
      <c r="M1023" s="9">
        <f t="shared" si="135"/>
        <v>1</v>
      </c>
      <c r="N1023" s="4" t="str">
        <f t="shared" si="136"/>
        <v xml:space="preserve"> ] 0 ; 2 ]</v>
      </c>
      <c r="O1023" s="5" t="s">
        <v>3785</v>
      </c>
      <c r="P1023" s="5" t="s">
        <v>3785</v>
      </c>
      <c r="Q1023" s="5">
        <v>1</v>
      </c>
      <c r="R1023" s="5" t="str">
        <f t="shared" si="140"/>
        <v>Specialisation</v>
      </c>
      <c r="S1023" s="5" t="s">
        <v>3789</v>
      </c>
      <c r="T1023" s="4">
        <v>35816</v>
      </c>
      <c r="U1023" s="5">
        <f t="shared" si="137"/>
        <v>1998</v>
      </c>
      <c r="V1023" s="5" t="s">
        <v>3792</v>
      </c>
      <c r="W1023" s="9">
        <f t="shared" si="138"/>
        <v>27</v>
      </c>
      <c r="X1023" s="5" t="str">
        <f t="shared" si="141"/>
        <v>[20 - 29 ans[</v>
      </c>
      <c r="Y1023" s="5" t="str">
        <f t="shared" si="142"/>
        <v xml:space="preserve"> Gen Z </v>
      </c>
      <c r="Z1023" s="9">
        <f t="shared" si="139"/>
        <v>33</v>
      </c>
      <c r="AA1023" s="5" t="str">
        <f t="shared" si="143"/>
        <v>RAS</v>
      </c>
      <c r="AB1023" s="5" t="s">
        <v>3807</v>
      </c>
      <c r="AC1023" s="6" t="s">
        <v>3799</v>
      </c>
      <c r="AE1023" s="5" t="s">
        <v>3844</v>
      </c>
      <c r="AF1023" s="5" t="s">
        <v>4481</v>
      </c>
      <c r="AG1023" s="5" t="s">
        <v>4485</v>
      </c>
      <c r="AH1023" s="5" t="s">
        <v>4489</v>
      </c>
      <c r="AI1023" s="5" t="s">
        <v>4470</v>
      </c>
      <c r="AJ1023" s="5" t="s">
        <v>4471</v>
      </c>
      <c r="AK1023" s="5" t="s">
        <v>4472</v>
      </c>
      <c r="AL1023" s="5" t="s">
        <v>3858</v>
      </c>
    </row>
    <row r="1024" spans="1:38" x14ac:dyDescent="0.3">
      <c r="A1024" s="4">
        <v>45716</v>
      </c>
      <c r="B1024" s="5" t="s">
        <v>3620</v>
      </c>
      <c r="C1024" s="5" t="s">
        <v>3621</v>
      </c>
      <c r="D1024" s="5" t="s">
        <v>3622</v>
      </c>
      <c r="E1024" s="5" t="s">
        <v>4494</v>
      </c>
      <c r="G1024" s="5" t="s">
        <v>137</v>
      </c>
      <c r="H1024" s="5" t="s">
        <v>3623</v>
      </c>
      <c r="I1024" s="5" t="s">
        <v>381</v>
      </c>
      <c r="J1024" s="5" t="s">
        <v>1346</v>
      </c>
      <c r="K1024" s="4">
        <v>45303</v>
      </c>
      <c r="L1024" s="4">
        <v>45303</v>
      </c>
      <c r="M1024" s="9">
        <f t="shared" si="135"/>
        <v>1</v>
      </c>
      <c r="N1024" s="4" t="str">
        <f t="shared" si="136"/>
        <v xml:space="preserve"> ] 0 ; 2 ]</v>
      </c>
      <c r="O1024" s="5" t="s">
        <v>3785</v>
      </c>
      <c r="P1024" s="5" t="s">
        <v>3785</v>
      </c>
      <c r="Q1024" s="5">
        <v>1</v>
      </c>
      <c r="R1024" s="5" t="str">
        <f t="shared" si="140"/>
        <v>Specialisation</v>
      </c>
      <c r="S1024" s="5" t="s">
        <v>3789</v>
      </c>
      <c r="T1024" s="4">
        <v>34136</v>
      </c>
      <c r="U1024" s="5">
        <f t="shared" si="137"/>
        <v>1993</v>
      </c>
      <c r="V1024" s="5" t="s">
        <v>3792</v>
      </c>
      <c r="W1024" s="9">
        <f t="shared" si="138"/>
        <v>31</v>
      </c>
      <c r="X1024" s="5" t="str">
        <f t="shared" si="141"/>
        <v>[30 - 34 ans]</v>
      </c>
      <c r="Y1024" s="5" t="str">
        <f t="shared" si="142"/>
        <v xml:space="preserve"> Mellenials </v>
      </c>
      <c r="Z1024" s="9">
        <f t="shared" si="139"/>
        <v>29</v>
      </c>
      <c r="AA1024" s="5" t="str">
        <f t="shared" si="143"/>
        <v>RAS</v>
      </c>
      <c r="AB1024" s="5" t="s">
        <v>3806</v>
      </c>
      <c r="AC1024" s="6" t="s">
        <v>3799</v>
      </c>
      <c r="AE1024" s="5" t="s">
        <v>3844</v>
      </c>
      <c r="AF1024" s="5" t="s">
        <v>4481</v>
      </c>
      <c r="AG1024" s="5" t="s">
        <v>4485</v>
      </c>
      <c r="AH1024" s="5" t="s">
        <v>4487</v>
      </c>
      <c r="AI1024" s="5" t="s">
        <v>4452</v>
      </c>
      <c r="AJ1024" s="5" t="s">
        <v>4453</v>
      </c>
      <c r="AK1024" s="5" t="s">
        <v>4454</v>
      </c>
      <c r="AL1024" s="5" t="s">
        <v>3858</v>
      </c>
    </row>
    <row r="1025" spans="1:38" x14ac:dyDescent="0.3">
      <c r="A1025" s="4">
        <v>45716</v>
      </c>
      <c r="B1025" s="5" t="s">
        <v>3624</v>
      </c>
      <c r="C1025" s="5" t="s">
        <v>3625</v>
      </c>
      <c r="D1025" s="5" t="s">
        <v>3626</v>
      </c>
      <c r="E1025" s="5" t="s">
        <v>4494</v>
      </c>
      <c r="G1025" s="5" t="s">
        <v>83</v>
      </c>
      <c r="H1025" s="5" t="s">
        <v>3565</v>
      </c>
      <c r="I1025" s="5" t="s">
        <v>3568</v>
      </c>
      <c r="J1025" s="5" t="s">
        <v>82</v>
      </c>
      <c r="K1025" s="4">
        <v>45345</v>
      </c>
      <c r="L1025" s="4">
        <v>45345</v>
      </c>
      <c r="M1025" s="9">
        <f t="shared" ref="M1025:M1088" si="144">DATEDIF(L1025,A1025,"y")</f>
        <v>1</v>
      </c>
      <c r="N1025" s="4" t="str">
        <f t="shared" ref="N1025:N1069" si="145">IF(M1025&lt;=2," ] 0 ; 2 ]",IF(AND(M1025&gt;2,M1025&lt;=5),"] 2 ; 5 ]",IF(AND(M1025&gt;5,M1025&lt;=8),"] 5 ; 8 ]",IF(AND(M1025&gt;8,M1025&lt;=10),"] 8 ; 10 ]",IF(AND(M1025&gt;10,M1025&lt;=15),"] 10 ; 15 ]","] 15 ; +oo [")))))</f>
        <v xml:space="preserve"> ] 0 ; 2 ]</v>
      </c>
      <c r="O1025" s="5" t="s">
        <v>3785</v>
      </c>
      <c r="P1025" s="5" t="s">
        <v>3785</v>
      </c>
      <c r="Q1025" s="5">
        <v>1</v>
      </c>
      <c r="R1025" s="5" t="str">
        <f t="shared" si="140"/>
        <v>Specialisation</v>
      </c>
      <c r="S1025" s="5" t="s">
        <v>3789</v>
      </c>
      <c r="T1025" s="4">
        <v>35950</v>
      </c>
      <c r="U1025" s="5">
        <f t="shared" ref="U1025:U1069" si="146">YEAR(T1025)</f>
        <v>1998</v>
      </c>
      <c r="V1025" s="5" t="s">
        <v>3792</v>
      </c>
      <c r="W1025" s="9">
        <f t="shared" ref="W1025:W1069" si="147">DATEDIF(T1025,A1025,"y")</f>
        <v>26</v>
      </c>
      <c r="X1025" s="5" t="str">
        <f t="shared" si="141"/>
        <v>[20 - 29 ans[</v>
      </c>
      <c r="Y1025" s="5" t="str">
        <f t="shared" si="142"/>
        <v xml:space="preserve"> Gen Z </v>
      </c>
      <c r="Z1025" s="9">
        <f t="shared" ref="Z1025:Z1069" si="148">60-W1025</f>
        <v>34</v>
      </c>
      <c r="AA1025" s="5" t="str">
        <f t="shared" si="143"/>
        <v>RAS</v>
      </c>
      <c r="AB1025" s="5" t="s">
        <v>3807</v>
      </c>
      <c r="AC1025" s="6" t="s">
        <v>3799</v>
      </c>
      <c r="AE1025" s="5" t="s">
        <v>3844</v>
      </c>
      <c r="AF1025" s="5" t="s">
        <v>4481</v>
      </c>
      <c r="AG1025" s="5" t="s">
        <v>4485</v>
      </c>
      <c r="AH1025" s="5" t="s">
        <v>4489</v>
      </c>
      <c r="AI1025" s="5" t="s">
        <v>4473</v>
      </c>
      <c r="AJ1025" s="5" t="s">
        <v>4474</v>
      </c>
      <c r="AK1025" s="5" t="s">
        <v>4475</v>
      </c>
      <c r="AL1025" s="5" t="s">
        <v>3858</v>
      </c>
    </row>
    <row r="1026" spans="1:38" x14ac:dyDescent="0.3">
      <c r="A1026" s="4">
        <v>45716</v>
      </c>
      <c r="B1026" s="5" t="s">
        <v>3627</v>
      </c>
      <c r="C1026" s="5" t="s">
        <v>3628</v>
      </c>
      <c r="D1026" s="5" t="s">
        <v>3629</v>
      </c>
      <c r="E1026" s="5" t="s">
        <v>4494</v>
      </c>
      <c r="G1026" s="5" t="s">
        <v>39</v>
      </c>
      <c r="H1026" s="5" t="s">
        <v>3630</v>
      </c>
      <c r="I1026" s="5" t="s">
        <v>1447</v>
      </c>
      <c r="J1026" s="5" t="s">
        <v>149</v>
      </c>
      <c r="K1026" s="4">
        <v>45345</v>
      </c>
      <c r="L1026" s="4">
        <v>45345</v>
      </c>
      <c r="M1026" s="9">
        <f t="shared" si="144"/>
        <v>1</v>
      </c>
      <c r="N1026" s="4" t="str">
        <f t="shared" si="145"/>
        <v xml:space="preserve"> ] 0 ; 2 ]</v>
      </c>
      <c r="O1026" s="5" t="s">
        <v>3785</v>
      </c>
      <c r="P1026" s="5" t="s">
        <v>3785</v>
      </c>
      <c r="Q1026" s="5">
        <v>1</v>
      </c>
      <c r="R1026" s="5" t="str">
        <f t="shared" ref="R1026:R1069" si="149">IF(OR(O1026="A",O1026="B",O1026="C",O1026="D"),"Qualification",IF(OR(O1026="E",O1026="F",O1026="G"),"Specialisation","Management &amp; Expertise"))</f>
        <v>Specialisation</v>
      </c>
      <c r="S1026" s="5" t="s">
        <v>3790</v>
      </c>
      <c r="T1026" s="4">
        <v>34854</v>
      </c>
      <c r="U1026" s="5">
        <f t="shared" si="146"/>
        <v>1995</v>
      </c>
      <c r="V1026" s="5" t="s">
        <v>3792</v>
      </c>
      <c r="W1026" s="9">
        <f t="shared" si="147"/>
        <v>29</v>
      </c>
      <c r="X1026" s="5" t="str">
        <f t="shared" ref="X1026:X1069" si="150">IF(W1026&lt;30,"[20 - 29 ans[",IF(AND(W1026&gt;=30,W1026&lt;35),"[30 - 34 ans]",IF(AND(W1026&gt;=35,W1026&lt;40),"[35 - 39 ans ]",IF(AND(W1026&gt;=40,W1026&lt;45),"[40 - 44 ans]",IF(AND(W1026&gt;=45,W1026&lt;50),"[45 - 49 ans]","[50 ans, +oo [")))))</f>
        <v>[20 - 29 ans[</v>
      </c>
      <c r="Y1026" s="5" t="str">
        <f t="shared" ref="Y1026:Y1069" si="151">IF(AND(U1026&gt;1946,U1026&lt;=1965)," Baby - Boomers ",IF(AND(U1026&gt;1965,U1026&lt;=1980)," Generation X ",IF(AND(U1026&gt;1980,U1026&lt;1996)," Mellenials ",IF(AND(U1026&gt;1996,U1026&lt;2012)," Gen Z "," Gen Alpha"))))</f>
        <v xml:space="preserve"> Mellenials </v>
      </c>
      <c r="Z1026" s="9">
        <f t="shared" si="148"/>
        <v>31</v>
      </c>
      <c r="AA1026" s="5" t="str">
        <f t="shared" ref="AA1026:AA1069" si="152">IF(Z1026&lt;=5,"Départ à la Retraite 5ans","RAS")</f>
        <v>RAS</v>
      </c>
      <c r="AB1026" s="5" t="s">
        <v>3807</v>
      </c>
      <c r="AC1026" s="6" t="s">
        <v>3799</v>
      </c>
      <c r="AE1026" s="5" t="s">
        <v>3844</v>
      </c>
      <c r="AF1026" s="5" t="s">
        <v>4481</v>
      </c>
      <c r="AG1026" s="5" t="s">
        <v>4485</v>
      </c>
      <c r="AH1026" s="5" t="s">
        <v>4489</v>
      </c>
      <c r="AI1026" s="5" t="s">
        <v>4476</v>
      </c>
      <c r="AJ1026" s="5" t="s">
        <v>4477</v>
      </c>
      <c r="AK1026" s="5" t="s">
        <v>3873</v>
      </c>
      <c r="AL1026" s="5" t="s">
        <v>3858</v>
      </c>
    </row>
    <row r="1027" spans="1:38" x14ac:dyDescent="0.3">
      <c r="A1027" s="4">
        <v>45716</v>
      </c>
      <c r="B1027" s="5" t="s">
        <v>3631</v>
      </c>
      <c r="C1027" s="5" t="s">
        <v>3632</v>
      </c>
      <c r="D1027" s="5" t="s">
        <v>3633</v>
      </c>
      <c r="E1027" s="5" t="s">
        <v>4494</v>
      </c>
      <c r="G1027" s="5" t="s">
        <v>83</v>
      </c>
      <c r="H1027" s="5" t="s">
        <v>3634</v>
      </c>
      <c r="I1027" s="5" t="s">
        <v>1241</v>
      </c>
      <c r="J1027" s="5" t="s">
        <v>1903</v>
      </c>
      <c r="K1027" s="4">
        <v>45355</v>
      </c>
      <c r="L1027" s="4">
        <v>45355</v>
      </c>
      <c r="M1027" s="9">
        <f t="shared" si="144"/>
        <v>0</v>
      </c>
      <c r="N1027" s="4" t="str">
        <f t="shared" si="145"/>
        <v xml:space="preserve"> ] 0 ; 2 ]</v>
      </c>
      <c r="O1027" s="5" t="s">
        <v>3783</v>
      </c>
      <c r="P1027" s="5" t="s">
        <v>3783</v>
      </c>
      <c r="Q1027" s="5">
        <v>1</v>
      </c>
      <c r="R1027" s="5" t="str">
        <f t="shared" si="149"/>
        <v>Specialisation</v>
      </c>
      <c r="S1027" s="5" t="s">
        <v>3789</v>
      </c>
      <c r="T1027" s="4">
        <v>27772</v>
      </c>
      <c r="U1027" s="5">
        <f t="shared" si="146"/>
        <v>1976</v>
      </c>
      <c r="V1027" s="5" t="s">
        <v>3793</v>
      </c>
      <c r="W1027" s="9">
        <f t="shared" si="147"/>
        <v>49</v>
      </c>
      <c r="X1027" s="5" t="str">
        <f t="shared" si="150"/>
        <v>[45 - 49 ans]</v>
      </c>
      <c r="Y1027" s="5" t="str">
        <f t="shared" si="151"/>
        <v xml:space="preserve"> Generation X </v>
      </c>
      <c r="Z1027" s="9">
        <f t="shared" si="148"/>
        <v>11</v>
      </c>
      <c r="AA1027" s="5" t="str">
        <f t="shared" si="152"/>
        <v>RAS</v>
      </c>
      <c r="AB1027" s="5" t="s">
        <v>3807</v>
      </c>
      <c r="AC1027" s="6" t="s">
        <v>3799</v>
      </c>
      <c r="AE1027" s="5" t="s">
        <v>3844</v>
      </c>
      <c r="AF1027" s="5" t="s">
        <v>4482</v>
      </c>
      <c r="AG1027" s="5" t="s">
        <v>4485</v>
      </c>
      <c r="AH1027" s="5" t="s">
        <v>4489</v>
      </c>
      <c r="AI1027" s="5" t="s">
        <v>4039</v>
      </c>
      <c r="AJ1027" s="5" t="s">
        <v>4040</v>
      </c>
      <c r="AK1027" s="5" t="s">
        <v>4041</v>
      </c>
      <c r="AL1027" s="5" t="s">
        <v>3858</v>
      </c>
    </row>
    <row r="1028" spans="1:38" x14ac:dyDescent="0.3">
      <c r="A1028" s="4">
        <v>45716</v>
      </c>
      <c r="B1028" s="5" t="s">
        <v>3635</v>
      </c>
      <c r="C1028" s="5" t="s">
        <v>3636</v>
      </c>
      <c r="D1028" s="5" t="s">
        <v>3637</v>
      </c>
      <c r="E1028" s="5" t="s">
        <v>4494</v>
      </c>
      <c r="G1028" s="5" t="s">
        <v>178</v>
      </c>
      <c r="H1028" s="5" t="s">
        <v>3638</v>
      </c>
      <c r="I1028" s="5" t="s">
        <v>1810</v>
      </c>
      <c r="J1028" s="5" t="s">
        <v>435</v>
      </c>
      <c r="K1028" s="4">
        <v>45355</v>
      </c>
      <c r="L1028" s="4">
        <v>45355</v>
      </c>
      <c r="M1028" s="9">
        <f t="shared" si="144"/>
        <v>0</v>
      </c>
      <c r="N1028" s="4" t="str">
        <f t="shared" si="145"/>
        <v xml:space="preserve"> ] 0 ; 2 ]</v>
      </c>
      <c r="O1028" s="5" t="s">
        <v>3785</v>
      </c>
      <c r="P1028" s="5" t="s">
        <v>3785</v>
      </c>
      <c r="Q1028" s="5">
        <v>1</v>
      </c>
      <c r="R1028" s="5" t="str">
        <f t="shared" si="149"/>
        <v>Specialisation</v>
      </c>
      <c r="S1028" s="5" t="s">
        <v>3789</v>
      </c>
      <c r="T1028" s="4">
        <v>36223</v>
      </c>
      <c r="U1028" s="5">
        <f t="shared" si="146"/>
        <v>1999</v>
      </c>
      <c r="V1028" s="5" t="s">
        <v>3792</v>
      </c>
      <c r="W1028" s="9">
        <f t="shared" si="147"/>
        <v>25</v>
      </c>
      <c r="X1028" s="5" t="str">
        <f t="shared" si="150"/>
        <v>[20 - 29 ans[</v>
      </c>
      <c r="Y1028" s="5" t="str">
        <f t="shared" si="151"/>
        <v xml:space="preserve"> Gen Z </v>
      </c>
      <c r="Z1028" s="9">
        <f t="shared" si="148"/>
        <v>35</v>
      </c>
      <c r="AA1028" s="5" t="str">
        <f t="shared" si="152"/>
        <v>RAS</v>
      </c>
      <c r="AB1028" s="5" t="s">
        <v>3806</v>
      </c>
      <c r="AC1028" s="6" t="s">
        <v>3799</v>
      </c>
      <c r="AE1028" s="5" t="s">
        <v>3844</v>
      </c>
      <c r="AF1028" s="5" t="s">
        <v>4481</v>
      </c>
      <c r="AG1028" s="5" t="s">
        <v>4485</v>
      </c>
      <c r="AH1028" s="5" t="s">
        <v>4488</v>
      </c>
      <c r="AI1028" s="5" t="s">
        <v>4204</v>
      </c>
      <c r="AJ1028" s="5" t="s">
        <v>4361</v>
      </c>
      <c r="AK1028" s="5" t="s">
        <v>3962</v>
      </c>
      <c r="AL1028" s="5" t="s">
        <v>3858</v>
      </c>
    </row>
    <row r="1029" spans="1:38" x14ac:dyDescent="0.3">
      <c r="A1029" s="4">
        <v>45716</v>
      </c>
      <c r="B1029" s="5" t="s">
        <v>3639</v>
      </c>
      <c r="C1029" s="5" t="s">
        <v>3640</v>
      </c>
      <c r="D1029" s="5" t="s">
        <v>3641</v>
      </c>
      <c r="E1029" s="5" t="s">
        <v>4494</v>
      </c>
      <c r="G1029" s="5" t="s">
        <v>39</v>
      </c>
      <c r="H1029" s="5" t="s">
        <v>3416</v>
      </c>
      <c r="I1029" s="5" t="s">
        <v>3262</v>
      </c>
      <c r="J1029" s="5" t="s">
        <v>149</v>
      </c>
      <c r="K1029" s="4">
        <v>45357</v>
      </c>
      <c r="L1029" s="4">
        <v>45357</v>
      </c>
      <c r="M1029" s="9">
        <f t="shared" si="144"/>
        <v>0</v>
      </c>
      <c r="N1029" s="4" t="str">
        <f t="shared" si="145"/>
        <v xml:space="preserve"> ] 0 ; 2 ]</v>
      </c>
      <c r="O1029" s="5" t="s">
        <v>3785</v>
      </c>
      <c r="P1029" s="5" t="s">
        <v>3785</v>
      </c>
      <c r="Q1029" s="5">
        <v>1</v>
      </c>
      <c r="R1029" s="5" t="str">
        <f t="shared" si="149"/>
        <v>Specialisation</v>
      </c>
      <c r="S1029" s="5" t="s">
        <v>3790</v>
      </c>
      <c r="T1029" s="4">
        <v>35707</v>
      </c>
      <c r="U1029" s="5">
        <f t="shared" si="146"/>
        <v>1997</v>
      </c>
      <c r="V1029" s="5" t="s">
        <v>3792</v>
      </c>
      <c r="W1029" s="9">
        <f t="shared" si="147"/>
        <v>27</v>
      </c>
      <c r="X1029" s="5" t="str">
        <f t="shared" si="150"/>
        <v>[20 - 29 ans[</v>
      </c>
      <c r="Y1029" s="5" t="str">
        <f t="shared" si="151"/>
        <v xml:space="preserve"> Gen Z </v>
      </c>
      <c r="Z1029" s="9">
        <f t="shared" si="148"/>
        <v>33</v>
      </c>
      <c r="AA1029" s="5" t="str">
        <f t="shared" si="152"/>
        <v>RAS</v>
      </c>
      <c r="AB1029" s="5" t="s">
        <v>3807</v>
      </c>
      <c r="AC1029" s="6" t="s">
        <v>3799</v>
      </c>
      <c r="AE1029" s="5" t="s">
        <v>3844</v>
      </c>
      <c r="AF1029" s="5" t="s">
        <v>4481</v>
      </c>
      <c r="AG1029" s="5" t="s">
        <v>4485</v>
      </c>
      <c r="AH1029" s="5" t="s">
        <v>4489</v>
      </c>
      <c r="AI1029" s="5" t="s">
        <v>3871</v>
      </c>
      <c r="AJ1029" s="5" t="s">
        <v>3872</v>
      </c>
      <c r="AK1029" s="5" t="s">
        <v>3873</v>
      </c>
      <c r="AL1029" s="5" t="s">
        <v>3858</v>
      </c>
    </row>
    <row r="1030" spans="1:38" x14ac:dyDescent="0.3">
      <c r="A1030" s="4">
        <v>45716</v>
      </c>
      <c r="B1030" s="5" t="s">
        <v>3642</v>
      </c>
      <c r="C1030" s="5" t="s">
        <v>3643</v>
      </c>
      <c r="D1030" s="5" t="s">
        <v>3644</v>
      </c>
      <c r="E1030" s="5" t="s">
        <v>4494</v>
      </c>
      <c r="G1030" s="5" t="s">
        <v>39</v>
      </c>
      <c r="H1030" s="5" t="s">
        <v>3545</v>
      </c>
      <c r="I1030" s="5" t="s">
        <v>2944</v>
      </c>
      <c r="J1030" s="5" t="s">
        <v>397</v>
      </c>
      <c r="K1030" s="4">
        <v>45357</v>
      </c>
      <c r="L1030" s="4">
        <v>45357</v>
      </c>
      <c r="M1030" s="9">
        <f t="shared" si="144"/>
        <v>0</v>
      </c>
      <c r="N1030" s="4" t="str">
        <f t="shared" si="145"/>
        <v xml:space="preserve"> ] 0 ; 2 ]</v>
      </c>
      <c r="O1030" s="5" t="s">
        <v>3785</v>
      </c>
      <c r="P1030" s="5" t="s">
        <v>3785</v>
      </c>
      <c r="Q1030" s="5">
        <v>1</v>
      </c>
      <c r="R1030" s="5" t="str">
        <f t="shared" si="149"/>
        <v>Specialisation</v>
      </c>
      <c r="S1030" s="5" t="s">
        <v>3790</v>
      </c>
      <c r="T1030" s="4">
        <v>35488</v>
      </c>
      <c r="U1030" s="5">
        <f t="shared" si="146"/>
        <v>1997</v>
      </c>
      <c r="V1030" s="5" t="s">
        <v>3792</v>
      </c>
      <c r="W1030" s="9">
        <f t="shared" si="147"/>
        <v>28</v>
      </c>
      <c r="X1030" s="5" t="str">
        <f t="shared" si="150"/>
        <v>[20 - 29 ans[</v>
      </c>
      <c r="Y1030" s="5" t="str">
        <f t="shared" si="151"/>
        <v xml:space="preserve"> Gen Z </v>
      </c>
      <c r="Z1030" s="9">
        <f t="shared" si="148"/>
        <v>32</v>
      </c>
      <c r="AA1030" s="5" t="str">
        <f t="shared" si="152"/>
        <v>RAS</v>
      </c>
      <c r="AB1030" s="5" t="s">
        <v>3807</v>
      </c>
      <c r="AC1030" s="6" t="s">
        <v>3799</v>
      </c>
      <c r="AE1030" s="5" t="s">
        <v>3844</v>
      </c>
      <c r="AF1030" s="5" t="s">
        <v>4481</v>
      </c>
      <c r="AG1030" s="5" t="s">
        <v>4485</v>
      </c>
      <c r="AH1030" s="5" t="s">
        <v>4489</v>
      </c>
      <c r="AI1030" s="5" t="s">
        <v>4028</v>
      </c>
      <c r="AJ1030" s="5" t="s">
        <v>4029</v>
      </c>
      <c r="AK1030" s="5" t="s">
        <v>4030</v>
      </c>
      <c r="AL1030" s="5" t="s">
        <v>3858</v>
      </c>
    </row>
    <row r="1031" spans="1:38" x14ac:dyDescent="0.3">
      <c r="A1031" s="4">
        <v>45716</v>
      </c>
      <c r="B1031" s="5" t="s">
        <v>3645</v>
      </c>
      <c r="C1031" s="5" t="s">
        <v>3646</v>
      </c>
      <c r="D1031" s="5" t="s">
        <v>3647</v>
      </c>
      <c r="E1031" s="5" t="s">
        <v>4494</v>
      </c>
      <c r="G1031" s="5" t="s">
        <v>39</v>
      </c>
      <c r="H1031" s="5" t="s">
        <v>3648</v>
      </c>
      <c r="I1031" s="5" t="s">
        <v>3274</v>
      </c>
      <c r="J1031" s="5" t="s">
        <v>1256</v>
      </c>
      <c r="K1031" s="4">
        <v>45359</v>
      </c>
      <c r="L1031" s="4">
        <v>45359</v>
      </c>
      <c r="M1031" s="9">
        <f t="shared" si="144"/>
        <v>0</v>
      </c>
      <c r="N1031" s="4" t="str">
        <f t="shared" si="145"/>
        <v xml:space="preserve"> ] 0 ; 2 ]</v>
      </c>
      <c r="O1031" s="5" t="s">
        <v>3785</v>
      </c>
      <c r="P1031" s="5" t="s">
        <v>3785</v>
      </c>
      <c r="Q1031" s="5">
        <v>1</v>
      </c>
      <c r="R1031" s="5" t="str">
        <f t="shared" si="149"/>
        <v>Specialisation</v>
      </c>
      <c r="S1031" s="5" t="s">
        <v>3789</v>
      </c>
      <c r="T1031" s="4">
        <v>35532</v>
      </c>
      <c r="U1031" s="5">
        <f t="shared" si="146"/>
        <v>1997</v>
      </c>
      <c r="V1031" s="5" t="s">
        <v>3792</v>
      </c>
      <c r="W1031" s="9">
        <f t="shared" si="147"/>
        <v>27</v>
      </c>
      <c r="X1031" s="5" t="str">
        <f t="shared" si="150"/>
        <v>[20 - 29 ans[</v>
      </c>
      <c r="Y1031" s="5" t="str">
        <f t="shared" si="151"/>
        <v xml:space="preserve"> Gen Z </v>
      </c>
      <c r="Z1031" s="9">
        <f t="shared" si="148"/>
        <v>33</v>
      </c>
      <c r="AA1031" s="5" t="str">
        <f t="shared" si="152"/>
        <v>RAS</v>
      </c>
      <c r="AB1031" s="5" t="s">
        <v>3807</v>
      </c>
      <c r="AC1031" s="6" t="s">
        <v>3799</v>
      </c>
      <c r="AE1031" s="5" t="s">
        <v>3844</v>
      </c>
      <c r="AF1031" s="5" t="s">
        <v>4481</v>
      </c>
      <c r="AG1031" s="5" t="s">
        <v>4485</v>
      </c>
      <c r="AH1031" s="5" t="s">
        <v>4489</v>
      </c>
      <c r="AI1031" s="5" t="s">
        <v>4357</v>
      </c>
      <c r="AJ1031" s="5" t="s">
        <v>4358</v>
      </c>
      <c r="AK1031" s="5" t="s">
        <v>4280</v>
      </c>
      <c r="AL1031" s="5" t="s">
        <v>3858</v>
      </c>
    </row>
    <row r="1032" spans="1:38" x14ac:dyDescent="0.3">
      <c r="A1032" s="4">
        <v>45716</v>
      </c>
      <c r="B1032" s="5" t="s">
        <v>3649</v>
      </c>
      <c r="C1032" s="5" t="s">
        <v>3650</v>
      </c>
      <c r="D1032" s="5" t="s">
        <v>3651</v>
      </c>
      <c r="E1032" s="5" t="s">
        <v>4494</v>
      </c>
      <c r="G1032" s="5" t="s">
        <v>83</v>
      </c>
      <c r="H1032" s="5" t="s">
        <v>3652</v>
      </c>
      <c r="I1032" s="5" t="s">
        <v>3278</v>
      </c>
      <c r="J1032" s="5" t="s">
        <v>1222</v>
      </c>
      <c r="K1032" s="4">
        <v>45383</v>
      </c>
      <c r="L1032" s="4">
        <v>45383</v>
      </c>
      <c r="M1032" s="9">
        <f t="shared" si="144"/>
        <v>0</v>
      </c>
      <c r="N1032" s="4" t="str">
        <f t="shared" si="145"/>
        <v xml:space="preserve"> ] 0 ; 2 ]</v>
      </c>
      <c r="O1032" s="5" t="s">
        <v>3785</v>
      </c>
      <c r="P1032" s="5" t="s">
        <v>3785</v>
      </c>
      <c r="Q1032" s="5">
        <v>1</v>
      </c>
      <c r="R1032" s="5" t="str">
        <f t="shared" si="149"/>
        <v>Specialisation</v>
      </c>
      <c r="S1032" s="5" t="s">
        <v>3790</v>
      </c>
      <c r="T1032" s="4">
        <v>34307</v>
      </c>
      <c r="U1032" s="5">
        <f t="shared" si="146"/>
        <v>1993</v>
      </c>
      <c r="V1032" s="5" t="s">
        <v>3792</v>
      </c>
      <c r="W1032" s="9">
        <f t="shared" si="147"/>
        <v>31</v>
      </c>
      <c r="X1032" s="5" t="str">
        <f t="shared" si="150"/>
        <v>[30 - 34 ans]</v>
      </c>
      <c r="Y1032" s="5" t="str">
        <f t="shared" si="151"/>
        <v xml:space="preserve"> Mellenials </v>
      </c>
      <c r="Z1032" s="9">
        <f t="shared" si="148"/>
        <v>29</v>
      </c>
      <c r="AA1032" s="5" t="str">
        <f t="shared" si="152"/>
        <v>RAS</v>
      </c>
      <c r="AB1032" s="5" t="s">
        <v>3807</v>
      </c>
      <c r="AC1032" s="6" t="s">
        <v>3799</v>
      </c>
      <c r="AE1032" s="5" t="s">
        <v>3844</v>
      </c>
      <c r="AF1032" s="5" t="s">
        <v>4481</v>
      </c>
      <c r="AG1032" s="5" t="s">
        <v>4485</v>
      </c>
      <c r="AH1032" s="5" t="s">
        <v>4489</v>
      </c>
      <c r="AI1032" s="5" t="s">
        <v>4137</v>
      </c>
      <c r="AJ1032" s="5" t="s">
        <v>4418</v>
      </c>
      <c r="AK1032" s="5" t="s">
        <v>3903</v>
      </c>
      <c r="AL1032" s="5" t="s">
        <v>3858</v>
      </c>
    </row>
    <row r="1033" spans="1:38" x14ac:dyDescent="0.3">
      <c r="A1033" s="4">
        <v>45716</v>
      </c>
      <c r="B1033" s="5" t="s">
        <v>3653</v>
      </c>
      <c r="C1033" s="5" t="s">
        <v>3654</v>
      </c>
      <c r="D1033" s="5" t="s">
        <v>3655</v>
      </c>
      <c r="E1033" s="5" t="s">
        <v>4494</v>
      </c>
      <c r="G1033" s="5" t="s">
        <v>83</v>
      </c>
      <c r="H1033" s="5" t="s">
        <v>1438</v>
      </c>
      <c r="I1033" s="5" t="s">
        <v>970</v>
      </c>
      <c r="J1033" s="5" t="s">
        <v>1222</v>
      </c>
      <c r="K1033" s="4">
        <v>45411</v>
      </c>
      <c r="L1033" s="4">
        <v>45411</v>
      </c>
      <c r="M1033" s="9">
        <f t="shared" si="144"/>
        <v>0</v>
      </c>
      <c r="N1033" s="4" t="str">
        <f t="shared" si="145"/>
        <v xml:space="preserve"> ] 0 ; 2 ]</v>
      </c>
      <c r="O1033" s="5" t="s">
        <v>3783</v>
      </c>
      <c r="P1033" s="5" t="s">
        <v>3785</v>
      </c>
      <c r="Q1033" s="5">
        <v>1</v>
      </c>
      <c r="R1033" s="5" t="str">
        <f t="shared" si="149"/>
        <v>Specialisation</v>
      </c>
      <c r="S1033" s="5" t="s">
        <v>3789</v>
      </c>
      <c r="T1033" s="4">
        <v>35251</v>
      </c>
      <c r="U1033" s="5">
        <f t="shared" si="146"/>
        <v>1996</v>
      </c>
      <c r="V1033" s="5" t="s">
        <v>3792</v>
      </c>
      <c r="W1033" s="9">
        <f t="shared" si="147"/>
        <v>28</v>
      </c>
      <c r="X1033" s="5" t="str">
        <f t="shared" si="150"/>
        <v>[20 - 29 ans[</v>
      </c>
      <c r="Y1033" s="5" t="str">
        <f t="shared" si="151"/>
        <v xml:space="preserve"> Gen Alpha</v>
      </c>
      <c r="Z1033" s="9">
        <f t="shared" si="148"/>
        <v>32</v>
      </c>
      <c r="AA1033" s="5" t="str">
        <f t="shared" si="152"/>
        <v>RAS</v>
      </c>
      <c r="AB1033" s="5" t="s">
        <v>3807</v>
      </c>
      <c r="AC1033" s="6" t="s">
        <v>3799</v>
      </c>
      <c r="AE1033" s="5" t="s">
        <v>3844</v>
      </c>
      <c r="AF1033" s="5" t="s">
        <v>4482</v>
      </c>
      <c r="AG1033" s="5" t="s">
        <v>4485</v>
      </c>
      <c r="AH1033" s="5" t="s">
        <v>4489</v>
      </c>
      <c r="AI1033" s="5" t="s">
        <v>4225</v>
      </c>
      <c r="AJ1033" s="5" t="s">
        <v>4397</v>
      </c>
      <c r="AK1033" s="5" t="s">
        <v>4226</v>
      </c>
      <c r="AL1033" s="5" t="s">
        <v>3858</v>
      </c>
    </row>
    <row r="1034" spans="1:38" x14ac:dyDescent="0.3">
      <c r="A1034" s="4">
        <v>45716</v>
      </c>
      <c r="B1034" s="5" t="s">
        <v>3656</v>
      </c>
      <c r="C1034" s="5" t="s">
        <v>3657</v>
      </c>
      <c r="D1034" s="5" t="s">
        <v>3658</v>
      </c>
      <c r="E1034" s="5" t="s">
        <v>4494</v>
      </c>
      <c r="G1034" s="5" t="s">
        <v>39</v>
      </c>
      <c r="H1034" s="5" t="s">
        <v>3659</v>
      </c>
      <c r="I1034" s="5" t="s">
        <v>3274</v>
      </c>
      <c r="J1034" s="5" t="s">
        <v>1256</v>
      </c>
      <c r="K1034" s="4">
        <v>45474</v>
      </c>
      <c r="L1034" s="4">
        <v>45474</v>
      </c>
      <c r="M1034" s="9">
        <f t="shared" si="144"/>
        <v>0</v>
      </c>
      <c r="N1034" s="4" t="str">
        <f t="shared" si="145"/>
        <v xml:space="preserve"> ] 0 ; 2 ]</v>
      </c>
      <c r="O1034" s="5" t="s">
        <v>3785</v>
      </c>
      <c r="P1034" s="5" t="s">
        <v>3785</v>
      </c>
      <c r="Q1034" s="5">
        <v>1</v>
      </c>
      <c r="R1034" s="5" t="str">
        <f t="shared" si="149"/>
        <v>Specialisation</v>
      </c>
      <c r="S1034" s="5" t="s">
        <v>3790</v>
      </c>
      <c r="T1034" s="4">
        <v>35488</v>
      </c>
      <c r="U1034" s="5">
        <f t="shared" si="146"/>
        <v>1997</v>
      </c>
      <c r="V1034" s="5" t="s">
        <v>3792</v>
      </c>
      <c r="W1034" s="9">
        <f t="shared" si="147"/>
        <v>28</v>
      </c>
      <c r="X1034" s="5" t="str">
        <f t="shared" si="150"/>
        <v>[20 - 29 ans[</v>
      </c>
      <c r="Y1034" s="5" t="str">
        <f t="shared" si="151"/>
        <v xml:space="preserve"> Gen Z </v>
      </c>
      <c r="Z1034" s="9">
        <f t="shared" si="148"/>
        <v>32</v>
      </c>
      <c r="AA1034" s="5" t="str">
        <f t="shared" si="152"/>
        <v>RAS</v>
      </c>
      <c r="AB1034" s="5" t="s">
        <v>3807</v>
      </c>
      <c r="AC1034" s="6" t="s">
        <v>3799</v>
      </c>
      <c r="AE1034" s="5" t="s">
        <v>3844</v>
      </c>
      <c r="AF1034" s="5" t="s">
        <v>4481</v>
      </c>
      <c r="AG1034" s="5" t="s">
        <v>4485</v>
      </c>
      <c r="AH1034" s="5" t="s">
        <v>4489</v>
      </c>
      <c r="AI1034" s="5" t="s">
        <v>4357</v>
      </c>
      <c r="AJ1034" s="5" t="s">
        <v>4358</v>
      </c>
      <c r="AK1034" s="5" t="s">
        <v>4280</v>
      </c>
      <c r="AL1034" s="5" t="s">
        <v>3858</v>
      </c>
    </row>
    <row r="1035" spans="1:38" x14ac:dyDescent="0.3">
      <c r="A1035" s="4">
        <v>45716</v>
      </c>
      <c r="B1035" s="5" t="s">
        <v>3660</v>
      </c>
      <c r="C1035" s="5" t="s">
        <v>3661</v>
      </c>
      <c r="D1035" s="5" t="s">
        <v>3662</v>
      </c>
      <c r="E1035" s="5" t="s">
        <v>4494</v>
      </c>
      <c r="G1035" s="5" t="s">
        <v>222</v>
      </c>
      <c r="H1035" s="5" t="s">
        <v>3663</v>
      </c>
      <c r="I1035" s="5" t="s">
        <v>3362</v>
      </c>
      <c r="J1035" s="5" t="s">
        <v>2086</v>
      </c>
      <c r="K1035" s="4">
        <v>45481</v>
      </c>
      <c r="L1035" s="4">
        <v>45481</v>
      </c>
      <c r="M1035" s="9">
        <f t="shared" si="144"/>
        <v>0</v>
      </c>
      <c r="N1035" s="4" t="str">
        <f t="shared" si="145"/>
        <v xml:space="preserve"> ] 0 ; 2 ]</v>
      </c>
      <c r="O1035" s="5" t="s">
        <v>3785</v>
      </c>
      <c r="P1035" s="5" t="s">
        <v>3785</v>
      </c>
      <c r="Q1035" s="5">
        <v>1</v>
      </c>
      <c r="R1035" s="5" t="str">
        <f t="shared" si="149"/>
        <v>Specialisation</v>
      </c>
      <c r="S1035" s="5" t="s">
        <v>3789</v>
      </c>
      <c r="T1035" s="4">
        <v>35662</v>
      </c>
      <c r="U1035" s="5">
        <f t="shared" si="146"/>
        <v>1997</v>
      </c>
      <c r="V1035" s="5" t="s">
        <v>3792</v>
      </c>
      <c r="W1035" s="9">
        <f t="shared" si="147"/>
        <v>27</v>
      </c>
      <c r="X1035" s="5" t="str">
        <f t="shared" si="150"/>
        <v>[20 - 29 ans[</v>
      </c>
      <c r="Y1035" s="5" t="str">
        <f t="shared" si="151"/>
        <v xml:space="preserve"> Gen Z </v>
      </c>
      <c r="Z1035" s="9">
        <f t="shared" si="148"/>
        <v>33</v>
      </c>
      <c r="AA1035" s="5" t="str">
        <f t="shared" si="152"/>
        <v>RAS</v>
      </c>
      <c r="AB1035" s="5" t="s">
        <v>3837</v>
      </c>
      <c r="AC1035" s="6" t="s">
        <v>3799</v>
      </c>
      <c r="AE1035" s="5" t="s">
        <v>3844</v>
      </c>
      <c r="AF1035" s="5" t="s">
        <v>4481</v>
      </c>
      <c r="AG1035" s="5" t="s">
        <v>4485</v>
      </c>
      <c r="AH1035" s="5" t="s">
        <v>4487</v>
      </c>
      <c r="AI1035" s="5" t="s">
        <v>4421</v>
      </c>
      <c r="AJ1035" s="5" t="s">
        <v>4422</v>
      </c>
      <c r="AK1035" s="5" t="s">
        <v>4423</v>
      </c>
      <c r="AL1035" s="5" t="s">
        <v>3858</v>
      </c>
    </row>
    <row r="1036" spans="1:38" x14ac:dyDescent="0.3">
      <c r="A1036" s="4">
        <v>45716</v>
      </c>
      <c r="B1036" s="5" t="s">
        <v>3664</v>
      </c>
      <c r="C1036" s="5" t="s">
        <v>3665</v>
      </c>
      <c r="D1036" s="5" t="s">
        <v>3666</v>
      </c>
      <c r="E1036" s="5" t="s">
        <v>4494</v>
      </c>
      <c r="G1036" s="5" t="s">
        <v>222</v>
      </c>
      <c r="H1036" s="5" t="s">
        <v>3667</v>
      </c>
      <c r="I1036" s="5" t="s">
        <v>633</v>
      </c>
      <c r="J1036" s="5" t="s">
        <v>2086</v>
      </c>
      <c r="K1036" s="4">
        <v>45488</v>
      </c>
      <c r="L1036" s="4">
        <v>45488</v>
      </c>
      <c r="M1036" s="9">
        <f t="shared" si="144"/>
        <v>0</v>
      </c>
      <c r="N1036" s="4" t="str">
        <f t="shared" si="145"/>
        <v xml:space="preserve"> ] 0 ; 2 ]</v>
      </c>
      <c r="O1036" s="5" t="s">
        <v>3785</v>
      </c>
      <c r="P1036" s="5" t="s">
        <v>3785</v>
      </c>
      <c r="Q1036" s="5">
        <v>1</v>
      </c>
      <c r="R1036" s="5" t="str">
        <f t="shared" si="149"/>
        <v>Specialisation</v>
      </c>
      <c r="S1036" s="5" t="s">
        <v>3789</v>
      </c>
      <c r="T1036" s="4">
        <v>34042</v>
      </c>
      <c r="U1036" s="5">
        <f t="shared" si="146"/>
        <v>1993</v>
      </c>
      <c r="V1036" s="5" t="s">
        <v>3792</v>
      </c>
      <c r="W1036" s="9">
        <f t="shared" si="147"/>
        <v>31</v>
      </c>
      <c r="X1036" s="5" t="str">
        <f t="shared" si="150"/>
        <v>[30 - 34 ans]</v>
      </c>
      <c r="Y1036" s="5" t="str">
        <f t="shared" si="151"/>
        <v xml:space="preserve"> Mellenials </v>
      </c>
      <c r="Z1036" s="9">
        <f t="shared" si="148"/>
        <v>29</v>
      </c>
      <c r="AA1036" s="5" t="str">
        <f t="shared" si="152"/>
        <v>RAS</v>
      </c>
      <c r="AB1036" s="5" t="s">
        <v>3806</v>
      </c>
      <c r="AC1036" s="6" t="s">
        <v>3799</v>
      </c>
      <c r="AE1036" s="5" t="s">
        <v>3844</v>
      </c>
      <c r="AF1036" s="5" t="s">
        <v>4481</v>
      </c>
      <c r="AG1036" s="5" t="s">
        <v>4485</v>
      </c>
      <c r="AH1036" s="5" t="s">
        <v>4487</v>
      </c>
      <c r="AI1036" s="5" t="s">
        <v>4155</v>
      </c>
      <c r="AJ1036" s="5" t="s">
        <v>4156</v>
      </c>
      <c r="AK1036" s="5" t="s">
        <v>4157</v>
      </c>
      <c r="AL1036" s="5" t="s">
        <v>3858</v>
      </c>
    </row>
    <row r="1037" spans="1:38" x14ac:dyDescent="0.3">
      <c r="A1037" s="4">
        <v>45716</v>
      </c>
      <c r="B1037" s="5" t="s">
        <v>3668</v>
      </c>
      <c r="C1037" s="5" t="s">
        <v>3669</v>
      </c>
      <c r="D1037" s="5" t="s">
        <v>3670</v>
      </c>
      <c r="E1037" s="5" t="s">
        <v>4494</v>
      </c>
      <c r="G1037" s="5" t="s">
        <v>222</v>
      </c>
      <c r="H1037" s="5" t="s">
        <v>3671</v>
      </c>
      <c r="I1037" s="5" t="s">
        <v>3362</v>
      </c>
      <c r="J1037" s="5" t="s">
        <v>2086</v>
      </c>
      <c r="K1037" s="4">
        <v>45537</v>
      </c>
      <c r="L1037" s="4">
        <v>45537</v>
      </c>
      <c r="M1037" s="9">
        <f t="shared" si="144"/>
        <v>0</v>
      </c>
      <c r="N1037" s="4" t="str">
        <f t="shared" si="145"/>
        <v xml:space="preserve"> ] 0 ; 2 ]</v>
      </c>
      <c r="O1037" s="5" t="s">
        <v>3785</v>
      </c>
      <c r="P1037" s="5" t="s">
        <v>3785</v>
      </c>
      <c r="Q1037" s="5">
        <v>1</v>
      </c>
      <c r="R1037" s="5" t="str">
        <f t="shared" si="149"/>
        <v>Specialisation</v>
      </c>
      <c r="S1037" s="5" t="s">
        <v>3790</v>
      </c>
      <c r="T1037" s="4">
        <v>36135</v>
      </c>
      <c r="U1037" s="5">
        <f t="shared" si="146"/>
        <v>1998</v>
      </c>
      <c r="V1037" s="5" t="s">
        <v>3792</v>
      </c>
      <c r="W1037" s="9">
        <f t="shared" si="147"/>
        <v>26</v>
      </c>
      <c r="X1037" s="5" t="str">
        <f t="shared" si="150"/>
        <v>[20 - 29 ans[</v>
      </c>
      <c r="Y1037" s="5" t="str">
        <f t="shared" si="151"/>
        <v xml:space="preserve"> Gen Z </v>
      </c>
      <c r="Z1037" s="9">
        <f t="shared" si="148"/>
        <v>34</v>
      </c>
      <c r="AA1037" s="5" t="str">
        <f t="shared" si="152"/>
        <v>RAS</v>
      </c>
      <c r="AB1037" s="5" t="s">
        <v>3837</v>
      </c>
      <c r="AC1037" s="6" t="s">
        <v>3799</v>
      </c>
      <c r="AE1037" s="5" t="s">
        <v>3844</v>
      </c>
      <c r="AF1037" s="5" t="s">
        <v>4481</v>
      </c>
      <c r="AG1037" s="5" t="s">
        <v>4485</v>
      </c>
      <c r="AH1037" s="5" t="s">
        <v>4487</v>
      </c>
      <c r="AI1037" s="5" t="s">
        <v>4465</v>
      </c>
      <c r="AJ1037" s="5" t="s">
        <v>3363</v>
      </c>
      <c r="AK1037" s="5">
        <v>15122</v>
      </c>
      <c r="AL1037" s="5" t="s">
        <v>3858</v>
      </c>
    </row>
    <row r="1038" spans="1:38" x14ac:dyDescent="0.3">
      <c r="A1038" s="4">
        <v>45716</v>
      </c>
      <c r="B1038" s="5" t="s">
        <v>3672</v>
      </c>
      <c r="C1038" s="5" t="s">
        <v>3673</v>
      </c>
      <c r="D1038" s="5" t="s">
        <v>3674</v>
      </c>
      <c r="E1038" s="5" t="s">
        <v>4494</v>
      </c>
      <c r="G1038" s="5" t="s">
        <v>39</v>
      </c>
      <c r="H1038" s="5" t="s">
        <v>463</v>
      </c>
      <c r="I1038" s="5" t="s">
        <v>1268</v>
      </c>
      <c r="J1038" s="5" t="s">
        <v>52</v>
      </c>
      <c r="K1038" s="4">
        <v>45537</v>
      </c>
      <c r="L1038" s="4">
        <v>40119</v>
      </c>
      <c r="M1038" s="9">
        <f t="shared" si="144"/>
        <v>15</v>
      </c>
      <c r="N1038" s="4" t="str">
        <f t="shared" si="145"/>
        <v>] 10 ; 15 ]</v>
      </c>
      <c r="O1038" s="5" t="s">
        <v>3786</v>
      </c>
      <c r="P1038" s="5" t="s">
        <v>3786</v>
      </c>
      <c r="Q1038" s="5">
        <v>1</v>
      </c>
      <c r="R1038" s="5" t="str">
        <f t="shared" si="149"/>
        <v>Specialisation</v>
      </c>
      <c r="S1038" s="5" t="s">
        <v>3790</v>
      </c>
      <c r="T1038" s="4">
        <v>31663</v>
      </c>
      <c r="U1038" s="5">
        <f t="shared" si="146"/>
        <v>1986</v>
      </c>
      <c r="V1038" s="5" t="s">
        <v>3793</v>
      </c>
      <c r="W1038" s="9">
        <f t="shared" si="147"/>
        <v>38</v>
      </c>
      <c r="X1038" s="5" t="str">
        <f t="shared" si="150"/>
        <v>[35 - 39 ans ]</v>
      </c>
      <c r="Y1038" s="5" t="str">
        <f t="shared" si="151"/>
        <v xml:space="preserve"> Mellenials </v>
      </c>
      <c r="Z1038" s="9">
        <f t="shared" si="148"/>
        <v>22</v>
      </c>
      <c r="AA1038" s="5" t="str">
        <f t="shared" si="152"/>
        <v>RAS</v>
      </c>
      <c r="AB1038" s="5" t="s">
        <v>3807</v>
      </c>
      <c r="AC1038" s="6" t="s">
        <v>3799</v>
      </c>
      <c r="AE1038" s="5" t="s">
        <v>3844</v>
      </c>
      <c r="AF1038" s="5" t="s">
        <v>4482</v>
      </c>
      <c r="AG1038" s="5" t="s">
        <v>4485</v>
      </c>
      <c r="AH1038" s="5" t="s">
        <v>4489</v>
      </c>
      <c r="AI1038" s="5" t="s">
        <v>4013</v>
      </c>
      <c r="AJ1038" s="5" t="s">
        <v>4014</v>
      </c>
      <c r="AK1038" s="5" t="s">
        <v>4015</v>
      </c>
      <c r="AL1038" s="5" t="s">
        <v>3858</v>
      </c>
    </row>
    <row r="1039" spans="1:38" x14ac:dyDescent="0.3">
      <c r="A1039" s="4">
        <v>45716</v>
      </c>
      <c r="B1039" s="5" t="s">
        <v>3675</v>
      </c>
      <c r="C1039" s="5" t="s">
        <v>3676</v>
      </c>
      <c r="D1039" s="5" t="s">
        <v>3677</v>
      </c>
      <c r="E1039" s="5" t="s">
        <v>4494</v>
      </c>
      <c r="G1039" s="5" t="s">
        <v>88</v>
      </c>
      <c r="H1039" s="5" t="s">
        <v>456</v>
      </c>
      <c r="I1039" s="5" t="s">
        <v>3772</v>
      </c>
      <c r="J1039" s="5" t="s">
        <v>883</v>
      </c>
      <c r="K1039" s="4">
        <v>45536</v>
      </c>
      <c r="L1039" s="4">
        <v>45536</v>
      </c>
      <c r="M1039" s="9">
        <f t="shared" si="144"/>
        <v>0</v>
      </c>
      <c r="N1039" s="4" t="str">
        <f t="shared" si="145"/>
        <v xml:space="preserve"> ] 0 ; 2 ]</v>
      </c>
      <c r="O1039" s="5" t="s">
        <v>3780</v>
      </c>
      <c r="P1039" s="5" t="s">
        <v>3780</v>
      </c>
      <c r="Q1039" s="5">
        <v>1</v>
      </c>
      <c r="R1039" s="5" t="str">
        <f t="shared" si="149"/>
        <v>Qualification</v>
      </c>
      <c r="S1039" s="5" t="s">
        <v>3790</v>
      </c>
      <c r="T1039" s="4">
        <v>33492</v>
      </c>
      <c r="U1039" s="5">
        <f t="shared" si="146"/>
        <v>1991</v>
      </c>
      <c r="V1039" s="5" t="s">
        <v>3793</v>
      </c>
      <c r="W1039" s="9">
        <f t="shared" si="147"/>
        <v>33</v>
      </c>
      <c r="X1039" s="5" t="str">
        <f t="shared" si="150"/>
        <v>[30 - 34 ans]</v>
      </c>
      <c r="Y1039" s="5" t="str">
        <f t="shared" si="151"/>
        <v xml:space="preserve"> Mellenials </v>
      </c>
      <c r="Z1039" s="9">
        <f t="shared" si="148"/>
        <v>27</v>
      </c>
      <c r="AA1039" s="5" t="str">
        <f t="shared" si="152"/>
        <v>RAS</v>
      </c>
      <c r="AB1039" s="5" t="s">
        <v>3820</v>
      </c>
      <c r="AC1039" s="6" t="s">
        <v>3800</v>
      </c>
      <c r="AE1039" s="5" t="s">
        <v>3844</v>
      </c>
      <c r="AF1039" s="5" t="s">
        <v>4482</v>
      </c>
      <c r="AG1039" s="5" t="s">
        <v>4485</v>
      </c>
      <c r="AH1039" s="5" t="s">
        <v>4488</v>
      </c>
      <c r="AI1039" s="5" t="s">
        <v>4169</v>
      </c>
      <c r="AJ1039" s="5" t="s">
        <v>4170</v>
      </c>
      <c r="AK1039" s="5" t="s">
        <v>4171</v>
      </c>
      <c r="AL1039" s="5" t="s">
        <v>3858</v>
      </c>
    </row>
    <row r="1040" spans="1:38" x14ac:dyDescent="0.3">
      <c r="A1040" s="4">
        <v>45716</v>
      </c>
      <c r="B1040" s="5" t="s">
        <v>3678</v>
      </c>
      <c r="C1040" s="5" t="s">
        <v>3679</v>
      </c>
      <c r="D1040" s="5" t="s">
        <v>3680</v>
      </c>
      <c r="E1040" s="5" t="s">
        <v>4494</v>
      </c>
      <c r="G1040" s="5" t="s">
        <v>83</v>
      </c>
      <c r="H1040" s="5" t="s">
        <v>3565</v>
      </c>
      <c r="I1040" s="5" t="s">
        <v>3568</v>
      </c>
      <c r="J1040" s="5" t="s">
        <v>1482</v>
      </c>
      <c r="K1040" s="4">
        <v>45579</v>
      </c>
      <c r="L1040" s="4">
        <v>45579</v>
      </c>
      <c r="M1040" s="9">
        <f t="shared" si="144"/>
        <v>0</v>
      </c>
      <c r="N1040" s="4" t="str">
        <f t="shared" si="145"/>
        <v xml:space="preserve"> ] 0 ; 2 ]</v>
      </c>
      <c r="O1040" s="5" t="s">
        <v>3785</v>
      </c>
      <c r="P1040" s="5" t="s">
        <v>3785</v>
      </c>
      <c r="Q1040" s="5">
        <v>1</v>
      </c>
      <c r="R1040" s="5" t="str">
        <f t="shared" si="149"/>
        <v>Specialisation</v>
      </c>
      <c r="S1040" s="5" t="s">
        <v>3790</v>
      </c>
      <c r="T1040" s="4">
        <v>36118</v>
      </c>
      <c r="U1040" s="5">
        <f t="shared" si="146"/>
        <v>1998</v>
      </c>
      <c r="V1040" s="5" t="s">
        <v>3792</v>
      </c>
      <c r="W1040" s="9">
        <f t="shared" si="147"/>
        <v>26</v>
      </c>
      <c r="X1040" s="5" t="str">
        <f t="shared" si="150"/>
        <v>[20 - 29 ans[</v>
      </c>
      <c r="Y1040" s="5" t="str">
        <f t="shared" si="151"/>
        <v xml:space="preserve"> Gen Z </v>
      </c>
      <c r="Z1040" s="9">
        <f t="shared" si="148"/>
        <v>34</v>
      </c>
      <c r="AA1040" s="5" t="str">
        <f t="shared" si="152"/>
        <v>RAS</v>
      </c>
      <c r="AB1040" s="5" t="s">
        <v>3807</v>
      </c>
      <c r="AC1040" s="6" t="s">
        <v>3799</v>
      </c>
      <c r="AE1040" s="5" t="s">
        <v>3844</v>
      </c>
      <c r="AF1040" s="5" t="s">
        <v>4481</v>
      </c>
      <c r="AG1040" s="5" t="s">
        <v>4485</v>
      </c>
      <c r="AH1040" s="5" t="s">
        <v>4489</v>
      </c>
      <c r="AI1040" s="5" t="s">
        <v>4473</v>
      </c>
      <c r="AJ1040" s="5" t="s">
        <v>4474</v>
      </c>
      <c r="AK1040" s="5" t="s">
        <v>4475</v>
      </c>
      <c r="AL1040" s="5" t="s">
        <v>3858</v>
      </c>
    </row>
    <row r="1041" spans="1:38" x14ac:dyDescent="0.3">
      <c r="A1041" s="4">
        <v>45716</v>
      </c>
      <c r="B1041" s="5" t="s">
        <v>3681</v>
      </c>
      <c r="C1041" s="5" t="s">
        <v>3682</v>
      </c>
      <c r="D1041" s="5" t="s">
        <v>3683</v>
      </c>
      <c r="E1041" s="5" t="s">
        <v>4494</v>
      </c>
      <c r="G1041" s="5" t="s">
        <v>39</v>
      </c>
      <c r="H1041" s="5" t="s">
        <v>420</v>
      </c>
      <c r="I1041" s="5" t="s">
        <v>2981</v>
      </c>
      <c r="J1041" s="5" t="s">
        <v>1264</v>
      </c>
      <c r="K1041" s="4">
        <v>45602</v>
      </c>
      <c r="L1041" s="4">
        <v>45602</v>
      </c>
      <c r="M1041" s="9">
        <f t="shared" si="144"/>
        <v>0</v>
      </c>
      <c r="N1041" s="4" t="str">
        <f t="shared" si="145"/>
        <v xml:space="preserve"> ] 0 ; 2 ]</v>
      </c>
      <c r="O1041" s="5" t="s">
        <v>3785</v>
      </c>
      <c r="P1041" s="5" t="s">
        <v>3785</v>
      </c>
      <c r="Q1041" s="5">
        <v>1</v>
      </c>
      <c r="R1041" s="5" t="str">
        <f t="shared" si="149"/>
        <v>Specialisation</v>
      </c>
      <c r="S1041" s="5" t="s">
        <v>3790</v>
      </c>
      <c r="T1041" s="4">
        <v>36528</v>
      </c>
      <c r="U1041" s="5">
        <f t="shared" si="146"/>
        <v>2000</v>
      </c>
      <c r="V1041" s="5" t="s">
        <v>3792</v>
      </c>
      <c r="W1041" s="9">
        <f t="shared" si="147"/>
        <v>25</v>
      </c>
      <c r="X1041" s="5" t="str">
        <f t="shared" si="150"/>
        <v>[20 - 29 ans[</v>
      </c>
      <c r="Y1041" s="5" t="str">
        <f t="shared" si="151"/>
        <v xml:space="preserve"> Gen Z </v>
      </c>
      <c r="Z1041" s="9">
        <f t="shared" si="148"/>
        <v>35</v>
      </c>
      <c r="AA1041" s="5" t="str">
        <f t="shared" si="152"/>
        <v>RAS</v>
      </c>
      <c r="AB1041" s="5" t="s">
        <v>3807</v>
      </c>
      <c r="AC1041" s="6" t="s">
        <v>3799</v>
      </c>
      <c r="AE1041" s="5" t="s">
        <v>3844</v>
      </c>
      <c r="AF1041" s="5" t="s">
        <v>4481</v>
      </c>
      <c r="AG1041" s="5" t="s">
        <v>4485</v>
      </c>
      <c r="AH1041" s="5" t="s">
        <v>4489</v>
      </c>
      <c r="AI1041" s="5" t="s">
        <v>4057</v>
      </c>
      <c r="AJ1041" s="5" t="s">
        <v>4058</v>
      </c>
      <c r="AK1041" s="5" t="s">
        <v>4059</v>
      </c>
      <c r="AL1041" s="5" t="s">
        <v>3858</v>
      </c>
    </row>
    <row r="1042" spans="1:38" x14ac:dyDescent="0.3">
      <c r="A1042" s="4">
        <v>45716</v>
      </c>
      <c r="B1042" s="5" t="s">
        <v>3684</v>
      </c>
      <c r="C1042" s="5" t="s">
        <v>3685</v>
      </c>
      <c r="D1042" s="5" t="s">
        <v>3686</v>
      </c>
      <c r="E1042" s="5" t="s">
        <v>4494</v>
      </c>
      <c r="G1042" s="5" t="s">
        <v>83</v>
      </c>
      <c r="H1042" s="5" t="s">
        <v>3459</v>
      </c>
      <c r="I1042" s="5" t="s">
        <v>2844</v>
      </c>
      <c r="J1042" s="5" t="s">
        <v>1799</v>
      </c>
      <c r="K1042" s="4">
        <v>45623</v>
      </c>
      <c r="L1042" s="4">
        <v>45623</v>
      </c>
      <c r="M1042" s="9">
        <f t="shared" si="144"/>
        <v>0</v>
      </c>
      <c r="N1042" s="4" t="str">
        <f t="shared" si="145"/>
        <v xml:space="preserve"> ] 0 ; 2 ]</v>
      </c>
      <c r="O1042" s="5" t="s">
        <v>3785</v>
      </c>
      <c r="P1042" s="5" t="s">
        <v>3785</v>
      </c>
      <c r="Q1042" s="5">
        <v>1</v>
      </c>
      <c r="R1042" s="5" t="str">
        <f t="shared" si="149"/>
        <v>Specialisation</v>
      </c>
      <c r="S1042" s="5" t="s">
        <v>3789</v>
      </c>
      <c r="T1042" s="4">
        <v>35454</v>
      </c>
      <c r="U1042" s="5">
        <f t="shared" si="146"/>
        <v>1997</v>
      </c>
      <c r="V1042" s="5" t="s">
        <v>3792</v>
      </c>
      <c r="W1042" s="9">
        <f t="shared" si="147"/>
        <v>28</v>
      </c>
      <c r="X1042" s="5" t="str">
        <f t="shared" si="150"/>
        <v>[20 - 29 ans[</v>
      </c>
      <c r="Y1042" s="5" t="str">
        <f t="shared" si="151"/>
        <v xml:space="preserve"> Gen Z </v>
      </c>
      <c r="Z1042" s="9">
        <f t="shared" si="148"/>
        <v>32</v>
      </c>
      <c r="AA1042" s="5" t="str">
        <f t="shared" si="152"/>
        <v>RAS</v>
      </c>
      <c r="AB1042" s="5" t="s">
        <v>3806</v>
      </c>
      <c r="AC1042" s="6" t="s">
        <v>3799</v>
      </c>
      <c r="AE1042" s="5" t="s">
        <v>3844</v>
      </c>
      <c r="AF1042" s="5" t="s">
        <v>4481</v>
      </c>
      <c r="AG1042" s="5" t="s">
        <v>4485</v>
      </c>
      <c r="AH1042" s="5" t="s">
        <v>4489</v>
      </c>
      <c r="AI1042" s="5" t="s">
        <v>4441</v>
      </c>
      <c r="AJ1042" s="5" t="s">
        <v>4442</v>
      </c>
      <c r="AK1042" s="5" t="s">
        <v>3993</v>
      </c>
      <c r="AL1042" s="5" t="s">
        <v>3858</v>
      </c>
    </row>
    <row r="1043" spans="1:38" x14ac:dyDescent="0.3">
      <c r="A1043" s="4">
        <v>45716</v>
      </c>
      <c r="B1043" s="5" t="s">
        <v>3687</v>
      </c>
      <c r="C1043" s="5" t="s">
        <v>3688</v>
      </c>
      <c r="D1043" s="5" t="s">
        <v>3689</v>
      </c>
      <c r="E1043" s="5" t="s">
        <v>4494</v>
      </c>
      <c r="G1043" s="5" t="s">
        <v>29</v>
      </c>
      <c r="H1043" s="5" t="s">
        <v>3690</v>
      </c>
      <c r="I1043" s="5" t="s">
        <v>2964</v>
      </c>
      <c r="J1043" s="5" t="s">
        <v>974</v>
      </c>
      <c r="K1043" s="4">
        <v>45628</v>
      </c>
      <c r="L1043" s="4">
        <v>45628</v>
      </c>
      <c r="M1043" s="9">
        <f t="shared" si="144"/>
        <v>0</v>
      </c>
      <c r="N1043" s="4" t="str">
        <f t="shared" si="145"/>
        <v xml:space="preserve"> ] 0 ; 2 ]</v>
      </c>
      <c r="O1043" s="5" t="s">
        <v>3785</v>
      </c>
      <c r="P1043" s="5" t="s">
        <v>3785</v>
      </c>
      <c r="Q1043" s="5">
        <v>1</v>
      </c>
      <c r="R1043" s="5" t="str">
        <f t="shared" si="149"/>
        <v>Specialisation</v>
      </c>
      <c r="S1043" s="5" t="s">
        <v>3790</v>
      </c>
      <c r="T1043" s="4">
        <v>30427</v>
      </c>
      <c r="U1043" s="5">
        <f t="shared" si="146"/>
        <v>1983</v>
      </c>
      <c r="V1043" s="5" t="s">
        <v>3792</v>
      </c>
      <c r="W1043" s="9">
        <f t="shared" si="147"/>
        <v>41</v>
      </c>
      <c r="X1043" s="5" t="str">
        <f t="shared" si="150"/>
        <v>[40 - 44 ans]</v>
      </c>
      <c r="Y1043" s="5" t="str">
        <f t="shared" si="151"/>
        <v xml:space="preserve"> Mellenials </v>
      </c>
      <c r="Z1043" s="9">
        <f t="shared" si="148"/>
        <v>19</v>
      </c>
      <c r="AA1043" s="5" t="str">
        <f t="shared" si="152"/>
        <v>RAS</v>
      </c>
      <c r="AB1043" s="5" t="s">
        <v>3806</v>
      </c>
      <c r="AC1043" s="6" t="s">
        <v>3799</v>
      </c>
      <c r="AE1043" s="5" t="s">
        <v>3844</v>
      </c>
      <c r="AF1043" s="5" t="s">
        <v>4481</v>
      </c>
      <c r="AG1043" s="5" t="s">
        <v>4485</v>
      </c>
      <c r="AH1043" s="5" t="s">
        <v>4487</v>
      </c>
      <c r="AI1043" s="5" t="s">
        <v>4448</v>
      </c>
      <c r="AJ1043" s="5" t="s">
        <v>4449</v>
      </c>
      <c r="AK1043" s="5">
        <v>61320</v>
      </c>
      <c r="AL1043" s="5" t="s">
        <v>3858</v>
      </c>
    </row>
    <row r="1044" spans="1:38" x14ac:dyDescent="0.3">
      <c r="A1044" s="4">
        <v>45716</v>
      </c>
      <c r="B1044" s="5" t="s">
        <v>3691</v>
      </c>
      <c r="C1044" s="5" t="s">
        <v>3692</v>
      </c>
      <c r="D1044" s="5" t="s">
        <v>3693</v>
      </c>
      <c r="E1044" s="5" t="s">
        <v>4494</v>
      </c>
      <c r="G1044" s="5" t="s">
        <v>39</v>
      </c>
      <c r="H1044" s="5" t="s">
        <v>3694</v>
      </c>
      <c r="I1044" s="5" t="s">
        <v>389</v>
      </c>
      <c r="J1044" s="5" t="s">
        <v>52</v>
      </c>
      <c r="K1044" s="4">
        <v>45627</v>
      </c>
      <c r="L1044" s="4">
        <v>45627</v>
      </c>
      <c r="M1044" s="9">
        <f t="shared" si="144"/>
        <v>0</v>
      </c>
      <c r="N1044" s="4" t="str">
        <f t="shared" si="145"/>
        <v xml:space="preserve"> ] 0 ; 2 ]</v>
      </c>
      <c r="O1044" s="5" t="s">
        <v>3785</v>
      </c>
      <c r="P1044" s="5" t="s">
        <v>3785</v>
      </c>
      <c r="Q1044" s="5">
        <v>1</v>
      </c>
      <c r="R1044" s="5" t="str">
        <f t="shared" si="149"/>
        <v>Specialisation</v>
      </c>
      <c r="S1044" s="5" t="s">
        <v>3789</v>
      </c>
      <c r="T1044" s="4">
        <v>30884</v>
      </c>
      <c r="U1044" s="5">
        <f t="shared" si="146"/>
        <v>1984</v>
      </c>
      <c r="V1044" s="5" t="s">
        <v>3793</v>
      </c>
      <c r="W1044" s="9">
        <f t="shared" si="147"/>
        <v>40</v>
      </c>
      <c r="X1044" s="5" t="str">
        <f t="shared" si="150"/>
        <v>[40 - 44 ans]</v>
      </c>
      <c r="Y1044" s="5" t="str">
        <f t="shared" si="151"/>
        <v xml:space="preserve"> Mellenials </v>
      </c>
      <c r="Z1044" s="9">
        <f t="shared" si="148"/>
        <v>20</v>
      </c>
      <c r="AA1044" s="5" t="str">
        <f t="shared" si="152"/>
        <v>RAS</v>
      </c>
      <c r="AB1044" s="5" t="s">
        <v>3807</v>
      </c>
      <c r="AC1044" s="6" t="s">
        <v>3799</v>
      </c>
      <c r="AE1044" s="5" t="s">
        <v>3844</v>
      </c>
      <c r="AF1044" s="5" t="s">
        <v>4481</v>
      </c>
      <c r="AG1044" s="5" t="s">
        <v>4485</v>
      </c>
      <c r="AH1044" s="5" t="s">
        <v>4489</v>
      </c>
      <c r="AI1044" s="5" t="s">
        <v>4042</v>
      </c>
      <c r="AJ1044" s="5" t="s">
        <v>4043</v>
      </c>
      <c r="AK1044" s="5" t="s">
        <v>3914</v>
      </c>
      <c r="AL1044" s="5" t="s">
        <v>3858</v>
      </c>
    </row>
    <row r="1045" spans="1:38" x14ac:dyDescent="0.3">
      <c r="A1045" s="4">
        <v>45716</v>
      </c>
      <c r="B1045" s="5" t="s">
        <v>3695</v>
      </c>
      <c r="C1045" s="5" t="s">
        <v>3696</v>
      </c>
      <c r="D1045" s="5" t="s">
        <v>3697</v>
      </c>
      <c r="E1045" s="5" t="s">
        <v>4494</v>
      </c>
      <c r="G1045" s="5" t="s">
        <v>88</v>
      </c>
      <c r="H1045" s="5" t="s">
        <v>456</v>
      </c>
      <c r="I1045" s="5" t="s">
        <v>2265</v>
      </c>
      <c r="J1045" s="5" t="s">
        <v>883</v>
      </c>
      <c r="K1045" s="4">
        <v>45658</v>
      </c>
      <c r="L1045" s="4">
        <v>45658</v>
      </c>
      <c r="M1045" s="9">
        <f t="shared" si="144"/>
        <v>0</v>
      </c>
      <c r="N1045" s="4" t="str">
        <f t="shared" si="145"/>
        <v xml:space="preserve"> ] 0 ; 2 ]</v>
      </c>
      <c r="O1045" s="5" t="s">
        <v>3780</v>
      </c>
      <c r="P1045" s="5" t="s">
        <v>3780</v>
      </c>
      <c r="Q1045" s="5">
        <v>1</v>
      </c>
      <c r="R1045" s="5" t="str">
        <f t="shared" si="149"/>
        <v>Qualification</v>
      </c>
      <c r="S1045" s="5" t="s">
        <v>3790</v>
      </c>
      <c r="T1045" s="4">
        <v>33681</v>
      </c>
      <c r="U1045" s="5">
        <f t="shared" si="146"/>
        <v>1992</v>
      </c>
      <c r="V1045" s="5" t="s">
        <v>3792</v>
      </c>
      <c r="W1045" s="9">
        <f t="shared" si="147"/>
        <v>32</v>
      </c>
      <c r="X1045" s="5" t="str">
        <f t="shared" si="150"/>
        <v>[30 - 34 ans]</v>
      </c>
      <c r="Y1045" s="5" t="str">
        <f t="shared" si="151"/>
        <v xml:space="preserve"> Mellenials </v>
      </c>
      <c r="Z1045" s="9">
        <f t="shared" si="148"/>
        <v>28</v>
      </c>
      <c r="AA1045" s="5" t="str">
        <f t="shared" si="152"/>
        <v>RAS</v>
      </c>
      <c r="AB1045" s="5" t="s">
        <v>3841</v>
      </c>
      <c r="AC1045" s="6" t="s">
        <v>3802</v>
      </c>
      <c r="AE1045" s="5" t="s">
        <v>3844</v>
      </c>
      <c r="AF1045" s="5" t="s">
        <v>4482</v>
      </c>
      <c r="AG1045" s="5" t="s">
        <v>4485</v>
      </c>
      <c r="AH1045" s="5" t="s">
        <v>4488</v>
      </c>
      <c r="AI1045" s="5" t="s">
        <v>4101</v>
      </c>
      <c r="AJ1045" s="5" t="s">
        <v>4102</v>
      </c>
      <c r="AK1045" s="5" t="s">
        <v>4103</v>
      </c>
      <c r="AL1045" s="5" t="s">
        <v>3858</v>
      </c>
    </row>
    <row r="1046" spans="1:38" x14ac:dyDescent="0.3">
      <c r="A1046" s="4">
        <v>45716</v>
      </c>
      <c r="B1046" s="5" t="s">
        <v>3698</v>
      </c>
      <c r="C1046" s="5" t="s">
        <v>3699</v>
      </c>
      <c r="D1046" s="5" t="s">
        <v>3700</v>
      </c>
      <c r="E1046" s="5" t="s">
        <v>4494</v>
      </c>
      <c r="G1046" s="5" t="s">
        <v>88</v>
      </c>
      <c r="H1046" s="5" t="s">
        <v>456</v>
      </c>
      <c r="I1046" s="5" t="s">
        <v>1957</v>
      </c>
      <c r="J1046" s="5" t="s">
        <v>883</v>
      </c>
      <c r="K1046" s="4">
        <v>45658</v>
      </c>
      <c r="L1046" s="4">
        <v>45658</v>
      </c>
      <c r="M1046" s="9">
        <f t="shared" si="144"/>
        <v>0</v>
      </c>
      <c r="N1046" s="4" t="str">
        <f t="shared" si="145"/>
        <v xml:space="preserve"> ] 0 ; 2 ]</v>
      </c>
      <c r="O1046" s="5" t="s">
        <v>3780</v>
      </c>
      <c r="P1046" s="5" t="s">
        <v>3780</v>
      </c>
      <c r="Q1046" s="5">
        <v>1</v>
      </c>
      <c r="R1046" s="5" t="str">
        <f t="shared" si="149"/>
        <v>Qualification</v>
      </c>
      <c r="S1046" s="5" t="s">
        <v>3789</v>
      </c>
      <c r="T1046" s="4">
        <v>29008</v>
      </c>
      <c r="U1046" s="5">
        <f t="shared" si="146"/>
        <v>1979</v>
      </c>
      <c r="V1046" s="5" t="s">
        <v>3793</v>
      </c>
      <c r="W1046" s="9">
        <f t="shared" si="147"/>
        <v>45</v>
      </c>
      <c r="X1046" s="5" t="str">
        <f t="shared" si="150"/>
        <v>[45 - 49 ans]</v>
      </c>
      <c r="Y1046" s="5" t="str">
        <f t="shared" si="151"/>
        <v xml:space="preserve"> Generation X </v>
      </c>
      <c r="Z1046" s="9">
        <f t="shared" si="148"/>
        <v>15</v>
      </c>
      <c r="AA1046" s="5" t="str">
        <f t="shared" si="152"/>
        <v>RAS</v>
      </c>
      <c r="AB1046" s="5" t="s">
        <v>3842</v>
      </c>
      <c r="AC1046" s="6" t="s">
        <v>3802</v>
      </c>
      <c r="AE1046" s="5" t="s">
        <v>3844</v>
      </c>
      <c r="AF1046" s="5" t="s">
        <v>4482</v>
      </c>
      <c r="AG1046" s="5" t="s">
        <v>4485</v>
      </c>
      <c r="AH1046" s="5" t="s">
        <v>4488</v>
      </c>
      <c r="AI1046" s="5" t="s">
        <v>4220</v>
      </c>
      <c r="AJ1046" s="5" t="s">
        <v>4221</v>
      </c>
      <c r="AK1046" s="5" t="s">
        <v>4222</v>
      </c>
      <c r="AL1046" s="5" t="s">
        <v>3858</v>
      </c>
    </row>
    <row r="1047" spans="1:38" x14ac:dyDescent="0.3">
      <c r="A1047" s="4">
        <v>45716</v>
      </c>
      <c r="B1047" s="5" t="s">
        <v>3701</v>
      </c>
      <c r="C1047" s="5" t="s">
        <v>3702</v>
      </c>
      <c r="D1047" s="5" t="s">
        <v>3703</v>
      </c>
      <c r="E1047" s="5" t="s">
        <v>4494</v>
      </c>
      <c r="G1047" s="5" t="s">
        <v>88</v>
      </c>
      <c r="H1047" s="5" t="s">
        <v>456</v>
      </c>
      <c r="I1047" s="5" t="s">
        <v>2058</v>
      </c>
      <c r="J1047" s="5" t="s">
        <v>883</v>
      </c>
      <c r="K1047" s="4">
        <v>45658</v>
      </c>
      <c r="L1047" s="4">
        <v>45658</v>
      </c>
      <c r="M1047" s="9">
        <f t="shared" si="144"/>
        <v>0</v>
      </c>
      <c r="N1047" s="4" t="str">
        <f t="shared" si="145"/>
        <v xml:space="preserve"> ] 0 ; 2 ]</v>
      </c>
      <c r="O1047" s="5" t="s">
        <v>3780</v>
      </c>
      <c r="P1047" s="5" t="s">
        <v>3780</v>
      </c>
      <c r="Q1047" s="5">
        <v>1</v>
      </c>
      <c r="R1047" s="5" t="str">
        <f t="shared" si="149"/>
        <v>Qualification</v>
      </c>
      <c r="S1047" s="5" t="s">
        <v>3790</v>
      </c>
      <c r="T1047" s="4">
        <v>33315</v>
      </c>
      <c r="U1047" s="5">
        <f t="shared" si="146"/>
        <v>1991</v>
      </c>
      <c r="V1047" s="5" t="s">
        <v>3792</v>
      </c>
      <c r="W1047" s="9">
        <f t="shared" si="147"/>
        <v>33</v>
      </c>
      <c r="X1047" s="5" t="str">
        <f t="shared" si="150"/>
        <v>[30 - 34 ans]</v>
      </c>
      <c r="Y1047" s="5" t="str">
        <f t="shared" si="151"/>
        <v xml:space="preserve"> Mellenials </v>
      </c>
      <c r="Z1047" s="9">
        <f t="shared" si="148"/>
        <v>27</v>
      </c>
      <c r="AA1047" s="5" t="str">
        <f t="shared" si="152"/>
        <v>RAS</v>
      </c>
      <c r="AB1047" s="5" t="s">
        <v>3843</v>
      </c>
      <c r="AC1047" s="6" t="s">
        <v>3802</v>
      </c>
      <c r="AE1047" s="5" t="s">
        <v>3844</v>
      </c>
      <c r="AF1047" s="5" t="s">
        <v>4482</v>
      </c>
      <c r="AG1047" s="5" t="s">
        <v>4485</v>
      </c>
      <c r="AH1047" s="5" t="s">
        <v>4488</v>
      </c>
      <c r="AI1047" s="5" t="s">
        <v>4117</v>
      </c>
      <c r="AJ1047" s="5" t="s">
        <v>3843</v>
      </c>
      <c r="AK1047" s="5" t="s">
        <v>4118</v>
      </c>
      <c r="AL1047" s="5" t="s">
        <v>3858</v>
      </c>
    </row>
    <row r="1048" spans="1:38" x14ac:dyDescent="0.3">
      <c r="A1048" s="4">
        <v>45716</v>
      </c>
      <c r="B1048" s="5" t="s">
        <v>3704</v>
      </c>
      <c r="C1048" s="5" t="s">
        <v>3705</v>
      </c>
      <c r="D1048" s="5" t="s">
        <v>3706</v>
      </c>
      <c r="E1048" s="5" t="s">
        <v>4494</v>
      </c>
      <c r="G1048" s="5" t="s">
        <v>178</v>
      </c>
      <c r="H1048" s="5" t="s">
        <v>3595</v>
      </c>
      <c r="I1048" s="5" t="s">
        <v>3778</v>
      </c>
      <c r="J1048" s="5" t="s">
        <v>1368</v>
      </c>
      <c r="K1048" s="4">
        <v>45658</v>
      </c>
      <c r="L1048" s="4">
        <v>45658</v>
      </c>
      <c r="M1048" s="9">
        <f t="shared" si="144"/>
        <v>0</v>
      </c>
      <c r="N1048" s="4" t="str">
        <f t="shared" si="145"/>
        <v xml:space="preserve"> ] 0 ; 2 ]</v>
      </c>
      <c r="O1048" s="5" t="s">
        <v>3785</v>
      </c>
      <c r="P1048" s="5" t="s">
        <v>3785</v>
      </c>
      <c r="Q1048" s="5">
        <v>1</v>
      </c>
      <c r="R1048" s="5" t="str">
        <f t="shared" si="149"/>
        <v>Specialisation</v>
      </c>
      <c r="S1048" s="5" t="s">
        <v>3790</v>
      </c>
      <c r="T1048" s="4">
        <v>37050</v>
      </c>
      <c r="U1048" s="5">
        <f t="shared" si="146"/>
        <v>2001</v>
      </c>
      <c r="V1048" s="5" t="s">
        <v>3792</v>
      </c>
      <c r="W1048" s="9">
        <f t="shared" si="147"/>
        <v>23</v>
      </c>
      <c r="X1048" s="5" t="str">
        <f t="shared" si="150"/>
        <v>[20 - 29 ans[</v>
      </c>
      <c r="Y1048" s="5" t="str">
        <f t="shared" si="151"/>
        <v xml:space="preserve"> Gen Z </v>
      </c>
      <c r="Z1048" s="9">
        <f t="shared" si="148"/>
        <v>37</v>
      </c>
      <c r="AA1048" s="5" t="str">
        <f t="shared" si="152"/>
        <v>RAS</v>
      </c>
      <c r="AB1048" s="5" t="s">
        <v>3806</v>
      </c>
      <c r="AC1048" s="6" t="s">
        <v>3799</v>
      </c>
      <c r="AE1048" s="5" t="s">
        <v>3844</v>
      </c>
      <c r="AF1048" s="5" t="s">
        <v>4481</v>
      </c>
      <c r="AG1048" s="5" t="s">
        <v>4485</v>
      </c>
      <c r="AH1048" s="5" t="s">
        <v>4488</v>
      </c>
      <c r="AI1048" s="5" t="s">
        <v>4378</v>
      </c>
      <c r="AJ1048" s="5" t="s">
        <v>4379</v>
      </c>
      <c r="AK1048" s="5" t="s">
        <v>4380</v>
      </c>
      <c r="AL1048" s="5" t="s">
        <v>3858</v>
      </c>
    </row>
    <row r="1049" spans="1:38" x14ac:dyDescent="0.3">
      <c r="A1049" s="4">
        <v>45716</v>
      </c>
      <c r="B1049" s="5" t="s">
        <v>3707</v>
      </c>
      <c r="C1049" s="5" t="s">
        <v>3708</v>
      </c>
      <c r="D1049" s="5" t="s">
        <v>3709</v>
      </c>
      <c r="E1049" s="5" t="s">
        <v>4494</v>
      </c>
      <c r="G1049" s="5" t="s">
        <v>178</v>
      </c>
      <c r="H1049" s="5" t="s">
        <v>3595</v>
      </c>
      <c r="I1049" s="5" t="s">
        <v>3778</v>
      </c>
      <c r="J1049" s="5" t="s">
        <v>1368</v>
      </c>
      <c r="K1049" s="4">
        <v>45658</v>
      </c>
      <c r="L1049" s="4">
        <v>45658</v>
      </c>
      <c r="M1049" s="9">
        <f t="shared" si="144"/>
        <v>0</v>
      </c>
      <c r="N1049" s="4" t="str">
        <f t="shared" si="145"/>
        <v xml:space="preserve"> ] 0 ; 2 ]</v>
      </c>
      <c r="O1049" s="5" t="s">
        <v>3785</v>
      </c>
      <c r="P1049" s="5" t="s">
        <v>3785</v>
      </c>
      <c r="Q1049" s="5">
        <v>1</v>
      </c>
      <c r="R1049" s="5" t="str">
        <f t="shared" si="149"/>
        <v>Specialisation</v>
      </c>
      <c r="S1049" s="5" t="s">
        <v>3789</v>
      </c>
      <c r="T1049" s="4">
        <v>36929</v>
      </c>
      <c r="U1049" s="5">
        <f t="shared" si="146"/>
        <v>2001</v>
      </c>
      <c r="V1049" s="5" t="s">
        <v>3792</v>
      </c>
      <c r="W1049" s="9">
        <f t="shared" si="147"/>
        <v>24</v>
      </c>
      <c r="X1049" s="5" t="str">
        <f t="shared" si="150"/>
        <v>[20 - 29 ans[</v>
      </c>
      <c r="Y1049" s="5" t="str">
        <f t="shared" si="151"/>
        <v xml:space="preserve"> Gen Z </v>
      </c>
      <c r="Z1049" s="9">
        <f t="shared" si="148"/>
        <v>36</v>
      </c>
      <c r="AA1049" s="5" t="str">
        <f t="shared" si="152"/>
        <v>RAS</v>
      </c>
      <c r="AB1049" s="5" t="s">
        <v>3806</v>
      </c>
      <c r="AC1049" s="6" t="s">
        <v>3799</v>
      </c>
      <c r="AE1049" s="5" t="s">
        <v>3844</v>
      </c>
      <c r="AF1049" s="5" t="s">
        <v>4481</v>
      </c>
      <c r="AG1049" s="5" t="s">
        <v>4485</v>
      </c>
      <c r="AH1049" s="5" t="s">
        <v>4488</v>
      </c>
      <c r="AI1049" s="5" t="s">
        <v>4378</v>
      </c>
      <c r="AJ1049" s="5" t="s">
        <v>4379</v>
      </c>
      <c r="AK1049" s="5" t="s">
        <v>4380</v>
      </c>
      <c r="AL1049" s="5" t="s">
        <v>3858</v>
      </c>
    </row>
    <row r="1050" spans="1:38" x14ac:dyDescent="0.3">
      <c r="A1050" s="4">
        <v>45716</v>
      </c>
      <c r="B1050" s="5" t="s">
        <v>3710</v>
      </c>
      <c r="C1050" s="5" t="s">
        <v>3711</v>
      </c>
      <c r="D1050" s="5" t="s">
        <v>3712</v>
      </c>
      <c r="E1050" s="5" t="s">
        <v>4494</v>
      </c>
      <c r="G1050" s="5" t="s">
        <v>24</v>
      </c>
      <c r="H1050" s="5" t="s">
        <v>256</v>
      </c>
      <c r="I1050" s="5" t="s">
        <v>1317</v>
      </c>
      <c r="J1050" s="5" t="s">
        <v>23</v>
      </c>
      <c r="K1050" s="4">
        <v>45659</v>
      </c>
      <c r="L1050" s="4">
        <v>45659</v>
      </c>
      <c r="M1050" s="9">
        <f t="shared" si="144"/>
        <v>0</v>
      </c>
      <c r="N1050" s="4" t="str">
        <f t="shared" si="145"/>
        <v xml:space="preserve"> ] 0 ; 2 ]</v>
      </c>
      <c r="O1050" s="5" t="s">
        <v>3786</v>
      </c>
      <c r="P1050" s="5" t="s">
        <v>3786</v>
      </c>
      <c r="Q1050" s="5">
        <v>1</v>
      </c>
      <c r="R1050" s="5" t="str">
        <f t="shared" si="149"/>
        <v>Specialisation</v>
      </c>
      <c r="S1050" s="5" t="s">
        <v>3790</v>
      </c>
      <c r="T1050" s="4">
        <v>29407</v>
      </c>
      <c r="U1050" s="5">
        <f t="shared" si="146"/>
        <v>1980</v>
      </c>
      <c r="V1050" s="5" t="s">
        <v>3793</v>
      </c>
      <c r="W1050" s="9">
        <f t="shared" si="147"/>
        <v>44</v>
      </c>
      <c r="X1050" s="5" t="str">
        <f t="shared" si="150"/>
        <v>[40 - 44 ans]</v>
      </c>
      <c r="Y1050" s="5" t="str">
        <f t="shared" si="151"/>
        <v xml:space="preserve"> Generation X </v>
      </c>
      <c r="Z1050" s="9">
        <f t="shared" si="148"/>
        <v>16</v>
      </c>
      <c r="AA1050" s="5" t="str">
        <f t="shared" si="152"/>
        <v>RAS</v>
      </c>
      <c r="AB1050" s="5" t="s">
        <v>3805</v>
      </c>
      <c r="AC1050" s="6" t="s">
        <v>3799</v>
      </c>
      <c r="AE1050" s="5" t="s">
        <v>3844</v>
      </c>
      <c r="AF1050" s="5" t="s">
        <v>4482</v>
      </c>
      <c r="AG1050" s="5" t="s">
        <v>4485</v>
      </c>
      <c r="AH1050" s="5" t="s">
        <v>4488</v>
      </c>
      <c r="AI1050" s="5" t="s">
        <v>4133</v>
      </c>
      <c r="AJ1050" s="5" t="s">
        <v>4134</v>
      </c>
      <c r="AK1050" s="5" t="s">
        <v>3983</v>
      </c>
      <c r="AL1050" s="5" t="s">
        <v>3858</v>
      </c>
    </row>
    <row r="1051" spans="1:38" x14ac:dyDescent="0.3">
      <c r="A1051" s="4">
        <v>45716</v>
      </c>
      <c r="B1051" s="5" t="s">
        <v>3713</v>
      </c>
      <c r="C1051" s="5" t="s">
        <v>3714</v>
      </c>
      <c r="D1051" s="5" t="s">
        <v>3715</v>
      </c>
      <c r="E1051" s="5" t="s">
        <v>4494</v>
      </c>
      <c r="G1051" s="5" t="s">
        <v>78</v>
      </c>
      <c r="H1051" s="5" t="s">
        <v>1928</v>
      </c>
      <c r="I1051" s="5" t="s">
        <v>590</v>
      </c>
      <c r="J1051" s="5" t="s">
        <v>169</v>
      </c>
      <c r="K1051" s="4">
        <v>39412</v>
      </c>
      <c r="L1051" s="4">
        <v>39412</v>
      </c>
      <c r="M1051" s="9">
        <f t="shared" si="144"/>
        <v>17</v>
      </c>
      <c r="N1051" s="4" t="str">
        <f t="shared" si="145"/>
        <v>] 15 ; +oo [</v>
      </c>
      <c r="O1051" s="5" t="s">
        <v>3786</v>
      </c>
      <c r="P1051" s="5" t="s">
        <v>3786</v>
      </c>
      <c r="Q1051" s="5">
        <v>1</v>
      </c>
      <c r="R1051" s="5" t="str">
        <f t="shared" si="149"/>
        <v>Specialisation</v>
      </c>
      <c r="S1051" s="5" t="s">
        <v>3790</v>
      </c>
      <c r="T1051" s="4">
        <v>30928</v>
      </c>
      <c r="U1051" s="5">
        <f t="shared" si="146"/>
        <v>1984</v>
      </c>
      <c r="V1051" s="5" t="s">
        <v>3793</v>
      </c>
      <c r="W1051" s="9">
        <f t="shared" si="147"/>
        <v>40</v>
      </c>
      <c r="X1051" s="5" t="str">
        <f t="shared" si="150"/>
        <v>[40 - 44 ans]</v>
      </c>
      <c r="Y1051" s="5" t="str">
        <f t="shared" si="151"/>
        <v xml:space="preserve"> Mellenials </v>
      </c>
      <c r="Z1051" s="9">
        <f t="shared" si="148"/>
        <v>20</v>
      </c>
      <c r="AA1051" s="5" t="str">
        <f t="shared" si="152"/>
        <v>RAS</v>
      </c>
      <c r="AB1051" s="5" t="s">
        <v>3808</v>
      </c>
      <c r="AC1051" s="6" t="s">
        <v>3799</v>
      </c>
      <c r="AE1051" s="5" t="s">
        <v>3844</v>
      </c>
      <c r="AF1051" s="5" t="s">
        <v>4482</v>
      </c>
      <c r="AG1051" s="5" t="s">
        <v>4485</v>
      </c>
      <c r="AH1051" s="5" t="s">
        <v>4488</v>
      </c>
      <c r="AI1051" s="5" t="s">
        <v>4138</v>
      </c>
      <c r="AJ1051" s="5" t="s">
        <v>4139</v>
      </c>
      <c r="AK1051" s="5" t="s">
        <v>4090</v>
      </c>
      <c r="AL1051" s="5" t="s">
        <v>3858</v>
      </c>
    </row>
    <row r="1052" spans="1:38" x14ac:dyDescent="0.3">
      <c r="A1052" s="4">
        <v>45716</v>
      </c>
      <c r="B1052" s="5" t="s">
        <v>3716</v>
      </c>
      <c r="C1052" s="5" t="s">
        <v>3717</v>
      </c>
      <c r="D1052" s="5" t="s">
        <v>3718</v>
      </c>
      <c r="E1052" s="5" t="s">
        <v>4494</v>
      </c>
      <c r="G1052" s="5" t="s">
        <v>78</v>
      </c>
      <c r="H1052" s="5" t="s">
        <v>2787</v>
      </c>
      <c r="I1052" s="5" t="s">
        <v>1514</v>
      </c>
      <c r="J1052" s="5" t="s">
        <v>3294</v>
      </c>
      <c r="K1052" s="4">
        <v>39496</v>
      </c>
      <c r="L1052" s="4">
        <v>39496</v>
      </c>
      <c r="M1052" s="9">
        <f t="shared" si="144"/>
        <v>17</v>
      </c>
      <c r="N1052" s="4" t="str">
        <f t="shared" si="145"/>
        <v>] 15 ; +oo [</v>
      </c>
      <c r="O1052" s="5" t="s">
        <v>3788</v>
      </c>
      <c r="P1052" s="5" t="s">
        <v>3780</v>
      </c>
      <c r="Q1052" s="5">
        <v>1</v>
      </c>
      <c r="R1052" s="5" t="str">
        <f t="shared" si="149"/>
        <v>Qualification</v>
      </c>
      <c r="S1052" s="5" t="s">
        <v>3790</v>
      </c>
      <c r="T1052" s="4">
        <v>29296</v>
      </c>
      <c r="U1052" s="5">
        <f t="shared" si="146"/>
        <v>1980</v>
      </c>
      <c r="V1052" s="5" t="s">
        <v>3793</v>
      </c>
      <c r="W1052" s="9">
        <f t="shared" si="147"/>
        <v>44</v>
      </c>
      <c r="X1052" s="5" t="str">
        <f t="shared" si="150"/>
        <v>[40 - 44 ans]</v>
      </c>
      <c r="Y1052" s="5" t="str">
        <f t="shared" si="151"/>
        <v xml:space="preserve"> Generation X </v>
      </c>
      <c r="Z1052" s="9">
        <f t="shared" si="148"/>
        <v>16</v>
      </c>
      <c r="AA1052" s="5" t="str">
        <f t="shared" si="152"/>
        <v>RAS</v>
      </c>
      <c r="AB1052" s="5" t="s">
        <v>3807</v>
      </c>
      <c r="AC1052" s="6" t="s">
        <v>3799</v>
      </c>
      <c r="AE1052" s="5" t="s">
        <v>3844</v>
      </c>
      <c r="AF1052" s="5" t="s">
        <v>4482</v>
      </c>
      <c r="AG1052" s="5" t="s">
        <v>4485</v>
      </c>
      <c r="AH1052" s="5" t="s">
        <v>4488</v>
      </c>
      <c r="AI1052" s="5" t="s">
        <v>4326</v>
      </c>
      <c r="AJ1052" s="5" t="s">
        <v>4327</v>
      </c>
      <c r="AK1052" s="5" t="s">
        <v>4090</v>
      </c>
      <c r="AL1052" s="5" t="s">
        <v>3858</v>
      </c>
    </row>
    <row r="1053" spans="1:38" x14ac:dyDescent="0.3">
      <c r="A1053" s="4">
        <v>45716</v>
      </c>
      <c r="B1053" s="5" t="s">
        <v>3719</v>
      </c>
      <c r="C1053" s="5" t="s">
        <v>3720</v>
      </c>
      <c r="D1053" s="5" t="s">
        <v>3721</v>
      </c>
      <c r="E1053" s="5" t="s">
        <v>4494</v>
      </c>
      <c r="G1053" s="5" t="s">
        <v>78</v>
      </c>
      <c r="H1053" s="5" t="s">
        <v>2787</v>
      </c>
      <c r="I1053" s="5" t="s">
        <v>1514</v>
      </c>
      <c r="J1053" s="5" t="s">
        <v>3294</v>
      </c>
      <c r="K1053" s="4">
        <v>39671</v>
      </c>
      <c r="L1053" s="4">
        <v>39671</v>
      </c>
      <c r="M1053" s="9">
        <f t="shared" si="144"/>
        <v>16</v>
      </c>
      <c r="N1053" s="4" t="str">
        <f t="shared" si="145"/>
        <v>] 15 ; +oo [</v>
      </c>
      <c r="O1053" s="5" t="s">
        <v>3788</v>
      </c>
      <c r="P1053" s="5" t="s">
        <v>3780</v>
      </c>
      <c r="Q1053" s="5">
        <v>1</v>
      </c>
      <c r="R1053" s="5" t="str">
        <f t="shared" si="149"/>
        <v>Qualification</v>
      </c>
      <c r="S1053" s="5" t="s">
        <v>3790</v>
      </c>
      <c r="T1053" s="4">
        <v>31015</v>
      </c>
      <c r="U1053" s="5">
        <f t="shared" si="146"/>
        <v>1984</v>
      </c>
      <c r="V1053" s="5" t="s">
        <v>3793</v>
      </c>
      <c r="W1053" s="9">
        <f t="shared" si="147"/>
        <v>40</v>
      </c>
      <c r="X1053" s="5" t="str">
        <f t="shared" si="150"/>
        <v>[40 - 44 ans]</v>
      </c>
      <c r="Y1053" s="5" t="str">
        <f t="shared" si="151"/>
        <v xml:space="preserve"> Mellenials </v>
      </c>
      <c r="Z1053" s="9">
        <f t="shared" si="148"/>
        <v>20</v>
      </c>
      <c r="AA1053" s="5" t="str">
        <f t="shared" si="152"/>
        <v>RAS</v>
      </c>
      <c r="AB1053" s="5" t="s">
        <v>3808</v>
      </c>
      <c r="AC1053" s="6" t="s">
        <v>3799</v>
      </c>
      <c r="AE1053" s="5" t="s">
        <v>3844</v>
      </c>
      <c r="AF1053" s="5" t="s">
        <v>4482</v>
      </c>
      <c r="AG1053" s="5" t="s">
        <v>4485</v>
      </c>
      <c r="AH1053" s="5" t="s">
        <v>4488</v>
      </c>
      <c r="AI1053" s="5" t="s">
        <v>4326</v>
      </c>
      <c r="AJ1053" s="5" t="s">
        <v>4327</v>
      </c>
      <c r="AK1053" s="5" t="s">
        <v>4090</v>
      </c>
      <c r="AL1053" s="5" t="s">
        <v>3858</v>
      </c>
    </row>
    <row r="1054" spans="1:38" x14ac:dyDescent="0.3">
      <c r="A1054" s="4">
        <v>45716</v>
      </c>
      <c r="B1054" s="5" t="s">
        <v>3722</v>
      </c>
      <c r="C1054" s="5" t="s">
        <v>3723</v>
      </c>
      <c r="D1054" s="5" t="s">
        <v>3724</v>
      </c>
      <c r="E1054" s="5" t="s">
        <v>4494</v>
      </c>
      <c r="G1054" s="5" t="s">
        <v>78</v>
      </c>
      <c r="H1054" s="5" t="s">
        <v>2787</v>
      </c>
      <c r="I1054" s="5" t="s">
        <v>1514</v>
      </c>
      <c r="J1054" s="5" t="s">
        <v>3294</v>
      </c>
      <c r="K1054" s="4">
        <v>40009</v>
      </c>
      <c r="L1054" s="4">
        <v>40009</v>
      </c>
      <c r="M1054" s="9">
        <f t="shared" si="144"/>
        <v>15</v>
      </c>
      <c r="N1054" s="4" t="str">
        <f t="shared" si="145"/>
        <v>] 10 ; 15 ]</v>
      </c>
      <c r="O1054" s="5" t="s">
        <v>3788</v>
      </c>
      <c r="P1054" s="5" t="s">
        <v>3780</v>
      </c>
      <c r="Q1054" s="5">
        <v>1</v>
      </c>
      <c r="R1054" s="5" t="str">
        <f t="shared" si="149"/>
        <v>Qualification</v>
      </c>
      <c r="S1054" s="5" t="s">
        <v>3790</v>
      </c>
      <c r="T1054" s="4">
        <v>30153</v>
      </c>
      <c r="U1054" s="5">
        <f t="shared" si="146"/>
        <v>1982</v>
      </c>
      <c r="V1054" s="5" t="s">
        <v>3793</v>
      </c>
      <c r="W1054" s="9">
        <f t="shared" si="147"/>
        <v>42</v>
      </c>
      <c r="X1054" s="5" t="str">
        <f t="shared" si="150"/>
        <v>[40 - 44 ans]</v>
      </c>
      <c r="Y1054" s="5" t="str">
        <f t="shared" si="151"/>
        <v xml:space="preserve"> Mellenials </v>
      </c>
      <c r="Z1054" s="9">
        <f t="shared" si="148"/>
        <v>18</v>
      </c>
      <c r="AA1054" s="5" t="str">
        <f t="shared" si="152"/>
        <v>RAS</v>
      </c>
      <c r="AB1054" s="5" t="s">
        <v>3808</v>
      </c>
      <c r="AC1054" s="6" t="s">
        <v>3799</v>
      </c>
      <c r="AE1054" s="5" t="s">
        <v>3844</v>
      </c>
      <c r="AF1054" s="5" t="s">
        <v>4482</v>
      </c>
      <c r="AG1054" s="5" t="s">
        <v>4485</v>
      </c>
      <c r="AH1054" s="5" t="s">
        <v>4488</v>
      </c>
      <c r="AI1054" s="5" t="s">
        <v>4326</v>
      </c>
      <c r="AJ1054" s="5" t="s">
        <v>4327</v>
      </c>
      <c r="AK1054" s="5" t="s">
        <v>4090</v>
      </c>
      <c r="AL1054" s="5" t="s">
        <v>3858</v>
      </c>
    </row>
    <row r="1055" spans="1:38" x14ac:dyDescent="0.3">
      <c r="A1055" s="4">
        <v>45716</v>
      </c>
      <c r="B1055" s="5" t="s">
        <v>3725</v>
      </c>
      <c r="C1055" s="5" t="s">
        <v>3726</v>
      </c>
      <c r="D1055" s="5" t="s">
        <v>3727</v>
      </c>
      <c r="E1055" s="5" t="s">
        <v>4494</v>
      </c>
      <c r="G1055" s="5" t="s">
        <v>78</v>
      </c>
      <c r="H1055" s="5" t="s">
        <v>2787</v>
      </c>
      <c r="I1055" s="5" t="s">
        <v>1514</v>
      </c>
      <c r="J1055" s="5" t="s">
        <v>3294</v>
      </c>
      <c r="K1055" s="4">
        <v>40000</v>
      </c>
      <c r="L1055" s="4">
        <v>40000</v>
      </c>
      <c r="M1055" s="9">
        <f t="shared" si="144"/>
        <v>15</v>
      </c>
      <c r="N1055" s="4" t="str">
        <f t="shared" si="145"/>
        <v>] 10 ; 15 ]</v>
      </c>
      <c r="O1055" s="5" t="s">
        <v>3788</v>
      </c>
      <c r="P1055" s="5" t="s">
        <v>3780</v>
      </c>
      <c r="Q1055" s="5">
        <v>1</v>
      </c>
      <c r="R1055" s="5" t="str">
        <f t="shared" si="149"/>
        <v>Qualification</v>
      </c>
      <c r="S1055" s="5" t="s">
        <v>3790</v>
      </c>
      <c r="T1055" s="4">
        <v>32616</v>
      </c>
      <c r="U1055" s="5">
        <f t="shared" si="146"/>
        <v>1989</v>
      </c>
      <c r="V1055" s="5" t="s">
        <v>3792</v>
      </c>
      <c r="W1055" s="9">
        <f t="shared" si="147"/>
        <v>35</v>
      </c>
      <c r="X1055" s="5" t="str">
        <f t="shared" si="150"/>
        <v>[35 - 39 ans ]</v>
      </c>
      <c r="Y1055" s="5" t="str">
        <f t="shared" si="151"/>
        <v xml:space="preserve"> Mellenials </v>
      </c>
      <c r="Z1055" s="9">
        <f t="shared" si="148"/>
        <v>25</v>
      </c>
      <c r="AA1055" s="5" t="str">
        <f t="shared" si="152"/>
        <v>RAS</v>
      </c>
      <c r="AB1055" s="5" t="s">
        <v>3808</v>
      </c>
      <c r="AC1055" s="6" t="s">
        <v>3799</v>
      </c>
      <c r="AE1055" s="5" t="s">
        <v>3844</v>
      </c>
      <c r="AF1055" s="5" t="s">
        <v>4482</v>
      </c>
      <c r="AG1055" s="5" t="s">
        <v>4485</v>
      </c>
      <c r="AH1055" s="5" t="s">
        <v>4488</v>
      </c>
      <c r="AI1055" s="5" t="s">
        <v>4326</v>
      </c>
      <c r="AJ1055" s="5" t="s">
        <v>4327</v>
      </c>
      <c r="AK1055" s="5" t="s">
        <v>4090</v>
      </c>
      <c r="AL1055" s="5" t="s">
        <v>3858</v>
      </c>
    </row>
    <row r="1056" spans="1:38" x14ac:dyDescent="0.3">
      <c r="A1056" s="4">
        <v>45716</v>
      </c>
      <c r="B1056" s="5" t="s">
        <v>3728</v>
      </c>
      <c r="C1056" s="5" t="s">
        <v>3729</v>
      </c>
      <c r="D1056" s="5" t="s">
        <v>3730</v>
      </c>
      <c r="E1056" s="5" t="s">
        <v>4494</v>
      </c>
      <c r="G1056" s="5" t="s">
        <v>78</v>
      </c>
      <c r="H1056" s="5" t="s">
        <v>523</v>
      </c>
      <c r="I1056" s="5" t="s">
        <v>2069</v>
      </c>
      <c r="J1056" s="5" t="s">
        <v>1518</v>
      </c>
      <c r="K1056" s="4">
        <v>40112</v>
      </c>
      <c r="L1056" s="4">
        <v>40112</v>
      </c>
      <c r="M1056" s="9">
        <f t="shared" si="144"/>
        <v>15</v>
      </c>
      <c r="N1056" s="4" t="str">
        <f t="shared" si="145"/>
        <v>] 10 ; 15 ]</v>
      </c>
      <c r="O1056" s="5" t="s">
        <v>3788</v>
      </c>
      <c r="P1056" s="5" t="s">
        <v>3788</v>
      </c>
      <c r="Q1056" s="5">
        <v>3</v>
      </c>
      <c r="R1056" s="5" t="str">
        <f t="shared" si="149"/>
        <v>Qualification</v>
      </c>
      <c r="S1056" s="5" t="s">
        <v>3790</v>
      </c>
      <c r="T1056" s="4">
        <v>31703</v>
      </c>
      <c r="U1056" s="5">
        <f t="shared" si="146"/>
        <v>1986</v>
      </c>
      <c r="V1056" s="5" t="s">
        <v>3793</v>
      </c>
      <c r="W1056" s="9">
        <f t="shared" si="147"/>
        <v>38</v>
      </c>
      <c r="X1056" s="5" t="str">
        <f t="shared" si="150"/>
        <v>[35 - 39 ans ]</v>
      </c>
      <c r="Y1056" s="5" t="str">
        <f t="shared" si="151"/>
        <v xml:space="preserve"> Mellenials </v>
      </c>
      <c r="Z1056" s="9">
        <f t="shared" si="148"/>
        <v>22</v>
      </c>
      <c r="AA1056" s="5" t="str">
        <f t="shared" si="152"/>
        <v>RAS</v>
      </c>
      <c r="AB1056" s="5" t="s">
        <v>3808</v>
      </c>
      <c r="AC1056" s="6" t="s">
        <v>3799</v>
      </c>
      <c r="AE1056" s="5" t="s">
        <v>3844</v>
      </c>
      <c r="AF1056" s="5" t="s">
        <v>4482</v>
      </c>
      <c r="AG1056" s="5" t="s">
        <v>4485</v>
      </c>
      <c r="AH1056" s="5" t="s">
        <v>4488</v>
      </c>
      <c r="AI1056" s="5" t="s">
        <v>4104</v>
      </c>
      <c r="AJ1056" s="5" t="s">
        <v>4105</v>
      </c>
      <c r="AK1056" s="5" t="s">
        <v>4090</v>
      </c>
      <c r="AL1056" s="5" t="s">
        <v>3858</v>
      </c>
    </row>
    <row r="1057" spans="1:38" x14ac:dyDescent="0.3">
      <c r="A1057" s="4">
        <v>45716</v>
      </c>
      <c r="B1057" s="5" t="s">
        <v>3731</v>
      </c>
      <c r="C1057" s="5" t="s">
        <v>3732</v>
      </c>
      <c r="D1057" s="5" t="s">
        <v>3733</v>
      </c>
      <c r="E1057" s="5" t="s">
        <v>4494</v>
      </c>
      <c r="G1057" s="5" t="s">
        <v>78</v>
      </c>
      <c r="H1057" s="5" t="s">
        <v>3734</v>
      </c>
      <c r="I1057" s="5" t="s">
        <v>1633</v>
      </c>
      <c r="J1057" s="5" t="s">
        <v>1518</v>
      </c>
      <c r="K1057" s="4">
        <v>40117</v>
      </c>
      <c r="L1057" s="4">
        <v>40117</v>
      </c>
      <c r="M1057" s="9">
        <f t="shared" si="144"/>
        <v>15</v>
      </c>
      <c r="N1057" s="4" t="str">
        <f t="shared" si="145"/>
        <v>] 10 ; 15 ]</v>
      </c>
      <c r="O1057" s="5" t="s">
        <v>3788</v>
      </c>
      <c r="P1057" s="5" t="s">
        <v>3788</v>
      </c>
      <c r="Q1057" s="5">
        <v>3</v>
      </c>
      <c r="R1057" s="5" t="str">
        <f t="shared" si="149"/>
        <v>Qualification</v>
      </c>
      <c r="S1057" s="5" t="s">
        <v>3790</v>
      </c>
      <c r="T1057" s="4">
        <v>31809</v>
      </c>
      <c r="U1057" s="5">
        <f t="shared" si="146"/>
        <v>1987</v>
      </c>
      <c r="V1057" s="5" t="s">
        <v>3792</v>
      </c>
      <c r="W1057" s="9">
        <f t="shared" si="147"/>
        <v>38</v>
      </c>
      <c r="X1057" s="5" t="str">
        <f t="shared" si="150"/>
        <v>[35 - 39 ans ]</v>
      </c>
      <c r="Y1057" s="5" t="str">
        <f t="shared" si="151"/>
        <v xml:space="preserve"> Mellenials </v>
      </c>
      <c r="Z1057" s="9">
        <f t="shared" si="148"/>
        <v>22</v>
      </c>
      <c r="AA1057" s="5" t="str">
        <f t="shared" si="152"/>
        <v>RAS</v>
      </c>
      <c r="AB1057" s="5" t="s">
        <v>3808</v>
      </c>
      <c r="AC1057" s="6" t="s">
        <v>3799</v>
      </c>
      <c r="AE1057" s="5" t="s">
        <v>3844</v>
      </c>
      <c r="AF1057" s="5" t="s">
        <v>4482</v>
      </c>
      <c r="AG1057" s="5" t="s">
        <v>4485</v>
      </c>
      <c r="AH1057" s="5" t="s">
        <v>4488</v>
      </c>
      <c r="AI1057" s="5" t="s">
        <v>4106</v>
      </c>
      <c r="AJ1057" s="5" t="s">
        <v>4107</v>
      </c>
      <c r="AK1057" s="5" t="s">
        <v>4108</v>
      </c>
      <c r="AL1057" s="5" t="s">
        <v>3858</v>
      </c>
    </row>
    <row r="1058" spans="1:38" x14ac:dyDescent="0.3">
      <c r="A1058" s="4">
        <v>45716</v>
      </c>
      <c r="B1058" s="5" t="s">
        <v>3735</v>
      </c>
      <c r="C1058" s="5" t="s">
        <v>3736</v>
      </c>
      <c r="D1058" s="5" t="s">
        <v>3737</v>
      </c>
      <c r="E1058" s="5" t="s">
        <v>4494</v>
      </c>
      <c r="G1058" s="5" t="s">
        <v>78</v>
      </c>
      <c r="H1058" s="5" t="s">
        <v>3738</v>
      </c>
      <c r="I1058" s="5" t="s">
        <v>1514</v>
      </c>
      <c r="J1058" s="5" t="s">
        <v>3294</v>
      </c>
      <c r="K1058" s="4">
        <v>40126</v>
      </c>
      <c r="L1058" s="4">
        <v>40126</v>
      </c>
      <c r="M1058" s="9">
        <f t="shared" si="144"/>
        <v>15</v>
      </c>
      <c r="N1058" s="4" t="str">
        <f t="shared" si="145"/>
        <v>] 10 ; 15 ]</v>
      </c>
      <c r="O1058" s="5" t="s">
        <v>3788</v>
      </c>
      <c r="P1058" s="5" t="s">
        <v>3788</v>
      </c>
      <c r="Q1058" s="5">
        <v>3</v>
      </c>
      <c r="R1058" s="5" t="str">
        <f t="shared" si="149"/>
        <v>Qualification</v>
      </c>
      <c r="S1058" s="5" t="s">
        <v>3790</v>
      </c>
      <c r="T1058" s="4">
        <v>32235</v>
      </c>
      <c r="U1058" s="5">
        <f t="shared" si="146"/>
        <v>1988</v>
      </c>
      <c r="V1058" s="5" t="s">
        <v>3793</v>
      </c>
      <c r="W1058" s="9">
        <f t="shared" si="147"/>
        <v>36</v>
      </c>
      <c r="X1058" s="5" t="str">
        <f t="shared" si="150"/>
        <v>[35 - 39 ans ]</v>
      </c>
      <c r="Y1058" s="5" t="str">
        <f t="shared" si="151"/>
        <v xml:space="preserve"> Mellenials </v>
      </c>
      <c r="Z1058" s="9">
        <f t="shared" si="148"/>
        <v>24</v>
      </c>
      <c r="AA1058" s="5" t="str">
        <f t="shared" si="152"/>
        <v>RAS</v>
      </c>
      <c r="AB1058" s="5" t="s">
        <v>3808</v>
      </c>
      <c r="AC1058" s="6" t="s">
        <v>3799</v>
      </c>
      <c r="AE1058" s="5" t="s">
        <v>3844</v>
      </c>
      <c r="AF1058" s="5" t="s">
        <v>4482</v>
      </c>
      <c r="AG1058" s="5" t="s">
        <v>4485</v>
      </c>
      <c r="AH1058" s="5" t="s">
        <v>4488</v>
      </c>
      <c r="AI1058" s="5" t="s">
        <v>4460</v>
      </c>
      <c r="AJ1058" s="5" t="s">
        <v>4327</v>
      </c>
      <c r="AK1058" s="5" t="s">
        <v>4090</v>
      </c>
      <c r="AL1058" s="5" t="s">
        <v>3858</v>
      </c>
    </row>
    <row r="1059" spans="1:38" x14ac:dyDescent="0.3">
      <c r="A1059" s="4">
        <v>45716</v>
      </c>
      <c r="B1059" s="5" t="s">
        <v>3739</v>
      </c>
      <c r="C1059" s="5" t="s">
        <v>3740</v>
      </c>
      <c r="D1059" s="5" t="s">
        <v>3741</v>
      </c>
      <c r="E1059" s="5" t="s">
        <v>4494</v>
      </c>
      <c r="G1059" s="5" t="s">
        <v>78</v>
      </c>
      <c r="H1059" s="5" t="s">
        <v>523</v>
      </c>
      <c r="I1059" s="5" t="s">
        <v>2069</v>
      </c>
      <c r="J1059" s="5" t="s">
        <v>1518</v>
      </c>
      <c r="K1059" s="4">
        <v>40126</v>
      </c>
      <c r="L1059" s="4">
        <v>40126</v>
      </c>
      <c r="M1059" s="9">
        <f t="shared" si="144"/>
        <v>15</v>
      </c>
      <c r="N1059" s="4" t="str">
        <f t="shared" si="145"/>
        <v>] 10 ; 15 ]</v>
      </c>
      <c r="O1059" s="5" t="s">
        <v>3788</v>
      </c>
      <c r="P1059" s="5" t="s">
        <v>3788</v>
      </c>
      <c r="Q1059" s="5">
        <v>2</v>
      </c>
      <c r="R1059" s="5" t="str">
        <f t="shared" si="149"/>
        <v>Qualification</v>
      </c>
      <c r="S1059" s="5" t="s">
        <v>3790</v>
      </c>
      <c r="T1059" s="4">
        <v>29613</v>
      </c>
      <c r="U1059" s="5">
        <f t="shared" si="146"/>
        <v>1981</v>
      </c>
      <c r="V1059" s="5" t="s">
        <v>3793</v>
      </c>
      <c r="W1059" s="9">
        <f t="shared" si="147"/>
        <v>44</v>
      </c>
      <c r="X1059" s="5" t="str">
        <f t="shared" si="150"/>
        <v>[40 - 44 ans]</v>
      </c>
      <c r="Y1059" s="5" t="str">
        <f t="shared" si="151"/>
        <v xml:space="preserve"> Mellenials </v>
      </c>
      <c r="Z1059" s="9">
        <f t="shared" si="148"/>
        <v>16</v>
      </c>
      <c r="AA1059" s="5" t="str">
        <f t="shared" si="152"/>
        <v>RAS</v>
      </c>
      <c r="AB1059" s="5" t="s">
        <v>3808</v>
      </c>
      <c r="AC1059" s="6" t="s">
        <v>3799</v>
      </c>
      <c r="AE1059" s="5" t="s">
        <v>3844</v>
      </c>
      <c r="AF1059" s="5" t="s">
        <v>4482</v>
      </c>
      <c r="AG1059" s="5" t="s">
        <v>4485</v>
      </c>
      <c r="AH1059" s="5" t="s">
        <v>4488</v>
      </c>
      <c r="AI1059" s="5" t="s">
        <v>4104</v>
      </c>
      <c r="AJ1059" s="5" t="s">
        <v>4105</v>
      </c>
      <c r="AK1059" s="5" t="s">
        <v>4341</v>
      </c>
      <c r="AL1059" s="5" t="s">
        <v>3858</v>
      </c>
    </row>
    <row r="1060" spans="1:38" x14ac:dyDescent="0.3">
      <c r="A1060" s="4">
        <v>45716</v>
      </c>
      <c r="B1060" s="5" t="s">
        <v>3742</v>
      </c>
      <c r="C1060" s="5" t="s">
        <v>3743</v>
      </c>
      <c r="D1060" s="5" t="s">
        <v>3744</v>
      </c>
      <c r="E1060" s="5" t="s">
        <v>4494</v>
      </c>
      <c r="G1060" s="5" t="s">
        <v>78</v>
      </c>
      <c r="H1060" s="5" t="s">
        <v>2787</v>
      </c>
      <c r="I1060" s="5" t="s">
        <v>1514</v>
      </c>
      <c r="J1060" s="5" t="s">
        <v>3294</v>
      </c>
      <c r="K1060" s="4">
        <v>40126</v>
      </c>
      <c r="L1060" s="4">
        <v>40126</v>
      </c>
      <c r="M1060" s="9">
        <f t="shared" si="144"/>
        <v>15</v>
      </c>
      <c r="N1060" s="4" t="str">
        <f t="shared" si="145"/>
        <v>] 10 ; 15 ]</v>
      </c>
      <c r="O1060" s="5" t="s">
        <v>3788</v>
      </c>
      <c r="P1060" s="5" t="s">
        <v>3780</v>
      </c>
      <c r="Q1060" s="5">
        <v>1</v>
      </c>
      <c r="R1060" s="5" t="str">
        <f t="shared" si="149"/>
        <v>Qualification</v>
      </c>
      <c r="S1060" s="5" t="s">
        <v>3790</v>
      </c>
      <c r="T1060" s="4">
        <v>30565</v>
      </c>
      <c r="U1060" s="5">
        <f t="shared" si="146"/>
        <v>1983</v>
      </c>
      <c r="V1060" s="5" t="s">
        <v>3792</v>
      </c>
      <c r="W1060" s="9">
        <f t="shared" si="147"/>
        <v>41</v>
      </c>
      <c r="X1060" s="5" t="str">
        <f t="shared" si="150"/>
        <v>[40 - 44 ans]</v>
      </c>
      <c r="Y1060" s="5" t="str">
        <f t="shared" si="151"/>
        <v xml:space="preserve"> Mellenials </v>
      </c>
      <c r="Z1060" s="9">
        <f t="shared" si="148"/>
        <v>19</v>
      </c>
      <c r="AA1060" s="5" t="str">
        <f t="shared" si="152"/>
        <v>RAS</v>
      </c>
      <c r="AB1060" s="5" t="s">
        <v>3808</v>
      </c>
      <c r="AC1060" s="6" t="s">
        <v>3799</v>
      </c>
      <c r="AE1060" s="5" t="s">
        <v>3844</v>
      </c>
      <c r="AF1060" s="5" t="s">
        <v>4482</v>
      </c>
      <c r="AG1060" s="5" t="s">
        <v>4485</v>
      </c>
      <c r="AH1060" s="5" t="s">
        <v>4488</v>
      </c>
      <c r="AI1060" s="5" t="s">
        <v>4326</v>
      </c>
      <c r="AJ1060" s="5" t="s">
        <v>4327</v>
      </c>
      <c r="AK1060" s="5" t="s">
        <v>4090</v>
      </c>
      <c r="AL1060" s="5" t="s">
        <v>3858</v>
      </c>
    </row>
    <row r="1061" spans="1:38" x14ac:dyDescent="0.3">
      <c r="A1061" s="4">
        <v>45716</v>
      </c>
      <c r="B1061" s="5" t="s">
        <v>3745</v>
      </c>
      <c r="C1061" s="5" t="s">
        <v>3746</v>
      </c>
      <c r="D1061" s="5" t="s">
        <v>3747</v>
      </c>
      <c r="E1061" s="5" t="s">
        <v>4494</v>
      </c>
      <c r="G1061" s="5" t="s">
        <v>78</v>
      </c>
      <c r="H1061" s="5" t="s">
        <v>2121</v>
      </c>
      <c r="I1061" s="5" t="s">
        <v>2312</v>
      </c>
      <c r="J1061" s="5" t="s">
        <v>298</v>
      </c>
      <c r="K1061" s="4">
        <v>40126</v>
      </c>
      <c r="L1061" s="4">
        <v>40126</v>
      </c>
      <c r="M1061" s="9">
        <f t="shared" si="144"/>
        <v>15</v>
      </c>
      <c r="N1061" s="4" t="str">
        <f t="shared" si="145"/>
        <v>] 10 ; 15 ]</v>
      </c>
      <c r="O1061" s="5" t="s">
        <v>3788</v>
      </c>
      <c r="P1061" s="5" t="s">
        <v>3788</v>
      </c>
      <c r="Q1061" s="5">
        <v>1</v>
      </c>
      <c r="R1061" s="5" t="str">
        <f t="shared" si="149"/>
        <v>Qualification</v>
      </c>
      <c r="S1061" s="5" t="s">
        <v>3789</v>
      </c>
      <c r="T1061" s="4">
        <v>29549</v>
      </c>
      <c r="U1061" s="5">
        <f t="shared" si="146"/>
        <v>1980</v>
      </c>
      <c r="V1061" s="5" t="s">
        <v>3793</v>
      </c>
      <c r="W1061" s="9">
        <f t="shared" si="147"/>
        <v>44</v>
      </c>
      <c r="X1061" s="5" t="str">
        <f t="shared" si="150"/>
        <v>[40 - 44 ans]</v>
      </c>
      <c r="Y1061" s="5" t="str">
        <f t="shared" si="151"/>
        <v xml:space="preserve"> Generation X </v>
      </c>
      <c r="Z1061" s="9">
        <f t="shared" si="148"/>
        <v>16</v>
      </c>
      <c r="AA1061" s="5" t="str">
        <f t="shared" si="152"/>
        <v>RAS</v>
      </c>
      <c r="AB1061" s="5" t="s">
        <v>3808</v>
      </c>
      <c r="AC1061" s="6" t="s">
        <v>3799</v>
      </c>
      <c r="AE1061" s="5" t="s">
        <v>3844</v>
      </c>
      <c r="AF1061" s="5" t="s">
        <v>4482</v>
      </c>
      <c r="AG1061" s="5" t="s">
        <v>4485</v>
      </c>
      <c r="AH1061" s="5" t="s">
        <v>4488</v>
      </c>
      <c r="AI1061" s="5" t="s">
        <v>4381</v>
      </c>
      <c r="AJ1061" s="5" t="s">
        <v>4382</v>
      </c>
      <c r="AK1061" s="5" t="s">
        <v>3946</v>
      </c>
      <c r="AL1061" s="5" t="s">
        <v>3858</v>
      </c>
    </row>
    <row r="1062" spans="1:38" x14ac:dyDescent="0.3">
      <c r="A1062" s="4">
        <v>45716</v>
      </c>
      <c r="B1062" s="5" t="s">
        <v>3748</v>
      </c>
      <c r="C1062" s="5" t="s">
        <v>3749</v>
      </c>
      <c r="D1062" s="5" t="s">
        <v>3750</v>
      </c>
      <c r="E1062" s="5" t="s">
        <v>4494</v>
      </c>
      <c r="G1062" s="5" t="s">
        <v>78</v>
      </c>
      <c r="H1062" s="5" t="s">
        <v>3734</v>
      </c>
      <c r="I1062" s="5" t="s">
        <v>1633</v>
      </c>
      <c r="J1062" s="5" t="s">
        <v>1518</v>
      </c>
      <c r="K1062" s="4">
        <v>40119</v>
      </c>
      <c r="L1062" s="4">
        <v>40119</v>
      </c>
      <c r="M1062" s="9">
        <f t="shared" si="144"/>
        <v>15</v>
      </c>
      <c r="N1062" s="4" t="str">
        <f t="shared" si="145"/>
        <v>] 10 ; 15 ]</v>
      </c>
      <c r="O1062" s="5" t="s">
        <v>3788</v>
      </c>
      <c r="P1062" s="5" t="s">
        <v>3788</v>
      </c>
      <c r="Q1062" s="5">
        <v>3</v>
      </c>
      <c r="R1062" s="5" t="str">
        <f t="shared" si="149"/>
        <v>Qualification</v>
      </c>
      <c r="S1062" s="5" t="s">
        <v>3790</v>
      </c>
      <c r="T1062" s="4">
        <v>28925</v>
      </c>
      <c r="U1062" s="5">
        <f t="shared" si="146"/>
        <v>1979</v>
      </c>
      <c r="V1062" s="5" t="s">
        <v>3792</v>
      </c>
      <c r="W1062" s="9">
        <f t="shared" si="147"/>
        <v>45</v>
      </c>
      <c r="X1062" s="5" t="str">
        <f t="shared" si="150"/>
        <v>[45 - 49 ans]</v>
      </c>
      <c r="Y1062" s="5" t="str">
        <f t="shared" si="151"/>
        <v xml:space="preserve"> Generation X </v>
      </c>
      <c r="Z1062" s="9">
        <f t="shared" si="148"/>
        <v>15</v>
      </c>
      <c r="AA1062" s="5" t="str">
        <f t="shared" si="152"/>
        <v>RAS</v>
      </c>
      <c r="AB1062" s="5" t="s">
        <v>3808</v>
      </c>
      <c r="AC1062" s="6" t="s">
        <v>3799</v>
      </c>
      <c r="AE1062" s="5" t="s">
        <v>3844</v>
      </c>
      <c r="AF1062" s="5" t="s">
        <v>4482</v>
      </c>
      <c r="AG1062" s="5" t="s">
        <v>4485</v>
      </c>
      <c r="AH1062" s="5" t="s">
        <v>4488</v>
      </c>
      <c r="AI1062" s="5" t="s">
        <v>4106</v>
      </c>
      <c r="AJ1062" s="5" t="s">
        <v>4107</v>
      </c>
      <c r="AK1062" s="5" t="s">
        <v>4108</v>
      </c>
      <c r="AL1062" s="5" t="s">
        <v>3858</v>
      </c>
    </row>
    <row r="1063" spans="1:38" x14ac:dyDescent="0.3">
      <c r="A1063" s="4">
        <v>45716</v>
      </c>
      <c r="B1063" s="5" t="s">
        <v>3751</v>
      </c>
      <c r="C1063" s="5" t="s">
        <v>3752</v>
      </c>
      <c r="D1063" s="5" t="s">
        <v>3753</v>
      </c>
      <c r="E1063" s="5" t="s">
        <v>4494</v>
      </c>
      <c r="G1063" s="5" t="s">
        <v>78</v>
      </c>
      <c r="H1063" s="5" t="s">
        <v>2787</v>
      </c>
      <c r="I1063" s="5" t="s">
        <v>1514</v>
      </c>
      <c r="J1063" s="5" t="s">
        <v>3294</v>
      </c>
      <c r="K1063" s="4">
        <v>40210</v>
      </c>
      <c r="L1063" s="4">
        <v>40210</v>
      </c>
      <c r="M1063" s="9">
        <f t="shared" si="144"/>
        <v>15</v>
      </c>
      <c r="N1063" s="4" t="str">
        <f t="shared" si="145"/>
        <v>] 10 ; 15 ]</v>
      </c>
      <c r="O1063" s="5" t="s">
        <v>3788</v>
      </c>
      <c r="P1063" s="5" t="s">
        <v>3780</v>
      </c>
      <c r="Q1063" s="5">
        <v>1</v>
      </c>
      <c r="R1063" s="5" t="str">
        <f t="shared" si="149"/>
        <v>Qualification</v>
      </c>
      <c r="S1063" s="5" t="s">
        <v>3790</v>
      </c>
      <c r="T1063" s="4">
        <v>30364</v>
      </c>
      <c r="U1063" s="5">
        <f t="shared" si="146"/>
        <v>1983</v>
      </c>
      <c r="V1063" s="5" t="s">
        <v>3793</v>
      </c>
      <c r="W1063" s="9">
        <f t="shared" si="147"/>
        <v>42</v>
      </c>
      <c r="X1063" s="5" t="str">
        <f t="shared" si="150"/>
        <v>[40 - 44 ans]</v>
      </c>
      <c r="Y1063" s="5" t="str">
        <f t="shared" si="151"/>
        <v xml:space="preserve"> Mellenials </v>
      </c>
      <c r="Z1063" s="9">
        <f t="shared" si="148"/>
        <v>18</v>
      </c>
      <c r="AA1063" s="5" t="str">
        <f t="shared" si="152"/>
        <v>RAS</v>
      </c>
      <c r="AB1063" s="5" t="s">
        <v>3808</v>
      </c>
      <c r="AC1063" s="6" t="s">
        <v>3799</v>
      </c>
      <c r="AE1063" s="5" t="s">
        <v>3844</v>
      </c>
      <c r="AF1063" s="5" t="s">
        <v>4482</v>
      </c>
      <c r="AG1063" s="5" t="s">
        <v>4485</v>
      </c>
      <c r="AH1063" s="5" t="s">
        <v>4488</v>
      </c>
      <c r="AI1063" s="5" t="s">
        <v>4326</v>
      </c>
      <c r="AJ1063" s="5" t="s">
        <v>4327</v>
      </c>
      <c r="AK1063" s="5" t="s">
        <v>4090</v>
      </c>
      <c r="AL1063" s="5" t="s">
        <v>3858</v>
      </c>
    </row>
    <row r="1064" spans="1:38" x14ac:dyDescent="0.3">
      <c r="A1064" s="4">
        <v>45716</v>
      </c>
      <c r="B1064" s="5" t="s">
        <v>3754</v>
      </c>
      <c r="C1064" s="5" t="s">
        <v>3755</v>
      </c>
      <c r="D1064" s="5" t="s">
        <v>3756</v>
      </c>
      <c r="E1064" s="5" t="s">
        <v>4494</v>
      </c>
      <c r="G1064" s="5" t="s">
        <v>78</v>
      </c>
      <c r="H1064" s="5" t="s">
        <v>1614</v>
      </c>
      <c r="I1064" s="5" t="s">
        <v>1626</v>
      </c>
      <c r="J1064" s="5" t="s">
        <v>3294</v>
      </c>
      <c r="K1064" s="4">
        <v>40210</v>
      </c>
      <c r="L1064" s="4">
        <v>40210</v>
      </c>
      <c r="M1064" s="9">
        <f t="shared" si="144"/>
        <v>15</v>
      </c>
      <c r="N1064" s="4" t="str">
        <f t="shared" si="145"/>
        <v>] 10 ; 15 ]</v>
      </c>
      <c r="O1064" s="5" t="s">
        <v>3788</v>
      </c>
      <c r="P1064" s="5" t="s">
        <v>3788</v>
      </c>
      <c r="Q1064" s="5">
        <v>3</v>
      </c>
      <c r="R1064" s="5" t="str">
        <f t="shared" si="149"/>
        <v>Qualification</v>
      </c>
      <c r="S1064" s="5" t="s">
        <v>3790</v>
      </c>
      <c r="T1064" s="4">
        <v>28972</v>
      </c>
      <c r="U1064" s="5">
        <f t="shared" si="146"/>
        <v>1979</v>
      </c>
      <c r="V1064" s="5" t="s">
        <v>3793</v>
      </c>
      <c r="W1064" s="9">
        <f t="shared" si="147"/>
        <v>45</v>
      </c>
      <c r="X1064" s="5" t="str">
        <f t="shared" si="150"/>
        <v>[45 - 49 ans]</v>
      </c>
      <c r="Y1064" s="5" t="str">
        <f t="shared" si="151"/>
        <v xml:space="preserve"> Generation X </v>
      </c>
      <c r="Z1064" s="9">
        <f t="shared" si="148"/>
        <v>15</v>
      </c>
      <c r="AA1064" s="5" t="str">
        <f t="shared" si="152"/>
        <v>RAS</v>
      </c>
      <c r="AB1064" s="5" t="s">
        <v>3808</v>
      </c>
      <c r="AC1064" s="6" t="s">
        <v>3799</v>
      </c>
      <c r="AE1064" s="5" t="s">
        <v>3844</v>
      </c>
      <c r="AF1064" s="5" t="s">
        <v>4482</v>
      </c>
      <c r="AG1064" s="5" t="s">
        <v>4485</v>
      </c>
      <c r="AH1064" s="5" t="s">
        <v>4488</v>
      </c>
      <c r="AI1064" s="5" t="s">
        <v>4339</v>
      </c>
      <c r="AJ1064" s="5" t="s">
        <v>4340</v>
      </c>
      <c r="AK1064" s="5" t="s">
        <v>4341</v>
      </c>
      <c r="AL1064" s="5" t="s">
        <v>3858</v>
      </c>
    </row>
    <row r="1065" spans="1:38" x14ac:dyDescent="0.3">
      <c r="A1065" s="4">
        <v>45716</v>
      </c>
      <c r="B1065" s="5" t="s">
        <v>3757</v>
      </c>
      <c r="C1065" s="5" t="s">
        <v>3758</v>
      </c>
      <c r="D1065" s="5" t="s">
        <v>3759</v>
      </c>
      <c r="E1065" s="5" t="s">
        <v>4494</v>
      </c>
      <c r="G1065" s="5" t="s">
        <v>78</v>
      </c>
      <c r="H1065" s="5" t="s">
        <v>2121</v>
      </c>
      <c r="I1065" s="5" t="s">
        <v>2312</v>
      </c>
      <c r="J1065" s="5" t="s">
        <v>298</v>
      </c>
      <c r="K1065" s="4">
        <v>40220</v>
      </c>
      <c r="L1065" s="4">
        <v>40220</v>
      </c>
      <c r="M1065" s="9">
        <f t="shared" si="144"/>
        <v>15</v>
      </c>
      <c r="N1065" s="4" t="str">
        <f t="shared" si="145"/>
        <v>] 10 ; 15 ]</v>
      </c>
      <c r="O1065" s="5" t="s">
        <v>3788</v>
      </c>
      <c r="P1065" s="5" t="s">
        <v>3788</v>
      </c>
      <c r="Q1065" s="5">
        <v>1</v>
      </c>
      <c r="R1065" s="5" t="str">
        <f t="shared" si="149"/>
        <v>Qualification</v>
      </c>
      <c r="S1065" s="5" t="s">
        <v>3789</v>
      </c>
      <c r="T1065" s="4">
        <v>28779</v>
      </c>
      <c r="U1065" s="5">
        <f t="shared" si="146"/>
        <v>1978</v>
      </c>
      <c r="V1065" s="5" t="s">
        <v>3793</v>
      </c>
      <c r="W1065" s="9">
        <f t="shared" si="147"/>
        <v>46</v>
      </c>
      <c r="X1065" s="5" t="str">
        <f t="shared" si="150"/>
        <v>[45 - 49 ans]</v>
      </c>
      <c r="Y1065" s="5" t="str">
        <f t="shared" si="151"/>
        <v xml:space="preserve"> Generation X </v>
      </c>
      <c r="Z1065" s="9">
        <f t="shared" si="148"/>
        <v>14</v>
      </c>
      <c r="AA1065" s="5" t="str">
        <f t="shared" si="152"/>
        <v>RAS</v>
      </c>
      <c r="AB1065" s="5" t="s">
        <v>3808</v>
      </c>
      <c r="AC1065" s="6" t="s">
        <v>3799</v>
      </c>
      <c r="AE1065" s="5" t="s">
        <v>3844</v>
      </c>
      <c r="AF1065" s="5" t="s">
        <v>4482</v>
      </c>
      <c r="AG1065" s="5" t="s">
        <v>4485</v>
      </c>
      <c r="AH1065" s="5" t="s">
        <v>4488</v>
      </c>
      <c r="AI1065" s="5" t="s">
        <v>4381</v>
      </c>
      <c r="AJ1065" s="5" t="s">
        <v>4382</v>
      </c>
      <c r="AK1065" s="5" t="s">
        <v>3946</v>
      </c>
      <c r="AL1065" s="5" t="s">
        <v>3858</v>
      </c>
    </row>
    <row r="1066" spans="1:38" x14ac:dyDescent="0.3">
      <c r="A1066" s="4">
        <v>45716</v>
      </c>
      <c r="B1066" s="5" t="s">
        <v>3760</v>
      </c>
      <c r="C1066" s="5" t="s">
        <v>3761</v>
      </c>
      <c r="D1066" s="5" t="s">
        <v>3762</v>
      </c>
      <c r="E1066" s="5" t="s">
        <v>4494</v>
      </c>
      <c r="G1066" s="5" t="s">
        <v>78</v>
      </c>
      <c r="H1066" s="5" t="s">
        <v>3763</v>
      </c>
      <c r="I1066" s="5" t="s">
        <v>1357</v>
      </c>
      <c r="J1066" s="5" t="s">
        <v>1857</v>
      </c>
      <c r="K1066" s="4">
        <v>40847</v>
      </c>
      <c r="L1066" s="4">
        <v>40847</v>
      </c>
      <c r="M1066" s="9">
        <f t="shared" si="144"/>
        <v>13</v>
      </c>
      <c r="N1066" s="4" t="str">
        <f t="shared" si="145"/>
        <v>] 10 ; 15 ]</v>
      </c>
      <c r="O1066" s="5" t="s">
        <v>3784</v>
      </c>
      <c r="P1066" s="5" t="s">
        <v>3784</v>
      </c>
      <c r="Q1066" s="5">
        <v>2</v>
      </c>
      <c r="R1066" s="5" t="str">
        <f t="shared" si="149"/>
        <v>Management &amp; Expertise</v>
      </c>
      <c r="S1066" s="5" t="s">
        <v>3789</v>
      </c>
      <c r="T1066" s="4">
        <v>27171</v>
      </c>
      <c r="U1066" s="5">
        <f t="shared" si="146"/>
        <v>1974</v>
      </c>
      <c r="V1066" s="5" t="s">
        <v>3793</v>
      </c>
      <c r="W1066" s="9">
        <f t="shared" si="147"/>
        <v>50</v>
      </c>
      <c r="X1066" s="5" t="str">
        <f t="shared" si="150"/>
        <v>[50 ans, +oo [</v>
      </c>
      <c r="Y1066" s="5" t="str">
        <f t="shared" si="151"/>
        <v xml:space="preserve"> Generation X </v>
      </c>
      <c r="Z1066" s="9">
        <f t="shared" si="148"/>
        <v>10</v>
      </c>
      <c r="AA1066" s="5" t="str">
        <f t="shared" si="152"/>
        <v>RAS</v>
      </c>
      <c r="AB1066" s="5" t="s">
        <v>3808</v>
      </c>
      <c r="AC1066" s="6" t="s">
        <v>3799</v>
      </c>
      <c r="AE1066" s="5" t="s">
        <v>3845</v>
      </c>
      <c r="AF1066" s="5" t="s">
        <v>4481</v>
      </c>
      <c r="AG1066" s="5" t="s">
        <v>4485</v>
      </c>
      <c r="AH1066" s="5" t="s">
        <v>4488</v>
      </c>
      <c r="AI1066" s="5" t="s">
        <v>4478</v>
      </c>
      <c r="AJ1066" s="5" t="s">
        <v>4479</v>
      </c>
      <c r="AK1066" s="5" t="s">
        <v>4090</v>
      </c>
      <c r="AL1066" s="5" t="s">
        <v>3854</v>
      </c>
    </row>
    <row r="1067" spans="1:38" x14ac:dyDescent="0.3">
      <c r="A1067" s="4">
        <v>45716</v>
      </c>
      <c r="B1067" s="5" t="s">
        <v>3764</v>
      </c>
      <c r="C1067" s="5" t="s">
        <v>3765</v>
      </c>
      <c r="D1067" s="5" t="s">
        <v>3766</v>
      </c>
      <c r="E1067" s="5" t="s">
        <v>4494</v>
      </c>
      <c r="G1067" s="5" t="s">
        <v>78</v>
      </c>
      <c r="H1067" s="5" t="s">
        <v>3734</v>
      </c>
      <c r="I1067" s="5" t="s">
        <v>1633</v>
      </c>
      <c r="J1067" s="5" t="s">
        <v>1518</v>
      </c>
      <c r="K1067" s="4">
        <v>41141</v>
      </c>
      <c r="L1067" s="4">
        <v>41141</v>
      </c>
      <c r="M1067" s="9">
        <f t="shared" si="144"/>
        <v>12</v>
      </c>
      <c r="N1067" s="4" t="str">
        <f t="shared" si="145"/>
        <v>] 10 ; 15 ]</v>
      </c>
      <c r="O1067" s="5" t="s">
        <v>3788</v>
      </c>
      <c r="P1067" s="5" t="s">
        <v>3788</v>
      </c>
      <c r="Q1067" s="5">
        <v>2</v>
      </c>
      <c r="R1067" s="5" t="str">
        <f t="shared" si="149"/>
        <v>Qualification</v>
      </c>
      <c r="S1067" s="5" t="s">
        <v>3789</v>
      </c>
      <c r="T1067" s="4">
        <v>30322</v>
      </c>
      <c r="U1067" s="5">
        <f t="shared" si="146"/>
        <v>1983</v>
      </c>
      <c r="V1067" s="5" t="s">
        <v>3793</v>
      </c>
      <c r="W1067" s="9">
        <f t="shared" si="147"/>
        <v>42</v>
      </c>
      <c r="X1067" s="5" t="str">
        <f t="shared" si="150"/>
        <v>[40 - 44 ans]</v>
      </c>
      <c r="Y1067" s="5" t="str">
        <f t="shared" si="151"/>
        <v xml:space="preserve"> Mellenials </v>
      </c>
      <c r="Z1067" s="9">
        <f t="shared" si="148"/>
        <v>18</v>
      </c>
      <c r="AA1067" s="5" t="str">
        <f t="shared" si="152"/>
        <v>RAS</v>
      </c>
      <c r="AB1067" s="5" t="s">
        <v>3808</v>
      </c>
      <c r="AC1067" s="6" t="s">
        <v>3799</v>
      </c>
      <c r="AE1067" s="5" t="s">
        <v>3844</v>
      </c>
      <c r="AF1067" s="5" t="s">
        <v>4482</v>
      </c>
      <c r="AG1067" s="5" t="s">
        <v>4485</v>
      </c>
      <c r="AH1067" s="5" t="s">
        <v>4488</v>
      </c>
      <c r="AI1067" s="5" t="s">
        <v>4106</v>
      </c>
      <c r="AJ1067" s="5" t="s">
        <v>4107</v>
      </c>
      <c r="AK1067" s="5" t="s">
        <v>4108</v>
      </c>
      <c r="AL1067" s="5" t="s">
        <v>3858</v>
      </c>
    </row>
    <row r="1068" spans="1:38" x14ac:dyDescent="0.3">
      <c r="A1068" s="4">
        <v>45716</v>
      </c>
      <c r="B1068" s="5" t="s">
        <v>3767</v>
      </c>
      <c r="C1068" s="5" t="s">
        <v>3768</v>
      </c>
      <c r="D1068" s="5" t="s">
        <v>3769</v>
      </c>
      <c r="E1068" s="5" t="s">
        <v>4494</v>
      </c>
      <c r="G1068" s="5" t="s">
        <v>78</v>
      </c>
      <c r="H1068" s="5" t="s">
        <v>1614</v>
      </c>
      <c r="I1068" s="5" t="s">
        <v>1626</v>
      </c>
      <c r="J1068" s="5" t="s">
        <v>3294</v>
      </c>
      <c r="K1068" s="4">
        <v>41141</v>
      </c>
      <c r="L1068" s="4">
        <v>41141</v>
      </c>
      <c r="M1068" s="9">
        <f t="shared" si="144"/>
        <v>12</v>
      </c>
      <c r="N1068" s="4" t="str">
        <f t="shared" si="145"/>
        <v>] 10 ; 15 ]</v>
      </c>
      <c r="O1068" s="5" t="s">
        <v>3788</v>
      </c>
      <c r="P1068" s="5" t="s">
        <v>3788</v>
      </c>
      <c r="Q1068" s="5">
        <v>2</v>
      </c>
      <c r="R1068" s="5" t="str">
        <f t="shared" si="149"/>
        <v>Qualification</v>
      </c>
      <c r="S1068" s="5" t="s">
        <v>3789</v>
      </c>
      <c r="T1068" s="4">
        <v>28588</v>
      </c>
      <c r="U1068" s="5">
        <f t="shared" si="146"/>
        <v>1978</v>
      </c>
      <c r="V1068" s="5" t="s">
        <v>3793</v>
      </c>
      <c r="W1068" s="9">
        <f t="shared" si="147"/>
        <v>46</v>
      </c>
      <c r="X1068" s="5" t="str">
        <f t="shared" si="150"/>
        <v>[45 - 49 ans]</v>
      </c>
      <c r="Y1068" s="5" t="str">
        <f t="shared" si="151"/>
        <v xml:space="preserve"> Generation X </v>
      </c>
      <c r="Z1068" s="9">
        <f t="shared" si="148"/>
        <v>14</v>
      </c>
      <c r="AA1068" s="5" t="str">
        <f t="shared" si="152"/>
        <v>RAS</v>
      </c>
      <c r="AB1068" s="5" t="s">
        <v>3808</v>
      </c>
      <c r="AC1068" s="6" t="s">
        <v>3799</v>
      </c>
      <c r="AE1068" s="5" t="s">
        <v>3844</v>
      </c>
      <c r="AF1068" s="5" t="s">
        <v>4482</v>
      </c>
      <c r="AG1068" s="5" t="s">
        <v>4485</v>
      </c>
      <c r="AH1068" s="5" t="s">
        <v>4488</v>
      </c>
      <c r="AI1068" s="5" t="s">
        <v>4339</v>
      </c>
      <c r="AJ1068" s="5" t="s">
        <v>4340</v>
      </c>
      <c r="AK1068" s="5" t="s">
        <v>4341</v>
      </c>
      <c r="AL1068" s="5" t="s">
        <v>3858</v>
      </c>
    </row>
    <row r="1069" spans="1:38" x14ac:dyDescent="0.3">
      <c r="A1069" s="4">
        <v>45716</v>
      </c>
      <c r="B1069" s="5">
        <v>3629</v>
      </c>
      <c r="C1069" s="5" t="s">
        <v>4498</v>
      </c>
      <c r="D1069" s="5" t="s">
        <v>4497</v>
      </c>
      <c r="E1069" s="5" t="s">
        <v>4494</v>
      </c>
      <c r="G1069" s="5" t="s">
        <v>178</v>
      </c>
      <c r="H1069" s="10" t="s">
        <v>4499</v>
      </c>
      <c r="I1069" s="5" t="s">
        <v>251</v>
      </c>
      <c r="J1069" s="5" t="s">
        <v>1393</v>
      </c>
      <c r="K1069" s="4">
        <v>45689</v>
      </c>
      <c r="L1069" s="4">
        <v>45689</v>
      </c>
      <c r="M1069" s="9">
        <f t="shared" si="144"/>
        <v>0</v>
      </c>
      <c r="N1069" s="4" t="str">
        <f t="shared" si="145"/>
        <v xml:space="preserve"> ] 0 ; 2 ]</v>
      </c>
      <c r="O1069" s="5" t="s">
        <v>3783</v>
      </c>
      <c r="P1069" s="5" t="s">
        <v>3783</v>
      </c>
      <c r="Q1069" s="5">
        <v>1</v>
      </c>
      <c r="R1069" s="5" t="str">
        <f t="shared" si="149"/>
        <v>Specialisation</v>
      </c>
      <c r="S1069" s="5" t="s">
        <v>3789</v>
      </c>
      <c r="T1069" s="4">
        <v>35725</v>
      </c>
      <c r="U1069" s="5">
        <f t="shared" si="146"/>
        <v>1997</v>
      </c>
      <c r="V1069" s="5" t="s">
        <v>3792</v>
      </c>
      <c r="W1069" s="9">
        <f t="shared" si="147"/>
        <v>27</v>
      </c>
      <c r="X1069" s="5" t="str">
        <f t="shared" si="150"/>
        <v>[20 - 29 ans[</v>
      </c>
      <c r="Y1069" s="5" t="str">
        <f t="shared" si="151"/>
        <v xml:space="preserve"> Gen Z </v>
      </c>
      <c r="Z1069" s="9">
        <f t="shared" si="148"/>
        <v>33</v>
      </c>
      <c r="AA1069" s="5" t="str">
        <f t="shared" si="152"/>
        <v>RAS</v>
      </c>
      <c r="AB1069" s="5" t="s">
        <v>3806</v>
      </c>
      <c r="AC1069" s="6" t="s">
        <v>3799</v>
      </c>
      <c r="AE1069" s="5" t="s">
        <v>3844</v>
      </c>
      <c r="AF1069" s="5" t="s">
        <v>4482</v>
      </c>
      <c r="AG1069" s="5" t="s">
        <v>4485</v>
      </c>
      <c r="AH1069" s="5" t="s">
        <v>4488</v>
      </c>
      <c r="AI1069" s="5" t="s">
        <v>3978</v>
      </c>
      <c r="AJ1069" s="5" t="s">
        <v>3979</v>
      </c>
      <c r="AK1069" s="5" t="s">
        <v>3980</v>
      </c>
      <c r="AL1069" s="5" t="s">
        <v>3858</v>
      </c>
    </row>
    <row r="1070" spans="1:38" x14ac:dyDescent="0.3">
      <c r="K1070" s="4"/>
      <c r="L1070" s="4"/>
    </row>
  </sheetData>
  <autoFilter ref="A1:AL1069" xr:uid="{DE47B522-F626-4EC6-BD8A-E557BC9A8B6C}"/>
  <pageMargins left="0.7" right="0.7" top="0.75" bottom="0.75" header="0.3" footer="0.3"/>
  <headerFooter>
    <oddFooter>&amp;C_x000D_&amp;1#&amp;"Helvetica 75 Bold"&amp;8&amp;KED7D31 Orange Restricted</oddFooter>
  </headerFooter>
  <ignoredErrors>
    <ignoredError sqref="H2:H82 B2:D113 G986 G966:G967 G930 G799 G742 G9 G315 G945 G788 G312 G955 G457 G131 G97 G4 G711 G707 G643 G614 G510 G482 G292 G247 G207 G134 G124 G53 G902 G828 G628 G105:G106 H984:H992 H851:H919 H750:H804 H666:H748 H435:H574 H267:H355 H84:H113 H357:H381 B383:D839 B382:C382 H383:H433 H576:H664 H806:H849 B883:D976 B882:C882 H921:H982 H994:H1068 B978:D1068 B977:C977 B841:D881 B840:C840 B114:D381 H114:H265" numberStoredAsText="1"/>
  </ignoredErrors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</vt:lpstr>
    </vt:vector>
  </TitlesOfParts>
  <Company>Orange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Imen Mzoughi</dc:creator>
  <cp:lastModifiedBy>Imen Mzoughi</cp:lastModifiedBy>
  <dcterms:created xsi:type="dcterms:W3CDTF">2025-02-11T13:26:50Z</dcterms:created>
  <dcterms:modified xsi:type="dcterms:W3CDTF">2025-03-11T08:31:00Z</dcterms:modified>
</cp:coreProperties>
</file>